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OneDrive\Escritorio\"/>
    </mc:Choice>
  </mc:AlternateContent>
  <bookViews>
    <workbookView xWindow="-108" yWindow="-108" windowWidth="23256" windowHeight="12456"/>
  </bookViews>
  <sheets>
    <sheet name="RESUMEN_EJECUTIVO" sheetId="7" r:id="rId1"/>
    <sheet name="ANÁLISIS_ESTRATÉGICO" sheetId="6" r:id="rId2"/>
    <sheet name="ANÁLISIS_ALTA_ROTACIÓN" sheetId="8" r:id="rId3"/>
    <sheet name="ANÁLISIS_MEDIA_ROTACIÓN" sheetId="9" r:id="rId4"/>
    <sheet name="PRECIOS_CDR" sheetId="4" r:id="rId5"/>
    <sheet name="PRECIOS_COMPETENCIA" sheetId="5" r:id="rId6"/>
  </sheets>
  <definedNames>
    <definedName name="_xlnm._FilterDatabase" localSheetId="4" hidden="1">PRECIOS_CDR!$A$1:$F$801</definedName>
    <definedName name="_xlnm._FilterDatabase" localSheetId="5" hidden="1">PRECIOS_COMPETENCIA!$A$1:$D$801</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6" l="1"/>
  <c r="E22" i="8" l="1"/>
  <c r="E21" i="8"/>
  <c r="E20" i="8"/>
  <c r="E19" i="8"/>
  <c r="E14" i="8"/>
  <c r="E13" i="8"/>
  <c r="E12" i="8"/>
  <c r="E11" i="8"/>
  <c r="G657" i="6"/>
  <c r="H657" i="6" s="1"/>
  <c r="J657" i="6" s="1"/>
  <c r="E6" i="8"/>
  <c r="E5" i="8"/>
  <c r="E4" i="8"/>
  <c r="E3" i="8"/>
  <c r="D24" i="7"/>
  <c r="F24" i="7"/>
  <c r="E24" i="7"/>
  <c r="G24" i="7"/>
  <c r="B20" i="7" l="1"/>
  <c r="B19" i="7"/>
  <c r="B18" i="7"/>
  <c r="B17" i="7"/>
  <c r="B22" i="7"/>
  <c r="B23" i="7"/>
  <c r="B16" i="7"/>
  <c r="B15" i="7"/>
  <c r="B21" i="7"/>
  <c r="G753" i="6"/>
  <c r="H753" i="6" s="1"/>
  <c r="J753" i="6" s="1"/>
  <c r="G2" i="6" l="1"/>
  <c r="H2" i="6" s="1"/>
  <c r="J2" i="6" s="1"/>
  <c r="G3" i="6"/>
  <c r="H3" i="6" s="1"/>
  <c r="J3" i="6" s="1"/>
  <c r="G4" i="6"/>
  <c r="H4" i="6" s="1"/>
  <c r="J4" i="6" s="1"/>
  <c r="G5" i="6"/>
  <c r="H5" i="6" s="1"/>
  <c r="J5" i="6" s="1"/>
  <c r="G6" i="6"/>
  <c r="H6" i="6" s="1"/>
  <c r="J6" i="6" s="1"/>
  <c r="G7" i="6"/>
  <c r="H7" i="6" s="1"/>
  <c r="J7" i="6" s="1"/>
  <c r="G8" i="6"/>
  <c r="H8" i="6" s="1"/>
  <c r="J8" i="6" s="1"/>
  <c r="G9" i="6"/>
  <c r="H9" i="6" s="1"/>
  <c r="J9" i="6" s="1"/>
  <c r="G10" i="6"/>
  <c r="H10" i="6" s="1"/>
  <c r="J10" i="6" s="1"/>
  <c r="G11" i="6"/>
  <c r="H11" i="6" s="1"/>
  <c r="J11" i="6" s="1"/>
  <c r="G12" i="6"/>
  <c r="H12" i="6" s="1"/>
  <c r="J12" i="6" s="1"/>
  <c r="G13" i="6"/>
  <c r="H13" i="6" s="1"/>
  <c r="J13" i="6" s="1"/>
  <c r="G14" i="6"/>
  <c r="H14" i="6" s="1"/>
  <c r="J14" i="6" s="1"/>
  <c r="G15" i="6"/>
  <c r="H15" i="6" s="1"/>
  <c r="J15" i="6" s="1"/>
  <c r="G16" i="6"/>
  <c r="H16" i="6" s="1"/>
  <c r="J16" i="6" s="1"/>
  <c r="G17" i="6"/>
  <c r="H17" i="6" s="1"/>
  <c r="J17" i="6" s="1"/>
  <c r="G18" i="6"/>
  <c r="H18" i="6" s="1"/>
  <c r="J18" i="6" s="1"/>
  <c r="G19" i="6"/>
  <c r="H19" i="6" s="1"/>
  <c r="J19" i="6" s="1"/>
  <c r="G20" i="6"/>
  <c r="H20" i="6" s="1"/>
  <c r="J20" i="6" s="1"/>
  <c r="G21" i="6"/>
  <c r="H21" i="6" s="1"/>
  <c r="J21" i="6" s="1"/>
  <c r="G22" i="6"/>
  <c r="H22" i="6" s="1"/>
  <c r="J22" i="6" s="1"/>
  <c r="G23" i="6"/>
  <c r="H23" i="6" s="1"/>
  <c r="J23" i="6" s="1"/>
  <c r="G24" i="6"/>
  <c r="H24" i="6" s="1"/>
  <c r="J24" i="6" s="1"/>
  <c r="G25" i="6"/>
  <c r="H25" i="6" s="1"/>
  <c r="J25" i="6" s="1"/>
  <c r="G26" i="6"/>
  <c r="H26" i="6" s="1"/>
  <c r="J26" i="6" s="1"/>
  <c r="G27" i="6"/>
  <c r="H27" i="6" s="1"/>
  <c r="J27" i="6" s="1"/>
  <c r="G28" i="6"/>
  <c r="H28" i="6" s="1"/>
  <c r="J28" i="6" s="1"/>
  <c r="H29" i="6"/>
  <c r="J29" i="6" s="1"/>
  <c r="G30" i="6"/>
  <c r="H30" i="6" s="1"/>
  <c r="J30" i="6" s="1"/>
  <c r="G31" i="6"/>
  <c r="H31" i="6" s="1"/>
  <c r="J31" i="6" s="1"/>
  <c r="G32" i="6"/>
  <c r="H32" i="6" s="1"/>
  <c r="J32" i="6" s="1"/>
  <c r="G33" i="6"/>
  <c r="H33" i="6" s="1"/>
  <c r="J33" i="6" s="1"/>
  <c r="G34" i="6"/>
  <c r="H34" i="6" s="1"/>
  <c r="J34" i="6" s="1"/>
  <c r="G35" i="6"/>
  <c r="H35" i="6" s="1"/>
  <c r="J35" i="6" s="1"/>
  <c r="G36" i="6"/>
  <c r="H36" i="6" s="1"/>
  <c r="J36" i="6" s="1"/>
  <c r="G37" i="6"/>
  <c r="H37" i="6" s="1"/>
  <c r="J37" i="6" s="1"/>
  <c r="G38" i="6"/>
  <c r="H38" i="6" s="1"/>
  <c r="J38" i="6" s="1"/>
  <c r="G39" i="6"/>
  <c r="H39" i="6" s="1"/>
  <c r="J39" i="6" s="1"/>
  <c r="G40" i="6"/>
  <c r="H40" i="6" s="1"/>
  <c r="J40" i="6" s="1"/>
  <c r="G41" i="6"/>
  <c r="H41" i="6" s="1"/>
  <c r="J41" i="6" s="1"/>
  <c r="G42" i="6"/>
  <c r="H42" i="6" s="1"/>
  <c r="J42" i="6" s="1"/>
  <c r="G43" i="6"/>
  <c r="H43" i="6" s="1"/>
  <c r="J43" i="6" s="1"/>
  <c r="G44" i="6"/>
  <c r="H44" i="6" s="1"/>
  <c r="J44" i="6" s="1"/>
  <c r="G45" i="6"/>
  <c r="H45" i="6" s="1"/>
  <c r="J45" i="6" s="1"/>
  <c r="G46" i="6"/>
  <c r="H46" i="6" s="1"/>
  <c r="J46" i="6" s="1"/>
  <c r="G47" i="6"/>
  <c r="H47" i="6" s="1"/>
  <c r="J47" i="6" s="1"/>
  <c r="G48" i="6"/>
  <c r="H48" i="6" s="1"/>
  <c r="J48" i="6" s="1"/>
  <c r="G49" i="6"/>
  <c r="H49" i="6" s="1"/>
  <c r="J49" i="6" s="1"/>
  <c r="G50" i="6"/>
  <c r="H50" i="6" s="1"/>
  <c r="J50" i="6" s="1"/>
  <c r="G51" i="6"/>
  <c r="H51" i="6" s="1"/>
  <c r="J51" i="6" s="1"/>
  <c r="G52" i="6"/>
  <c r="H52" i="6" s="1"/>
  <c r="J52" i="6" s="1"/>
  <c r="G53" i="6"/>
  <c r="H53" i="6" s="1"/>
  <c r="J53" i="6" s="1"/>
  <c r="G54" i="6"/>
  <c r="H54" i="6" s="1"/>
  <c r="J54" i="6" s="1"/>
  <c r="G55" i="6"/>
  <c r="H55" i="6" s="1"/>
  <c r="J55" i="6" s="1"/>
  <c r="G56" i="6"/>
  <c r="H56" i="6" s="1"/>
  <c r="J56" i="6" s="1"/>
  <c r="G57" i="6"/>
  <c r="H57" i="6" s="1"/>
  <c r="J57" i="6" s="1"/>
  <c r="G58" i="6"/>
  <c r="H58" i="6" s="1"/>
  <c r="J58" i="6" s="1"/>
  <c r="G59" i="6"/>
  <c r="H59" i="6" s="1"/>
  <c r="J59" i="6" s="1"/>
  <c r="G60" i="6"/>
  <c r="H60" i="6" s="1"/>
  <c r="J60" i="6" s="1"/>
  <c r="G61" i="6"/>
  <c r="H61" i="6" s="1"/>
  <c r="J61" i="6" s="1"/>
  <c r="G62" i="6"/>
  <c r="H62" i="6" s="1"/>
  <c r="J62" i="6" s="1"/>
  <c r="G63" i="6"/>
  <c r="H63" i="6" s="1"/>
  <c r="J63" i="6" s="1"/>
  <c r="G64" i="6"/>
  <c r="H64" i="6" s="1"/>
  <c r="J64" i="6" s="1"/>
  <c r="G65" i="6"/>
  <c r="H65" i="6" s="1"/>
  <c r="J65" i="6" s="1"/>
  <c r="G66" i="6"/>
  <c r="H66" i="6" s="1"/>
  <c r="J66" i="6" s="1"/>
  <c r="G67" i="6"/>
  <c r="H67" i="6" s="1"/>
  <c r="J67" i="6" s="1"/>
  <c r="G68" i="6"/>
  <c r="H68" i="6" s="1"/>
  <c r="J68" i="6" s="1"/>
  <c r="G69" i="6"/>
  <c r="H69" i="6" s="1"/>
  <c r="J69" i="6" s="1"/>
  <c r="G70" i="6"/>
  <c r="H70" i="6" s="1"/>
  <c r="J70" i="6" s="1"/>
  <c r="G71" i="6"/>
  <c r="H71" i="6" s="1"/>
  <c r="J71" i="6" s="1"/>
  <c r="G72" i="6"/>
  <c r="H72" i="6" s="1"/>
  <c r="J72" i="6" s="1"/>
  <c r="G73" i="6"/>
  <c r="H73" i="6" s="1"/>
  <c r="J73" i="6" s="1"/>
  <c r="G74" i="6"/>
  <c r="H74" i="6" s="1"/>
  <c r="J74" i="6" s="1"/>
  <c r="G75" i="6"/>
  <c r="H75" i="6" s="1"/>
  <c r="J75" i="6" s="1"/>
  <c r="G76" i="6"/>
  <c r="H76" i="6" s="1"/>
  <c r="J76" i="6" s="1"/>
  <c r="N76" i="6" s="1"/>
  <c r="G77" i="6"/>
  <c r="H77" i="6" s="1"/>
  <c r="J77" i="6" s="1"/>
  <c r="G78" i="6"/>
  <c r="H78" i="6" s="1"/>
  <c r="J78" i="6" s="1"/>
  <c r="G79" i="6"/>
  <c r="H79" i="6" s="1"/>
  <c r="J79" i="6" s="1"/>
  <c r="G80" i="6"/>
  <c r="H80" i="6" s="1"/>
  <c r="J80" i="6" s="1"/>
  <c r="G81" i="6"/>
  <c r="H81" i="6" s="1"/>
  <c r="J81" i="6" s="1"/>
  <c r="G82" i="6"/>
  <c r="H82" i="6" s="1"/>
  <c r="J82" i="6" s="1"/>
  <c r="G83" i="6"/>
  <c r="H83" i="6" s="1"/>
  <c r="J83" i="6" s="1"/>
  <c r="G84" i="6"/>
  <c r="H84" i="6" s="1"/>
  <c r="J84" i="6" s="1"/>
  <c r="G85" i="6"/>
  <c r="H85" i="6" s="1"/>
  <c r="J85" i="6" s="1"/>
  <c r="G86" i="6"/>
  <c r="H86" i="6" s="1"/>
  <c r="J86" i="6" s="1"/>
  <c r="G87" i="6"/>
  <c r="H87" i="6" s="1"/>
  <c r="J87" i="6" s="1"/>
  <c r="G88" i="6"/>
  <c r="H88" i="6" s="1"/>
  <c r="J88" i="6" s="1"/>
  <c r="G89" i="6"/>
  <c r="H89" i="6" s="1"/>
  <c r="J89" i="6" s="1"/>
  <c r="G90" i="6"/>
  <c r="H90" i="6" s="1"/>
  <c r="J90" i="6" s="1"/>
  <c r="G91" i="6"/>
  <c r="H91" i="6" s="1"/>
  <c r="J91" i="6" s="1"/>
  <c r="G92" i="6"/>
  <c r="H92" i="6" s="1"/>
  <c r="J92" i="6" s="1"/>
  <c r="G93" i="6"/>
  <c r="H93" i="6" s="1"/>
  <c r="J93" i="6" s="1"/>
  <c r="G94" i="6"/>
  <c r="H94" i="6" s="1"/>
  <c r="J94" i="6" s="1"/>
  <c r="G95" i="6"/>
  <c r="H95" i="6" s="1"/>
  <c r="J95" i="6" s="1"/>
  <c r="G96" i="6"/>
  <c r="H96" i="6" s="1"/>
  <c r="J96" i="6" s="1"/>
  <c r="G97" i="6"/>
  <c r="H97" i="6" s="1"/>
  <c r="J97" i="6" s="1"/>
  <c r="G98" i="6"/>
  <c r="H98" i="6" s="1"/>
  <c r="J98" i="6" s="1"/>
  <c r="G99" i="6"/>
  <c r="H99" i="6" s="1"/>
  <c r="J99" i="6" s="1"/>
  <c r="G100" i="6"/>
  <c r="H100" i="6" s="1"/>
  <c r="J100" i="6" s="1"/>
  <c r="G101" i="6"/>
  <c r="H101" i="6" s="1"/>
  <c r="J101" i="6" s="1"/>
  <c r="G102" i="6"/>
  <c r="H102" i="6" s="1"/>
  <c r="J102" i="6" s="1"/>
  <c r="G103" i="6"/>
  <c r="H103" i="6" s="1"/>
  <c r="J103" i="6" s="1"/>
  <c r="G104" i="6"/>
  <c r="H104" i="6" s="1"/>
  <c r="J104" i="6" s="1"/>
  <c r="G105" i="6"/>
  <c r="H105" i="6" s="1"/>
  <c r="J105" i="6" s="1"/>
  <c r="G106" i="6"/>
  <c r="H106" i="6" s="1"/>
  <c r="J106" i="6" s="1"/>
  <c r="G107" i="6"/>
  <c r="H107" i="6" s="1"/>
  <c r="J107" i="6" s="1"/>
  <c r="G108" i="6"/>
  <c r="H108" i="6" s="1"/>
  <c r="J108" i="6" s="1"/>
  <c r="G109" i="6"/>
  <c r="H109" i="6" s="1"/>
  <c r="J109" i="6" s="1"/>
  <c r="G110" i="6"/>
  <c r="H110" i="6" s="1"/>
  <c r="J110" i="6" s="1"/>
  <c r="G111" i="6"/>
  <c r="H111" i="6" s="1"/>
  <c r="J111" i="6" s="1"/>
  <c r="G112" i="6"/>
  <c r="H112" i="6" s="1"/>
  <c r="J112" i="6" s="1"/>
  <c r="G113" i="6"/>
  <c r="H113" i="6" s="1"/>
  <c r="J113" i="6" s="1"/>
  <c r="G114" i="6"/>
  <c r="H114" i="6" s="1"/>
  <c r="J114" i="6" s="1"/>
  <c r="G115" i="6"/>
  <c r="H115" i="6" s="1"/>
  <c r="J115" i="6" s="1"/>
  <c r="G116" i="6"/>
  <c r="H116" i="6" s="1"/>
  <c r="J116" i="6" s="1"/>
  <c r="G117" i="6"/>
  <c r="H117" i="6" s="1"/>
  <c r="J117" i="6" s="1"/>
  <c r="G118" i="6"/>
  <c r="H118" i="6" s="1"/>
  <c r="J118" i="6" s="1"/>
  <c r="G119" i="6"/>
  <c r="H119" i="6" s="1"/>
  <c r="J119" i="6" s="1"/>
  <c r="G120" i="6"/>
  <c r="H120" i="6" s="1"/>
  <c r="J120" i="6" s="1"/>
  <c r="G121" i="6"/>
  <c r="H121" i="6" s="1"/>
  <c r="J121" i="6" s="1"/>
  <c r="G122" i="6"/>
  <c r="H122" i="6" s="1"/>
  <c r="J122" i="6" s="1"/>
  <c r="G123" i="6"/>
  <c r="H123" i="6" s="1"/>
  <c r="J123" i="6" s="1"/>
  <c r="G124" i="6"/>
  <c r="H124" i="6" s="1"/>
  <c r="J124" i="6" s="1"/>
  <c r="G125" i="6"/>
  <c r="H125" i="6" s="1"/>
  <c r="J125" i="6" s="1"/>
  <c r="G126" i="6"/>
  <c r="H126" i="6" s="1"/>
  <c r="J126" i="6" s="1"/>
  <c r="G127" i="6"/>
  <c r="H127" i="6" s="1"/>
  <c r="J127" i="6" s="1"/>
  <c r="G128" i="6"/>
  <c r="H128" i="6" s="1"/>
  <c r="J128" i="6" s="1"/>
  <c r="G129" i="6"/>
  <c r="H129" i="6" s="1"/>
  <c r="J129" i="6" s="1"/>
  <c r="G130" i="6"/>
  <c r="H130" i="6" s="1"/>
  <c r="J130" i="6" s="1"/>
  <c r="G131" i="6"/>
  <c r="H131" i="6" s="1"/>
  <c r="J131" i="6" s="1"/>
  <c r="G132" i="6"/>
  <c r="H132" i="6" s="1"/>
  <c r="J132" i="6" s="1"/>
  <c r="G133" i="6"/>
  <c r="H133" i="6" s="1"/>
  <c r="J133" i="6" s="1"/>
  <c r="G134" i="6"/>
  <c r="H134" i="6" s="1"/>
  <c r="J134" i="6" s="1"/>
  <c r="G135" i="6"/>
  <c r="H135" i="6" s="1"/>
  <c r="J135" i="6" s="1"/>
  <c r="G136" i="6"/>
  <c r="H136" i="6" s="1"/>
  <c r="J136" i="6" s="1"/>
  <c r="G137" i="6"/>
  <c r="H137" i="6" s="1"/>
  <c r="J137" i="6" s="1"/>
  <c r="G138" i="6"/>
  <c r="H138" i="6" s="1"/>
  <c r="J138" i="6" s="1"/>
  <c r="G139" i="6"/>
  <c r="H139" i="6" s="1"/>
  <c r="J139" i="6" s="1"/>
  <c r="G140" i="6"/>
  <c r="H140" i="6" s="1"/>
  <c r="J140" i="6" s="1"/>
  <c r="G141" i="6"/>
  <c r="H141" i="6" s="1"/>
  <c r="J141" i="6" s="1"/>
  <c r="G142" i="6"/>
  <c r="H142" i="6" s="1"/>
  <c r="J142" i="6" s="1"/>
  <c r="G143" i="6"/>
  <c r="H143" i="6" s="1"/>
  <c r="J143" i="6" s="1"/>
  <c r="G144" i="6"/>
  <c r="H144" i="6" s="1"/>
  <c r="J144" i="6" s="1"/>
  <c r="G145" i="6"/>
  <c r="H145" i="6" s="1"/>
  <c r="J145" i="6" s="1"/>
  <c r="G146" i="6"/>
  <c r="H146" i="6" s="1"/>
  <c r="J146" i="6" s="1"/>
  <c r="G147" i="6"/>
  <c r="H147" i="6" s="1"/>
  <c r="J147" i="6" s="1"/>
  <c r="G148" i="6"/>
  <c r="H148" i="6" s="1"/>
  <c r="J148" i="6" s="1"/>
  <c r="G149" i="6"/>
  <c r="H149" i="6" s="1"/>
  <c r="J149" i="6" s="1"/>
  <c r="G150" i="6"/>
  <c r="H150" i="6" s="1"/>
  <c r="J150" i="6" s="1"/>
  <c r="G151" i="6"/>
  <c r="H151" i="6" s="1"/>
  <c r="J151" i="6" s="1"/>
  <c r="G152" i="6"/>
  <c r="H152" i="6" s="1"/>
  <c r="J152" i="6" s="1"/>
  <c r="G153" i="6"/>
  <c r="H153" i="6" s="1"/>
  <c r="J153" i="6" s="1"/>
  <c r="G154" i="6"/>
  <c r="H154" i="6" s="1"/>
  <c r="J154" i="6" s="1"/>
  <c r="G155" i="6"/>
  <c r="H155" i="6" s="1"/>
  <c r="J155" i="6" s="1"/>
  <c r="G156" i="6"/>
  <c r="H156" i="6" s="1"/>
  <c r="J156" i="6" s="1"/>
  <c r="G157" i="6"/>
  <c r="H157" i="6" s="1"/>
  <c r="J157" i="6" s="1"/>
  <c r="G158" i="6"/>
  <c r="H158" i="6" s="1"/>
  <c r="J158" i="6" s="1"/>
  <c r="G159" i="6"/>
  <c r="H159" i="6" s="1"/>
  <c r="J159" i="6" s="1"/>
  <c r="G160" i="6"/>
  <c r="H160" i="6" s="1"/>
  <c r="J160" i="6" s="1"/>
  <c r="G161" i="6"/>
  <c r="H161" i="6" s="1"/>
  <c r="J161" i="6" s="1"/>
  <c r="G162" i="6"/>
  <c r="H162" i="6" s="1"/>
  <c r="J162" i="6" s="1"/>
  <c r="G163" i="6"/>
  <c r="H163" i="6" s="1"/>
  <c r="J163" i="6" s="1"/>
  <c r="G164" i="6"/>
  <c r="H164" i="6" s="1"/>
  <c r="J164" i="6" s="1"/>
  <c r="G165" i="6"/>
  <c r="H165" i="6" s="1"/>
  <c r="J165" i="6" s="1"/>
  <c r="G166" i="6"/>
  <c r="H166" i="6" s="1"/>
  <c r="J166" i="6" s="1"/>
  <c r="G167" i="6"/>
  <c r="H167" i="6" s="1"/>
  <c r="J167" i="6" s="1"/>
  <c r="G168" i="6"/>
  <c r="H168" i="6" s="1"/>
  <c r="J168" i="6" s="1"/>
  <c r="G169" i="6"/>
  <c r="H169" i="6" s="1"/>
  <c r="J169" i="6" s="1"/>
  <c r="G170" i="6"/>
  <c r="H170" i="6" s="1"/>
  <c r="J170" i="6" s="1"/>
  <c r="G171" i="6"/>
  <c r="H171" i="6" s="1"/>
  <c r="J171" i="6" s="1"/>
  <c r="G172" i="6"/>
  <c r="H172" i="6" s="1"/>
  <c r="J172" i="6" s="1"/>
  <c r="G173" i="6"/>
  <c r="H173" i="6" s="1"/>
  <c r="J173" i="6" s="1"/>
  <c r="G174" i="6"/>
  <c r="H174" i="6" s="1"/>
  <c r="J174" i="6" s="1"/>
  <c r="G175" i="6"/>
  <c r="H175" i="6" s="1"/>
  <c r="J175" i="6" s="1"/>
  <c r="G176" i="6"/>
  <c r="H176" i="6" s="1"/>
  <c r="J176" i="6" s="1"/>
  <c r="G177" i="6"/>
  <c r="H177" i="6" s="1"/>
  <c r="J177" i="6" s="1"/>
  <c r="G178" i="6"/>
  <c r="H178" i="6" s="1"/>
  <c r="J178" i="6" s="1"/>
  <c r="G179" i="6"/>
  <c r="H179" i="6" s="1"/>
  <c r="J179" i="6" s="1"/>
  <c r="G180" i="6"/>
  <c r="H180" i="6" s="1"/>
  <c r="J180" i="6" s="1"/>
  <c r="G181" i="6"/>
  <c r="H181" i="6" s="1"/>
  <c r="J181" i="6" s="1"/>
  <c r="G182" i="6"/>
  <c r="H182" i="6" s="1"/>
  <c r="J182" i="6" s="1"/>
  <c r="G183" i="6"/>
  <c r="H183" i="6" s="1"/>
  <c r="J183" i="6" s="1"/>
  <c r="G184" i="6"/>
  <c r="H184" i="6" s="1"/>
  <c r="J184" i="6" s="1"/>
  <c r="G185" i="6"/>
  <c r="H185" i="6" s="1"/>
  <c r="J185" i="6" s="1"/>
  <c r="G186" i="6"/>
  <c r="H186" i="6" s="1"/>
  <c r="J186" i="6" s="1"/>
  <c r="G187" i="6"/>
  <c r="H187" i="6" s="1"/>
  <c r="J187" i="6" s="1"/>
  <c r="G188" i="6"/>
  <c r="H188" i="6" s="1"/>
  <c r="J188" i="6" s="1"/>
  <c r="G189" i="6"/>
  <c r="H189" i="6" s="1"/>
  <c r="J189" i="6" s="1"/>
  <c r="G190" i="6"/>
  <c r="H190" i="6" s="1"/>
  <c r="J190" i="6" s="1"/>
  <c r="G191" i="6"/>
  <c r="H191" i="6" s="1"/>
  <c r="J191" i="6" s="1"/>
  <c r="G192" i="6"/>
  <c r="H192" i="6" s="1"/>
  <c r="J192" i="6" s="1"/>
  <c r="G193" i="6"/>
  <c r="H193" i="6" s="1"/>
  <c r="J193" i="6" s="1"/>
  <c r="G194" i="6"/>
  <c r="H194" i="6" s="1"/>
  <c r="J194" i="6" s="1"/>
  <c r="G195" i="6"/>
  <c r="H195" i="6" s="1"/>
  <c r="J195" i="6" s="1"/>
  <c r="G196" i="6"/>
  <c r="H196" i="6" s="1"/>
  <c r="J196" i="6" s="1"/>
  <c r="G197" i="6"/>
  <c r="H197" i="6" s="1"/>
  <c r="J197" i="6" s="1"/>
  <c r="G198" i="6"/>
  <c r="H198" i="6" s="1"/>
  <c r="J198" i="6" s="1"/>
  <c r="G199" i="6"/>
  <c r="H199" i="6" s="1"/>
  <c r="J199" i="6" s="1"/>
  <c r="G200" i="6"/>
  <c r="H200" i="6" s="1"/>
  <c r="J200" i="6" s="1"/>
  <c r="G201" i="6"/>
  <c r="H201" i="6" s="1"/>
  <c r="J201" i="6" s="1"/>
  <c r="G202" i="6"/>
  <c r="H202" i="6" s="1"/>
  <c r="J202" i="6" s="1"/>
  <c r="G203" i="6"/>
  <c r="H203" i="6" s="1"/>
  <c r="J203" i="6" s="1"/>
  <c r="G204" i="6"/>
  <c r="H204" i="6" s="1"/>
  <c r="J204" i="6" s="1"/>
  <c r="G205" i="6"/>
  <c r="H205" i="6" s="1"/>
  <c r="J205" i="6" s="1"/>
  <c r="G206" i="6"/>
  <c r="H206" i="6" s="1"/>
  <c r="J206" i="6" s="1"/>
  <c r="G207" i="6"/>
  <c r="H207" i="6" s="1"/>
  <c r="J207" i="6" s="1"/>
  <c r="G208" i="6"/>
  <c r="H208" i="6" s="1"/>
  <c r="J208" i="6" s="1"/>
  <c r="G209" i="6"/>
  <c r="H209" i="6" s="1"/>
  <c r="J209" i="6" s="1"/>
  <c r="G210" i="6"/>
  <c r="H210" i="6" s="1"/>
  <c r="J210" i="6" s="1"/>
  <c r="G211" i="6"/>
  <c r="H211" i="6" s="1"/>
  <c r="J211" i="6" s="1"/>
  <c r="G212" i="6"/>
  <c r="H212" i="6" s="1"/>
  <c r="J212" i="6" s="1"/>
  <c r="G213" i="6"/>
  <c r="H213" i="6" s="1"/>
  <c r="J213" i="6" s="1"/>
  <c r="G214" i="6"/>
  <c r="H214" i="6" s="1"/>
  <c r="J214" i="6" s="1"/>
  <c r="G215" i="6"/>
  <c r="H215" i="6" s="1"/>
  <c r="J215" i="6" s="1"/>
  <c r="G216" i="6"/>
  <c r="H216" i="6" s="1"/>
  <c r="J216" i="6" s="1"/>
  <c r="G217" i="6"/>
  <c r="H217" i="6" s="1"/>
  <c r="J217" i="6" s="1"/>
  <c r="G218" i="6"/>
  <c r="H218" i="6" s="1"/>
  <c r="J218" i="6" s="1"/>
  <c r="G219" i="6"/>
  <c r="H219" i="6" s="1"/>
  <c r="J219" i="6" s="1"/>
  <c r="G220" i="6"/>
  <c r="H220" i="6" s="1"/>
  <c r="J220" i="6" s="1"/>
  <c r="G221" i="6"/>
  <c r="H221" i="6" s="1"/>
  <c r="J221" i="6" s="1"/>
  <c r="G222" i="6"/>
  <c r="H222" i="6" s="1"/>
  <c r="J222" i="6" s="1"/>
  <c r="G223" i="6"/>
  <c r="H223" i="6" s="1"/>
  <c r="J223" i="6" s="1"/>
  <c r="G224" i="6"/>
  <c r="H224" i="6" s="1"/>
  <c r="J224" i="6" s="1"/>
  <c r="G225" i="6"/>
  <c r="H225" i="6" s="1"/>
  <c r="J225" i="6" s="1"/>
  <c r="G226" i="6"/>
  <c r="H226" i="6" s="1"/>
  <c r="J226" i="6" s="1"/>
  <c r="G227" i="6"/>
  <c r="H227" i="6" s="1"/>
  <c r="J227" i="6" s="1"/>
  <c r="G228" i="6"/>
  <c r="H228" i="6" s="1"/>
  <c r="J228" i="6" s="1"/>
  <c r="G229" i="6"/>
  <c r="H229" i="6" s="1"/>
  <c r="J229" i="6" s="1"/>
  <c r="G230" i="6"/>
  <c r="H230" i="6" s="1"/>
  <c r="J230" i="6" s="1"/>
  <c r="G231" i="6"/>
  <c r="H231" i="6" s="1"/>
  <c r="J231" i="6" s="1"/>
  <c r="G232" i="6"/>
  <c r="H232" i="6" s="1"/>
  <c r="J232" i="6" s="1"/>
  <c r="G233" i="6"/>
  <c r="H233" i="6" s="1"/>
  <c r="J233" i="6" s="1"/>
  <c r="G234" i="6"/>
  <c r="H234" i="6" s="1"/>
  <c r="J234" i="6" s="1"/>
  <c r="G235" i="6"/>
  <c r="H235" i="6" s="1"/>
  <c r="J235" i="6" s="1"/>
  <c r="G236" i="6"/>
  <c r="H236" i="6" s="1"/>
  <c r="J236" i="6" s="1"/>
  <c r="G237" i="6"/>
  <c r="H237" i="6" s="1"/>
  <c r="J237" i="6" s="1"/>
  <c r="G238" i="6"/>
  <c r="H238" i="6" s="1"/>
  <c r="J238" i="6" s="1"/>
  <c r="G239" i="6"/>
  <c r="H239" i="6" s="1"/>
  <c r="J239" i="6" s="1"/>
  <c r="G240" i="6"/>
  <c r="H240" i="6" s="1"/>
  <c r="J240" i="6" s="1"/>
  <c r="G241" i="6"/>
  <c r="H241" i="6" s="1"/>
  <c r="J241" i="6" s="1"/>
  <c r="G242" i="6"/>
  <c r="H242" i="6" s="1"/>
  <c r="J242" i="6" s="1"/>
  <c r="G243" i="6"/>
  <c r="H243" i="6" s="1"/>
  <c r="J243" i="6" s="1"/>
  <c r="G244" i="6"/>
  <c r="H244" i="6" s="1"/>
  <c r="J244" i="6" s="1"/>
  <c r="G245" i="6"/>
  <c r="H245" i="6" s="1"/>
  <c r="J245" i="6" s="1"/>
  <c r="G246" i="6"/>
  <c r="H246" i="6" s="1"/>
  <c r="J246" i="6" s="1"/>
  <c r="G247" i="6"/>
  <c r="H247" i="6" s="1"/>
  <c r="J247" i="6" s="1"/>
  <c r="G248" i="6"/>
  <c r="H248" i="6" s="1"/>
  <c r="J248" i="6" s="1"/>
  <c r="G249" i="6"/>
  <c r="H249" i="6" s="1"/>
  <c r="J249" i="6" s="1"/>
  <c r="G250" i="6"/>
  <c r="H250" i="6" s="1"/>
  <c r="J250" i="6" s="1"/>
  <c r="G251" i="6"/>
  <c r="H251" i="6" s="1"/>
  <c r="J251" i="6" s="1"/>
  <c r="G252" i="6"/>
  <c r="H252" i="6" s="1"/>
  <c r="J252" i="6" s="1"/>
  <c r="G253" i="6"/>
  <c r="H253" i="6" s="1"/>
  <c r="J253" i="6" s="1"/>
  <c r="G254" i="6"/>
  <c r="H254" i="6" s="1"/>
  <c r="J254" i="6" s="1"/>
  <c r="G255" i="6"/>
  <c r="H255" i="6" s="1"/>
  <c r="J255" i="6" s="1"/>
  <c r="G256" i="6"/>
  <c r="H256" i="6" s="1"/>
  <c r="J256" i="6" s="1"/>
  <c r="G257" i="6"/>
  <c r="H257" i="6" s="1"/>
  <c r="J257" i="6" s="1"/>
  <c r="G258" i="6"/>
  <c r="H258" i="6" s="1"/>
  <c r="J258" i="6" s="1"/>
  <c r="G259" i="6"/>
  <c r="H259" i="6" s="1"/>
  <c r="J259" i="6" s="1"/>
  <c r="G260" i="6"/>
  <c r="H260" i="6" s="1"/>
  <c r="J260" i="6" s="1"/>
  <c r="G261" i="6"/>
  <c r="H261" i="6" s="1"/>
  <c r="J261" i="6" s="1"/>
  <c r="G262" i="6"/>
  <c r="H262" i="6" s="1"/>
  <c r="J262" i="6" s="1"/>
  <c r="G263" i="6"/>
  <c r="H263" i="6" s="1"/>
  <c r="J263" i="6" s="1"/>
  <c r="G264" i="6"/>
  <c r="H264" i="6" s="1"/>
  <c r="J264" i="6" s="1"/>
  <c r="G265" i="6"/>
  <c r="H265" i="6" s="1"/>
  <c r="J265" i="6" s="1"/>
  <c r="G266" i="6"/>
  <c r="H266" i="6" s="1"/>
  <c r="J266" i="6" s="1"/>
  <c r="G267" i="6"/>
  <c r="H267" i="6" s="1"/>
  <c r="J267" i="6" s="1"/>
  <c r="G268" i="6"/>
  <c r="H268" i="6" s="1"/>
  <c r="J268" i="6" s="1"/>
  <c r="G269" i="6"/>
  <c r="H269" i="6" s="1"/>
  <c r="J269" i="6" s="1"/>
  <c r="G270" i="6"/>
  <c r="H270" i="6" s="1"/>
  <c r="J270" i="6" s="1"/>
  <c r="G271" i="6"/>
  <c r="H271" i="6" s="1"/>
  <c r="J271" i="6" s="1"/>
  <c r="G272" i="6"/>
  <c r="H272" i="6" s="1"/>
  <c r="J272" i="6" s="1"/>
  <c r="G273" i="6"/>
  <c r="H273" i="6" s="1"/>
  <c r="J273" i="6" s="1"/>
  <c r="G274" i="6"/>
  <c r="H274" i="6" s="1"/>
  <c r="J274" i="6" s="1"/>
  <c r="G275" i="6"/>
  <c r="H275" i="6" s="1"/>
  <c r="J275" i="6" s="1"/>
  <c r="G276" i="6"/>
  <c r="H276" i="6" s="1"/>
  <c r="J276" i="6" s="1"/>
  <c r="G277" i="6"/>
  <c r="H277" i="6" s="1"/>
  <c r="J277" i="6" s="1"/>
  <c r="G278" i="6"/>
  <c r="H278" i="6" s="1"/>
  <c r="J278" i="6" s="1"/>
  <c r="G279" i="6"/>
  <c r="H279" i="6" s="1"/>
  <c r="J279" i="6" s="1"/>
  <c r="G280" i="6"/>
  <c r="H280" i="6" s="1"/>
  <c r="J280" i="6" s="1"/>
  <c r="G281" i="6"/>
  <c r="H281" i="6" s="1"/>
  <c r="J281" i="6" s="1"/>
  <c r="G282" i="6"/>
  <c r="H282" i="6" s="1"/>
  <c r="J282" i="6" s="1"/>
  <c r="G283" i="6"/>
  <c r="H283" i="6" s="1"/>
  <c r="J283" i="6" s="1"/>
  <c r="G284" i="6"/>
  <c r="H284" i="6" s="1"/>
  <c r="J284" i="6" s="1"/>
  <c r="G285" i="6"/>
  <c r="H285" i="6" s="1"/>
  <c r="J285" i="6" s="1"/>
  <c r="G286" i="6"/>
  <c r="H286" i="6" s="1"/>
  <c r="J286" i="6" s="1"/>
  <c r="G287" i="6"/>
  <c r="H287" i="6" s="1"/>
  <c r="J287" i="6" s="1"/>
  <c r="G288" i="6"/>
  <c r="H288" i="6" s="1"/>
  <c r="J288" i="6" s="1"/>
  <c r="G289" i="6"/>
  <c r="H289" i="6" s="1"/>
  <c r="J289" i="6" s="1"/>
  <c r="G290" i="6"/>
  <c r="H290" i="6" s="1"/>
  <c r="J290" i="6" s="1"/>
  <c r="G291" i="6"/>
  <c r="H291" i="6" s="1"/>
  <c r="J291" i="6" s="1"/>
  <c r="G292" i="6"/>
  <c r="H292" i="6" s="1"/>
  <c r="J292" i="6" s="1"/>
  <c r="G293" i="6"/>
  <c r="H293" i="6" s="1"/>
  <c r="J293" i="6" s="1"/>
  <c r="G294" i="6"/>
  <c r="H294" i="6" s="1"/>
  <c r="J294" i="6" s="1"/>
  <c r="G295" i="6"/>
  <c r="H295" i="6" s="1"/>
  <c r="J295" i="6" s="1"/>
  <c r="G296" i="6"/>
  <c r="H296" i="6" s="1"/>
  <c r="J296" i="6" s="1"/>
  <c r="G297" i="6"/>
  <c r="H297" i="6" s="1"/>
  <c r="J297" i="6" s="1"/>
  <c r="G298" i="6"/>
  <c r="H298" i="6" s="1"/>
  <c r="J298" i="6" s="1"/>
  <c r="G299" i="6"/>
  <c r="H299" i="6" s="1"/>
  <c r="J299" i="6" s="1"/>
  <c r="G300" i="6"/>
  <c r="H300" i="6" s="1"/>
  <c r="J300" i="6" s="1"/>
  <c r="G301" i="6"/>
  <c r="H301" i="6" s="1"/>
  <c r="J301" i="6" s="1"/>
  <c r="G302" i="6"/>
  <c r="H302" i="6" s="1"/>
  <c r="J302" i="6" s="1"/>
  <c r="G303" i="6"/>
  <c r="H303" i="6" s="1"/>
  <c r="J303" i="6" s="1"/>
  <c r="G304" i="6"/>
  <c r="H304" i="6" s="1"/>
  <c r="J304" i="6" s="1"/>
  <c r="G305" i="6"/>
  <c r="H305" i="6" s="1"/>
  <c r="J305" i="6" s="1"/>
  <c r="G306" i="6"/>
  <c r="H306" i="6" s="1"/>
  <c r="J306" i="6" s="1"/>
  <c r="G307" i="6"/>
  <c r="H307" i="6" s="1"/>
  <c r="J307" i="6" s="1"/>
  <c r="G308" i="6"/>
  <c r="H308" i="6" s="1"/>
  <c r="J308" i="6" s="1"/>
  <c r="G309" i="6"/>
  <c r="H309" i="6" s="1"/>
  <c r="J309" i="6" s="1"/>
  <c r="G310" i="6"/>
  <c r="H310" i="6" s="1"/>
  <c r="J310" i="6" s="1"/>
  <c r="G311" i="6"/>
  <c r="H311" i="6" s="1"/>
  <c r="J311" i="6" s="1"/>
  <c r="G312" i="6"/>
  <c r="H312" i="6" s="1"/>
  <c r="J312" i="6" s="1"/>
  <c r="G313" i="6"/>
  <c r="H313" i="6" s="1"/>
  <c r="J313" i="6" s="1"/>
  <c r="G314" i="6"/>
  <c r="H314" i="6" s="1"/>
  <c r="J314" i="6" s="1"/>
  <c r="G315" i="6"/>
  <c r="H315" i="6" s="1"/>
  <c r="J315" i="6" s="1"/>
  <c r="G316" i="6"/>
  <c r="H316" i="6" s="1"/>
  <c r="J316" i="6" s="1"/>
  <c r="G317" i="6"/>
  <c r="H317" i="6" s="1"/>
  <c r="J317" i="6" s="1"/>
  <c r="G318" i="6"/>
  <c r="H318" i="6" s="1"/>
  <c r="J318" i="6" s="1"/>
  <c r="G319" i="6"/>
  <c r="H319" i="6" s="1"/>
  <c r="J319" i="6" s="1"/>
  <c r="G320" i="6"/>
  <c r="H320" i="6" s="1"/>
  <c r="J320" i="6" s="1"/>
  <c r="G321" i="6"/>
  <c r="H321" i="6" s="1"/>
  <c r="J321" i="6" s="1"/>
  <c r="G322" i="6"/>
  <c r="H322" i="6" s="1"/>
  <c r="J322" i="6" s="1"/>
  <c r="G323" i="6"/>
  <c r="H323" i="6" s="1"/>
  <c r="J323" i="6" s="1"/>
  <c r="G324" i="6"/>
  <c r="H324" i="6" s="1"/>
  <c r="J324" i="6" s="1"/>
  <c r="G325" i="6"/>
  <c r="H325" i="6" s="1"/>
  <c r="J325" i="6" s="1"/>
  <c r="G326" i="6"/>
  <c r="H326" i="6" s="1"/>
  <c r="J326" i="6" s="1"/>
  <c r="G327" i="6"/>
  <c r="H327" i="6" s="1"/>
  <c r="J327" i="6" s="1"/>
  <c r="G328" i="6"/>
  <c r="H328" i="6" s="1"/>
  <c r="J328" i="6" s="1"/>
  <c r="G329" i="6"/>
  <c r="H329" i="6" s="1"/>
  <c r="J329" i="6" s="1"/>
  <c r="G330" i="6"/>
  <c r="H330" i="6" s="1"/>
  <c r="J330" i="6" s="1"/>
  <c r="G331" i="6"/>
  <c r="H331" i="6" s="1"/>
  <c r="J331" i="6" s="1"/>
  <c r="G332" i="6"/>
  <c r="H332" i="6" s="1"/>
  <c r="J332" i="6" s="1"/>
  <c r="G333" i="6"/>
  <c r="H333" i="6" s="1"/>
  <c r="J333" i="6" s="1"/>
  <c r="G334" i="6"/>
  <c r="H334" i="6" s="1"/>
  <c r="J334" i="6" s="1"/>
  <c r="G335" i="6"/>
  <c r="H335" i="6" s="1"/>
  <c r="J335" i="6" s="1"/>
  <c r="G336" i="6"/>
  <c r="H336" i="6" s="1"/>
  <c r="J336" i="6" s="1"/>
  <c r="G337" i="6"/>
  <c r="H337" i="6" s="1"/>
  <c r="J337" i="6" s="1"/>
  <c r="G338" i="6"/>
  <c r="H338" i="6" s="1"/>
  <c r="J338" i="6" s="1"/>
  <c r="G339" i="6"/>
  <c r="H339" i="6" s="1"/>
  <c r="J339" i="6" s="1"/>
  <c r="G340" i="6"/>
  <c r="H340" i="6" s="1"/>
  <c r="J340" i="6" s="1"/>
  <c r="G341" i="6"/>
  <c r="H341" i="6" s="1"/>
  <c r="J341" i="6" s="1"/>
  <c r="G342" i="6"/>
  <c r="H342" i="6" s="1"/>
  <c r="J342" i="6" s="1"/>
  <c r="G343" i="6"/>
  <c r="H343" i="6" s="1"/>
  <c r="J343" i="6" s="1"/>
  <c r="G344" i="6"/>
  <c r="H344" i="6" s="1"/>
  <c r="J344" i="6" s="1"/>
  <c r="G345" i="6"/>
  <c r="H345" i="6" s="1"/>
  <c r="J345" i="6" s="1"/>
  <c r="G346" i="6"/>
  <c r="H346" i="6" s="1"/>
  <c r="J346" i="6" s="1"/>
  <c r="G347" i="6"/>
  <c r="H347" i="6" s="1"/>
  <c r="J347" i="6" s="1"/>
  <c r="G348" i="6"/>
  <c r="H348" i="6" s="1"/>
  <c r="J348" i="6" s="1"/>
  <c r="G349" i="6"/>
  <c r="H349" i="6" s="1"/>
  <c r="J349" i="6" s="1"/>
  <c r="G350" i="6"/>
  <c r="H350" i="6" s="1"/>
  <c r="J350" i="6" s="1"/>
  <c r="G351" i="6"/>
  <c r="H351" i="6" s="1"/>
  <c r="J351" i="6" s="1"/>
  <c r="G352" i="6"/>
  <c r="H352" i="6" s="1"/>
  <c r="J352" i="6" s="1"/>
  <c r="G353" i="6"/>
  <c r="H353" i="6" s="1"/>
  <c r="J353" i="6" s="1"/>
  <c r="G354" i="6"/>
  <c r="H354" i="6" s="1"/>
  <c r="J354" i="6" s="1"/>
  <c r="G355" i="6"/>
  <c r="H355" i="6" s="1"/>
  <c r="J355" i="6" s="1"/>
  <c r="G356" i="6"/>
  <c r="H356" i="6" s="1"/>
  <c r="J356" i="6" s="1"/>
  <c r="G357" i="6"/>
  <c r="H357" i="6" s="1"/>
  <c r="J357" i="6" s="1"/>
  <c r="G358" i="6"/>
  <c r="H358" i="6" s="1"/>
  <c r="J358" i="6" s="1"/>
  <c r="G359" i="6"/>
  <c r="H359" i="6" s="1"/>
  <c r="J359" i="6" s="1"/>
  <c r="G360" i="6"/>
  <c r="H360" i="6" s="1"/>
  <c r="J360" i="6" s="1"/>
  <c r="G361" i="6"/>
  <c r="H361" i="6" s="1"/>
  <c r="J361" i="6" s="1"/>
  <c r="G362" i="6"/>
  <c r="H362" i="6" s="1"/>
  <c r="J362" i="6" s="1"/>
  <c r="G363" i="6"/>
  <c r="H363" i="6" s="1"/>
  <c r="J363" i="6" s="1"/>
  <c r="G364" i="6"/>
  <c r="H364" i="6" s="1"/>
  <c r="J364" i="6" s="1"/>
  <c r="G365" i="6"/>
  <c r="H365" i="6" s="1"/>
  <c r="J365" i="6" s="1"/>
  <c r="G366" i="6"/>
  <c r="H366" i="6" s="1"/>
  <c r="J366" i="6" s="1"/>
  <c r="G367" i="6"/>
  <c r="H367" i="6" s="1"/>
  <c r="J367" i="6" s="1"/>
  <c r="G368" i="6"/>
  <c r="H368" i="6" s="1"/>
  <c r="J368" i="6" s="1"/>
  <c r="G369" i="6"/>
  <c r="H369" i="6" s="1"/>
  <c r="J369" i="6" s="1"/>
  <c r="G370" i="6"/>
  <c r="H370" i="6" s="1"/>
  <c r="J370" i="6" s="1"/>
  <c r="G371" i="6"/>
  <c r="H371" i="6" s="1"/>
  <c r="J371" i="6" s="1"/>
  <c r="G372" i="6"/>
  <c r="H372" i="6" s="1"/>
  <c r="J372" i="6" s="1"/>
  <c r="G373" i="6"/>
  <c r="H373" i="6" s="1"/>
  <c r="J373" i="6" s="1"/>
  <c r="G374" i="6"/>
  <c r="H374" i="6" s="1"/>
  <c r="J374" i="6" s="1"/>
  <c r="G375" i="6"/>
  <c r="H375" i="6" s="1"/>
  <c r="J375" i="6" s="1"/>
  <c r="G376" i="6"/>
  <c r="H376" i="6" s="1"/>
  <c r="J376" i="6" s="1"/>
  <c r="G377" i="6"/>
  <c r="H377" i="6" s="1"/>
  <c r="J377" i="6" s="1"/>
  <c r="G378" i="6"/>
  <c r="H378" i="6" s="1"/>
  <c r="J378" i="6" s="1"/>
  <c r="G379" i="6"/>
  <c r="H379" i="6" s="1"/>
  <c r="J379" i="6" s="1"/>
  <c r="G380" i="6"/>
  <c r="H380" i="6" s="1"/>
  <c r="J380" i="6" s="1"/>
  <c r="G381" i="6"/>
  <c r="H381" i="6" s="1"/>
  <c r="J381" i="6" s="1"/>
  <c r="G382" i="6"/>
  <c r="H382" i="6" s="1"/>
  <c r="J382" i="6" s="1"/>
  <c r="G383" i="6"/>
  <c r="H383" i="6" s="1"/>
  <c r="J383" i="6" s="1"/>
  <c r="G384" i="6"/>
  <c r="H384" i="6" s="1"/>
  <c r="J384" i="6" s="1"/>
  <c r="G385" i="6"/>
  <c r="H385" i="6" s="1"/>
  <c r="J385" i="6" s="1"/>
  <c r="G386" i="6"/>
  <c r="H386" i="6" s="1"/>
  <c r="J386" i="6" s="1"/>
  <c r="G387" i="6"/>
  <c r="H387" i="6" s="1"/>
  <c r="J387" i="6" s="1"/>
  <c r="G388" i="6"/>
  <c r="H388" i="6" s="1"/>
  <c r="J388" i="6" s="1"/>
  <c r="G389" i="6"/>
  <c r="H389" i="6" s="1"/>
  <c r="J389" i="6" s="1"/>
  <c r="G390" i="6"/>
  <c r="H390" i="6" s="1"/>
  <c r="J390" i="6" s="1"/>
  <c r="G391" i="6"/>
  <c r="H391" i="6" s="1"/>
  <c r="J391" i="6" s="1"/>
  <c r="G392" i="6"/>
  <c r="H392" i="6" s="1"/>
  <c r="J392" i="6" s="1"/>
  <c r="G393" i="6"/>
  <c r="H393" i="6" s="1"/>
  <c r="J393" i="6" s="1"/>
  <c r="G394" i="6"/>
  <c r="H394" i="6" s="1"/>
  <c r="J394" i="6" s="1"/>
  <c r="G395" i="6"/>
  <c r="H395" i="6" s="1"/>
  <c r="J395" i="6" s="1"/>
  <c r="G396" i="6"/>
  <c r="H396" i="6" s="1"/>
  <c r="J396" i="6" s="1"/>
  <c r="G397" i="6"/>
  <c r="H397" i="6" s="1"/>
  <c r="J397" i="6" s="1"/>
  <c r="G398" i="6"/>
  <c r="H398" i="6" s="1"/>
  <c r="J398" i="6" s="1"/>
  <c r="G399" i="6"/>
  <c r="H399" i="6" s="1"/>
  <c r="J399" i="6" s="1"/>
  <c r="G400" i="6"/>
  <c r="H400" i="6" s="1"/>
  <c r="J400" i="6" s="1"/>
  <c r="G401" i="6"/>
  <c r="H401" i="6" s="1"/>
  <c r="J401" i="6" s="1"/>
  <c r="G402" i="6"/>
  <c r="H402" i="6" s="1"/>
  <c r="J402" i="6" s="1"/>
  <c r="G403" i="6"/>
  <c r="H403" i="6" s="1"/>
  <c r="J403" i="6" s="1"/>
  <c r="G404" i="6"/>
  <c r="H404" i="6" s="1"/>
  <c r="J404" i="6" s="1"/>
  <c r="G405" i="6"/>
  <c r="H405" i="6" s="1"/>
  <c r="J405" i="6" s="1"/>
  <c r="G406" i="6"/>
  <c r="H406" i="6" s="1"/>
  <c r="J406" i="6" s="1"/>
  <c r="G407" i="6"/>
  <c r="H407" i="6" s="1"/>
  <c r="J407" i="6" s="1"/>
  <c r="G408" i="6"/>
  <c r="H408" i="6" s="1"/>
  <c r="J408" i="6" s="1"/>
  <c r="G409" i="6"/>
  <c r="H409" i="6" s="1"/>
  <c r="J409" i="6" s="1"/>
  <c r="G410" i="6"/>
  <c r="H410" i="6" s="1"/>
  <c r="J410" i="6" s="1"/>
  <c r="G411" i="6"/>
  <c r="H411" i="6" s="1"/>
  <c r="J411" i="6" s="1"/>
  <c r="G412" i="6"/>
  <c r="H412" i="6" s="1"/>
  <c r="J412" i="6" s="1"/>
  <c r="G413" i="6"/>
  <c r="H413" i="6" s="1"/>
  <c r="J413" i="6" s="1"/>
  <c r="G414" i="6"/>
  <c r="H414" i="6" s="1"/>
  <c r="J414" i="6" s="1"/>
  <c r="G415" i="6"/>
  <c r="H415" i="6" s="1"/>
  <c r="J415" i="6" s="1"/>
  <c r="G416" i="6"/>
  <c r="H416" i="6" s="1"/>
  <c r="J416" i="6" s="1"/>
  <c r="G417" i="6"/>
  <c r="H417" i="6" s="1"/>
  <c r="J417" i="6" s="1"/>
  <c r="G418" i="6"/>
  <c r="H418" i="6" s="1"/>
  <c r="J418" i="6" s="1"/>
  <c r="G419" i="6"/>
  <c r="H419" i="6" s="1"/>
  <c r="J419" i="6" s="1"/>
  <c r="G420" i="6"/>
  <c r="H420" i="6" s="1"/>
  <c r="J420" i="6" s="1"/>
  <c r="G421" i="6"/>
  <c r="H421" i="6" s="1"/>
  <c r="J421" i="6" s="1"/>
  <c r="G422" i="6"/>
  <c r="H422" i="6" s="1"/>
  <c r="J422" i="6" s="1"/>
  <c r="G423" i="6"/>
  <c r="H423" i="6" s="1"/>
  <c r="J423" i="6" s="1"/>
  <c r="G424" i="6"/>
  <c r="H424" i="6" s="1"/>
  <c r="J424" i="6" s="1"/>
  <c r="G425" i="6"/>
  <c r="H425" i="6" s="1"/>
  <c r="J425" i="6" s="1"/>
  <c r="G426" i="6"/>
  <c r="H426" i="6" s="1"/>
  <c r="J426" i="6" s="1"/>
  <c r="G427" i="6"/>
  <c r="H427" i="6" s="1"/>
  <c r="J427" i="6" s="1"/>
  <c r="G428" i="6"/>
  <c r="H428" i="6" s="1"/>
  <c r="J428" i="6" s="1"/>
  <c r="G429" i="6"/>
  <c r="H429" i="6" s="1"/>
  <c r="J429" i="6" s="1"/>
  <c r="G430" i="6"/>
  <c r="H430" i="6" s="1"/>
  <c r="J430" i="6" s="1"/>
  <c r="G431" i="6"/>
  <c r="H431" i="6" s="1"/>
  <c r="J431" i="6" s="1"/>
  <c r="G432" i="6"/>
  <c r="H432" i="6" s="1"/>
  <c r="J432" i="6" s="1"/>
  <c r="G433" i="6"/>
  <c r="H433" i="6" s="1"/>
  <c r="J433" i="6" s="1"/>
  <c r="G434" i="6"/>
  <c r="H434" i="6" s="1"/>
  <c r="J434" i="6" s="1"/>
  <c r="G435" i="6"/>
  <c r="H435" i="6" s="1"/>
  <c r="J435" i="6" s="1"/>
  <c r="G436" i="6"/>
  <c r="H436" i="6" s="1"/>
  <c r="J436" i="6" s="1"/>
  <c r="G437" i="6"/>
  <c r="H437" i="6" s="1"/>
  <c r="J437" i="6" s="1"/>
  <c r="G438" i="6"/>
  <c r="H438" i="6" s="1"/>
  <c r="J438" i="6" s="1"/>
  <c r="G439" i="6"/>
  <c r="H439" i="6" s="1"/>
  <c r="J439" i="6" s="1"/>
  <c r="G440" i="6"/>
  <c r="H440" i="6" s="1"/>
  <c r="J440" i="6" s="1"/>
  <c r="G441" i="6"/>
  <c r="H441" i="6" s="1"/>
  <c r="J441" i="6" s="1"/>
  <c r="G442" i="6"/>
  <c r="H442" i="6" s="1"/>
  <c r="J442" i="6" s="1"/>
  <c r="G443" i="6"/>
  <c r="H443" i="6" s="1"/>
  <c r="J443" i="6" s="1"/>
  <c r="G444" i="6"/>
  <c r="H444" i="6" s="1"/>
  <c r="J444" i="6" s="1"/>
  <c r="G445" i="6"/>
  <c r="H445" i="6" s="1"/>
  <c r="J445" i="6" s="1"/>
  <c r="G446" i="6"/>
  <c r="H446" i="6" s="1"/>
  <c r="J446" i="6" s="1"/>
  <c r="G447" i="6"/>
  <c r="H447" i="6" s="1"/>
  <c r="J447" i="6" s="1"/>
  <c r="G448" i="6"/>
  <c r="H448" i="6" s="1"/>
  <c r="J448" i="6" s="1"/>
  <c r="G449" i="6"/>
  <c r="H449" i="6" s="1"/>
  <c r="J449" i="6" s="1"/>
  <c r="G450" i="6"/>
  <c r="H450" i="6" s="1"/>
  <c r="J450" i="6" s="1"/>
  <c r="G451" i="6"/>
  <c r="H451" i="6" s="1"/>
  <c r="J451" i="6" s="1"/>
  <c r="G452" i="6"/>
  <c r="H452" i="6" s="1"/>
  <c r="J452" i="6" s="1"/>
  <c r="G453" i="6"/>
  <c r="H453" i="6" s="1"/>
  <c r="J453" i="6" s="1"/>
  <c r="G454" i="6"/>
  <c r="H454" i="6" s="1"/>
  <c r="J454" i="6" s="1"/>
  <c r="G455" i="6"/>
  <c r="H455" i="6" s="1"/>
  <c r="J455" i="6" s="1"/>
  <c r="G456" i="6"/>
  <c r="H456" i="6" s="1"/>
  <c r="J456" i="6" s="1"/>
  <c r="G457" i="6"/>
  <c r="H457" i="6" s="1"/>
  <c r="J457" i="6" s="1"/>
  <c r="G458" i="6"/>
  <c r="H458" i="6" s="1"/>
  <c r="J458" i="6" s="1"/>
  <c r="G459" i="6"/>
  <c r="H459" i="6" s="1"/>
  <c r="J459" i="6" s="1"/>
  <c r="G460" i="6"/>
  <c r="H460" i="6" s="1"/>
  <c r="J460" i="6" s="1"/>
  <c r="G461" i="6"/>
  <c r="H461" i="6" s="1"/>
  <c r="J461" i="6" s="1"/>
  <c r="G462" i="6"/>
  <c r="H462" i="6" s="1"/>
  <c r="J462" i="6" s="1"/>
  <c r="G463" i="6"/>
  <c r="H463" i="6" s="1"/>
  <c r="J463" i="6" s="1"/>
  <c r="G464" i="6"/>
  <c r="H464" i="6" s="1"/>
  <c r="J464" i="6" s="1"/>
  <c r="G465" i="6"/>
  <c r="H465" i="6" s="1"/>
  <c r="J465" i="6" s="1"/>
  <c r="G466" i="6"/>
  <c r="H466" i="6" s="1"/>
  <c r="J466" i="6" s="1"/>
  <c r="G467" i="6"/>
  <c r="H467" i="6" s="1"/>
  <c r="J467" i="6" s="1"/>
  <c r="G468" i="6"/>
  <c r="H468" i="6" s="1"/>
  <c r="J468" i="6" s="1"/>
  <c r="G469" i="6"/>
  <c r="H469" i="6" s="1"/>
  <c r="J469" i="6" s="1"/>
  <c r="G470" i="6"/>
  <c r="H470" i="6" s="1"/>
  <c r="J470" i="6" s="1"/>
  <c r="G471" i="6"/>
  <c r="H471" i="6" s="1"/>
  <c r="J471" i="6" s="1"/>
  <c r="G472" i="6"/>
  <c r="H472" i="6" s="1"/>
  <c r="J472" i="6" s="1"/>
  <c r="G473" i="6"/>
  <c r="H473" i="6" s="1"/>
  <c r="J473" i="6" s="1"/>
  <c r="G474" i="6"/>
  <c r="H474" i="6" s="1"/>
  <c r="J474" i="6" s="1"/>
  <c r="G475" i="6"/>
  <c r="H475" i="6" s="1"/>
  <c r="J475" i="6" s="1"/>
  <c r="G476" i="6"/>
  <c r="H476" i="6" s="1"/>
  <c r="J476" i="6" s="1"/>
  <c r="G477" i="6"/>
  <c r="H477" i="6" s="1"/>
  <c r="J477" i="6" s="1"/>
  <c r="G478" i="6"/>
  <c r="H478" i="6" s="1"/>
  <c r="J478" i="6" s="1"/>
  <c r="G479" i="6"/>
  <c r="H479" i="6" s="1"/>
  <c r="J479" i="6" s="1"/>
  <c r="G480" i="6"/>
  <c r="H480" i="6" s="1"/>
  <c r="J480" i="6" s="1"/>
  <c r="G481" i="6"/>
  <c r="H481" i="6" s="1"/>
  <c r="J481" i="6" s="1"/>
  <c r="G482" i="6"/>
  <c r="H482" i="6" s="1"/>
  <c r="J482" i="6" s="1"/>
  <c r="G483" i="6"/>
  <c r="H483" i="6" s="1"/>
  <c r="J483" i="6" s="1"/>
  <c r="G484" i="6"/>
  <c r="H484" i="6" s="1"/>
  <c r="J484" i="6" s="1"/>
  <c r="G485" i="6"/>
  <c r="H485" i="6" s="1"/>
  <c r="J485" i="6" s="1"/>
  <c r="G486" i="6"/>
  <c r="H486" i="6" s="1"/>
  <c r="J486" i="6" s="1"/>
  <c r="G487" i="6"/>
  <c r="H487" i="6" s="1"/>
  <c r="J487" i="6" s="1"/>
  <c r="G488" i="6"/>
  <c r="H488" i="6" s="1"/>
  <c r="J488" i="6" s="1"/>
  <c r="G489" i="6"/>
  <c r="H489" i="6" s="1"/>
  <c r="J489" i="6" s="1"/>
  <c r="G490" i="6"/>
  <c r="H490" i="6" s="1"/>
  <c r="J490" i="6" s="1"/>
  <c r="G491" i="6"/>
  <c r="H491" i="6" s="1"/>
  <c r="J491" i="6" s="1"/>
  <c r="G492" i="6"/>
  <c r="H492" i="6" s="1"/>
  <c r="J492" i="6" s="1"/>
  <c r="G493" i="6"/>
  <c r="H493" i="6" s="1"/>
  <c r="J493" i="6" s="1"/>
  <c r="G494" i="6"/>
  <c r="H494" i="6" s="1"/>
  <c r="J494" i="6" s="1"/>
  <c r="G495" i="6"/>
  <c r="H495" i="6" s="1"/>
  <c r="J495" i="6" s="1"/>
  <c r="G496" i="6"/>
  <c r="H496" i="6" s="1"/>
  <c r="J496" i="6" s="1"/>
  <c r="G497" i="6"/>
  <c r="H497" i="6" s="1"/>
  <c r="J497" i="6" s="1"/>
  <c r="G498" i="6"/>
  <c r="H498" i="6" s="1"/>
  <c r="J498" i="6" s="1"/>
  <c r="G499" i="6"/>
  <c r="H499" i="6" s="1"/>
  <c r="J499" i="6" s="1"/>
  <c r="G500" i="6"/>
  <c r="H500" i="6" s="1"/>
  <c r="J500" i="6" s="1"/>
  <c r="G501" i="6"/>
  <c r="H501" i="6" s="1"/>
  <c r="J501" i="6" s="1"/>
  <c r="G502" i="6"/>
  <c r="H502" i="6" s="1"/>
  <c r="J502" i="6" s="1"/>
  <c r="G503" i="6"/>
  <c r="H503" i="6" s="1"/>
  <c r="J503" i="6" s="1"/>
  <c r="G504" i="6"/>
  <c r="H504" i="6" s="1"/>
  <c r="J504" i="6" s="1"/>
  <c r="G505" i="6"/>
  <c r="H505" i="6" s="1"/>
  <c r="J505" i="6" s="1"/>
  <c r="G506" i="6"/>
  <c r="H506" i="6" s="1"/>
  <c r="J506" i="6" s="1"/>
  <c r="G507" i="6"/>
  <c r="H507" i="6" s="1"/>
  <c r="J507" i="6" s="1"/>
  <c r="G508" i="6"/>
  <c r="H508" i="6" s="1"/>
  <c r="J508" i="6" s="1"/>
  <c r="G509" i="6"/>
  <c r="H509" i="6" s="1"/>
  <c r="J509" i="6" s="1"/>
  <c r="G510" i="6"/>
  <c r="H510" i="6" s="1"/>
  <c r="J510" i="6" s="1"/>
  <c r="G511" i="6"/>
  <c r="H511" i="6" s="1"/>
  <c r="J511" i="6" s="1"/>
  <c r="G512" i="6"/>
  <c r="H512" i="6" s="1"/>
  <c r="J512" i="6" s="1"/>
  <c r="G513" i="6"/>
  <c r="H513" i="6" s="1"/>
  <c r="J513" i="6" s="1"/>
  <c r="G514" i="6"/>
  <c r="H514" i="6" s="1"/>
  <c r="J514" i="6" s="1"/>
  <c r="G515" i="6"/>
  <c r="H515" i="6" s="1"/>
  <c r="J515" i="6" s="1"/>
  <c r="G516" i="6"/>
  <c r="H516" i="6" s="1"/>
  <c r="J516" i="6" s="1"/>
  <c r="G517" i="6"/>
  <c r="H517" i="6" s="1"/>
  <c r="J517" i="6" s="1"/>
  <c r="G518" i="6"/>
  <c r="H518" i="6" s="1"/>
  <c r="J518" i="6" s="1"/>
  <c r="G519" i="6"/>
  <c r="H519" i="6" s="1"/>
  <c r="J519" i="6" s="1"/>
  <c r="G520" i="6"/>
  <c r="H520" i="6" s="1"/>
  <c r="J520" i="6" s="1"/>
  <c r="G521" i="6"/>
  <c r="H521" i="6" s="1"/>
  <c r="J521" i="6" s="1"/>
  <c r="G522" i="6"/>
  <c r="H522" i="6" s="1"/>
  <c r="J522" i="6" s="1"/>
  <c r="G523" i="6"/>
  <c r="H523" i="6" s="1"/>
  <c r="J523" i="6" s="1"/>
  <c r="G524" i="6"/>
  <c r="H524" i="6" s="1"/>
  <c r="J524" i="6" s="1"/>
  <c r="G525" i="6"/>
  <c r="H525" i="6" s="1"/>
  <c r="J525" i="6" s="1"/>
  <c r="G526" i="6"/>
  <c r="H526" i="6" s="1"/>
  <c r="J526" i="6" s="1"/>
  <c r="G527" i="6"/>
  <c r="H527" i="6" s="1"/>
  <c r="J527" i="6" s="1"/>
  <c r="G528" i="6"/>
  <c r="H528" i="6" s="1"/>
  <c r="J528" i="6" s="1"/>
  <c r="G529" i="6"/>
  <c r="H529" i="6" s="1"/>
  <c r="J529" i="6" s="1"/>
  <c r="G530" i="6"/>
  <c r="H530" i="6" s="1"/>
  <c r="J530" i="6" s="1"/>
  <c r="G531" i="6"/>
  <c r="H531" i="6" s="1"/>
  <c r="J531" i="6" s="1"/>
  <c r="G532" i="6"/>
  <c r="H532" i="6" s="1"/>
  <c r="J532" i="6" s="1"/>
  <c r="G533" i="6"/>
  <c r="H533" i="6" s="1"/>
  <c r="J533" i="6" s="1"/>
  <c r="G534" i="6"/>
  <c r="H534" i="6" s="1"/>
  <c r="J534" i="6" s="1"/>
  <c r="G535" i="6"/>
  <c r="H535" i="6" s="1"/>
  <c r="J535" i="6" s="1"/>
  <c r="G536" i="6"/>
  <c r="H536" i="6" s="1"/>
  <c r="J536" i="6" s="1"/>
  <c r="G537" i="6"/>
  <c r="H537" i="6" s="1"/>
  <c r="J537" i="6" s="1"/>
  <c r="G538" i="6"/>
  <c r="H538" i="6" s="1"/>
  <c r="J538" i="6" s="1"/>
  <c r="G539" i="6"/>
  <c r="H539" i="6" s="1"/>
  <c r="J539" i="6" s="1"/>
  <c r="G540" i="6"/>
  <c r="H540" i="6" s="1"/>
  <c r="J540" i="6" s="1"/>
  <c r="G541" i="6"/>
  <c r="H541" i="6" s="1"/>
  <c r="J541" i="6" s="1"/>
  <c r="G542" i="6"/>
  <c r="H542" i="6" s="1"/>
  <c r="J542" i="6" s="1"/>
  <c r="G543" i="6"/>
  <c r="H543" i="6" s="1"/>
  <c r="J543" i="6" s="1"/>
  <c r="G544" i="6"/>
  <c r="H544" i="6" s="1"/>
  <c r="J544" i="6" s="1"/>
  <c r="G545" i="6"/>
  <c r="H545" i="6" s="1"/>
  <c r="J545" i="6" s="1"/>
  <c r="G546" i="6"/>
  <c r="H546" i="6" s="1"/>
  <c r="J546" i="6" s="1"/>
  <c r="G547" i="6"/>
  <c r="H547" i="6" s="1"/>
  <c r="J547" i="6" s="1"/>
  <c r="G548" i="6"/>
  <c r="H548" i="6" s="1"/>
  <c r="J548" i="6" s="1"/>
  <c r="G549" i="6"/>
  <c r="H549" i="6" s="1"/>
  <c r="J549" i="6" s="1"/>
  <c r="G550" i="6"/>
  <c r="H550" i="6" s="1"/>
  <c r="J550" i="6" s="1"/>
  <c r="G551" i="6"/>
  <c r="H551" i="6" s="1"/>
  <c r="J551" i="6" s="1"/>
  <c r="G552" i="6"/>
  <c r="H552" i="6" s="1"/>
  <c r="J552" i="6" s="1"/>
  <c r="G553" i="6"/>
  <c r="H553" i="6" s="1"/>
  <c r="J553" i="6" s="1"/>
  <c r="G554" i="6"/>
  <c r="H554" i="6" s="1"/>
  <c r="J554" i="6" s="1"/>
  <c r="G555" i="6"/>
  <c r="H555" i="6" s="1"/>
  <c r="J555" i="6" s="1"/>
  <c r="G556" i="6"/>
  <c r="H556" i="6" s="1"/>
  <c r="J556" i="6" s="1"/>
  <c r="G557" i="6"/>
  <c r="H557" i="6" s="1"/>
  <c r="J557" i="6" s="1"/>
  <c r="G558" i="6"/>
  <c r="H558" i="6" s="1"/>
  <c r="J558" i="6" s="1"/>
  <c r="G559" i="6"/>
  <c r="H559" i="6" s="1"/>
  <c r="J559" i="6" s="1"/>
  <c r="G560" i="6"/>
  <c r="H560" i="6" s="1"/>
  <c r="J560" i="6" s="1"/>
  <c r="G561" i="6"/>
  <c r="H561" i="6" s="1"/>
  <c r="J561" i="6" s="1"/>
  <c r="G562" i="6"/>
  <c r="H562" i="6" s="1"/>
  <c r="J562" i="6" s="1"/>
  <c r="G563" i="6"/>
  <c r="H563" i="6" s="1"/>
  <c r="J563" i="6" s="1"/>
  <c r="G564" i="6"/>
  <c r="H564" i="6" s="1"/>
  <c r="J564" i="6" s="1"/>
  <c r="G565" i="6"/>
  <c r="H565" i="6" s="1"/>
  <c r="J565" i="6" s="1"/>
  <c r="G566" i="6"/>
  <c r="H566" i="6" s="1"/>
  <c r="J566" i="6" s="1"/>
  <c r="G567" i="6"/>
  <c r="H567" i="6" s="1"/>
  <c r="J567" i="6" s="1"/>
  <c r="G568" i="6"/>
  <c r="H568" i="6" s="1"/>
  <c r="J568" i="6" s="1"/>
  <c r="G569" i="6"/>
  <c r="H569" i="6" s="1"/>
  <c r="J569" i="6" s="1"/>
  <c r="G570" i="6"/>
  <c r="H570" i="6" s="1"/>
  <c r="J570" i="6" s="1"/>
  <c r="G571" i="6"/>
  <c r="H571" i="6" s="1"/>
  <c r="J571" i="6" s="1"/>
  <c r="G572" i="6"/>
  <c r="H572" i="6" s="1"/>
  <c r="J572" i="6" s="1"/>
  <c r="G573" i="6"/>
  <c r="H573" i="6" s="1"/>
  <c r="J573" i="6" s="1"/>
  <c r="G574" i="6"/>
  <c r="H574" i="6" s="1"/>
  <c r="J574" i="6" s="1"/>
  <c r="G575" i="6"/>
  <c r="H575" i="6" s="1"/>
  <c r="J575" i="6" s="1"/>
  <c r="G576" i="6"/>
  <c r="H576" i="6" s="1"/>
  <c r="J576" i="6" s="1"/>
  <c r="G577" i="6"/>
  <c r="H577" i="6" s="1"/>
  <c r="J577" i="6" s="1"/>
  <c r="G578" i="6"/>
  <c r="H578" i="6" s="1"/>
  <c r="J578" i="6" s="1"/>
  <c r="G579" i="6"/>
  <c r="H579" i="6" s="1"/>
  <c r="J579" i="6" s="1"/>
  <c r="G580" i="6"/>
  <c r="H580" i="6" s="1"/>
  <c r="J580" i="6" s="1"/>
  <c r="G581" i="6"/>
  <c r="H581" i="6" s="1"/>
  <c r="J581" i="6" s="1"/>
  <c r="G582" i="6"/>
  <c r="H582" i="6" s="1"/>
  <c r="J582" i="6" s="1"/>
  <c r="G583" i="6"/>
  <c r="H583" i="6" s="1"/>
  <c r="J583" i="6" s="1"/>
  <c r="G584" i="6"/>
  <c r="H584" i="6" s="1"/>
  <c r="J584" i="6" s="1"/>
  <c r="G585" i="6"/>
  <c r="H585" i="6" s="1"/>
  <c r="J585" i="6" s="1"/>
  <c r="G586" i="6"/>
  <c r="H586" i="6" s="1"/>
  <c r="J586" i="6" s="1"/>
  <c r="G587" i="6"/>
  <c r="H587" i="6" s="1"/>
  <c r="J587" i="6" s="1"/>
  <c r="G588" i="6"/>
  <c r="H588" i="6" s="1"/>
  <c r="J588" i="6" s="1"/>
  <c r="G589" i="6"/>
  <c r="H589" i="6" s="1"/>
  <c r="J589" i="6" s="1"/>
  <c r="G590" i="6"/>
  <c r="H590" i="6" s="1"/>
  <c r="J590" i="6" s="1"/>
  <c r="G591" i="6"/>
  <c r="H591" i="6" s="1"/>
  <c r="J591" i="6" s="1"/>
  <c r="G592" i="6"/>
  <c r="H592" i="6" s="1"/>
  <c r="J592" i="6" s="1"/>
  <c r="G593" i="6"/>
  <c r="H593" i="6" s="1"/>
  <c r="J593" i="6" s="1"/>
  <c r="G594" i="6"/>
  <c r="H594" i="6" s="1"/>
  <c r="J594" i="6" s="1"/>
  <c r="G595" i="6"/>
  <c r="H595" i="6" s="1"/>
  <c r="J595" i="6" s="1"/>
  <c r="G596" i="6"/>
  <c r="H596" i="6" s="1"/>
  <c r="J596" i="6" s="1"/>
  <c r="G597" i="6"/>
  <c r="H597" i="6" s="1"/>
  <c r="J597" i="6" s="1"/>
  <c r="G598" i="6"/>
  <c r="H598" i="6" s="1"/>
  <c r="J598" i="6" s="1"/>
  <c r="G599" i="6"/>
  <c r="H599" i="6" s="1"/>
  <c r="J599" i="6" s="1"/>
  <c r="G600" i="6"/>
  <c r="H600" i="6" s="1"/>
  <c r="J600" i="6" s="1"/>
  <c r="G601" i="6"/>
  <c r="H601" i="6" s="1"/>
  <c r="J601" i="6" s="1"/>
  <c r="G602" i="6"/>
  <c r="H602" i="6" s="1"/>
  <c r="J602" i="6" s="1"/>
  <c r="G603" i="6"/>
  <c r="H603" i="6" s="1"/>
  <c r="J603" i="6" s="1"/>
  <c r="G604" i="6"/>
  <c r="H604" i="6" s="1"/>
  <c r="J604" i="6" s="1"/>
  <c r="G605" i="6"/>
  <c r="H605" i="6" s="1"/>
  <c r="J605" i="6" s="1"/>
  <c r="G606" i="6"/>
  <c r="H606" i="6" s="1"/>
  <c r="J606" i="6" s="1"/>
  <c r="G607" i="6"/>
  <c r="H607" i="6" s="1"/>
  <c r="J607" i="6" s="1"/>
  <c r="G608" i="6"/>
  <c r="H608" i="6" s="1"/>
  <c r="J608" i="6" s="1"/>
  <c r="G609" i="6"/>
  <c r="H609" i="6" s="1"/>
  <c r="J609" i="6" s="1"/>
  <c r="G610" i="6"/>
  <c r="H610" i="6" s="1"/>
  <c r="J610" i="6" s="1"/>
  <c r="G611" i="6"/>
  <c r="H611" i="6" s="1"/>
  <c r="J611" i="6" s="1"/>
  <c r="G612" i="6"/>
  <c r="H612" i="6" s="1"/>
  <c r="J612" i="6" s="1"/>
  <c r="G613" i="6"/>
  <c r="H613" i="6" s="1"/>
  <c r="J613" i="6" s="1"/>
  <c r="G614" i="6"/>
  <c r="H614" i="6" s="1"/>
  <c r="J614" i="6" s="1"/>
  <c r="G615" i="6"/>
  <c r="H615" i="6" s="1"/>
  <c r="J615" i="6" s="1"/>
  <c r="G616" i="6"/>
  <c r="H616" i="6" s="1"/>
  <c r="J616" i="6" s="1"/>
  <c r="G617" i="6"/>
  <c r="H617" i="6" s="1"/>
  <c r="J617" i="6" s="1"/>
  <c r="G618" i="6"/>
  <c r="H618" i="6" s="1"/>
  <c r="J618" i="6" s="1"/>
  <c r="G619" i="6"/>
  <c r="H619" i="6" s="1"/>
  <c r="J619" i="6" s="1"/>
  <c r="G620" i="6"/>
  <c r="H620" i="6" s="1"/>
  <c r="J620" i="6" s="1"/>
  <c r="G621" i="6"/>
  <c r="H621" i="6" s="1"/>
  <c r="J621" i="6" s="1"/>
  <c r="G622" i="6"/>
  <c r="H622" i="6" s="1"/>
  <c r="J622" i="6" s="1"/>
  <c r="G623" i="6"/>
  <c r="H623" i="6" s="1"/>
  <c r="J623" i="6" s="1"/>
  <c r="G624" i="6"/>
  <c r="H624" i="6" s="1"/>
  <c r="J624" i="6" s="1"/>
  <c r="G625" i="6"/>
  <c r="H625" i="6" s="1"/>
  <c r="J625" i="6" s="1"/>
  <c r="G626" i="6"/>
  <c r="H626" i="6" s="1"/>
  <c r="J626" i="6" s="1"/>
  <c r="G627" i="6"/>
  <c r="H627" i="6" s="1"/>
  <c r="J627" i="6" s="1"/>
  <c r="G628" i="6"/>
  <c r="H628" i="6" s="1"/>
  <c r="J628" i="6" s="1"/>
  <c r="G629" i="6"/>
  <c r="H629" i="6" s="1"/>
  <c r="J629" i="6" s="1"/>
  <c r="G630" i="6"/>
  <c r="H630" i="6" s="1"/>
  <c r="J630" i="6" s="1"/>
  <c r="G631" i="6"/>
  <c r="H631" i="6" s="1"/>
  <c r="J631" i="6" s="1"/>
  <c r="G632" i="6"/>
  <c r="H632" i="6" s="1"/>
  <c r="J632" i="6" s="1"/>
  <c r="G633" i="6"/>
  <c r="H633" i="6" s="1"/>
  <c r="J633" i="6" s="1"/>
  <c r="G634" i="6"/>
  <c r="H634" i="6" s="1"/>
  <c r="J634" i="6" s="1"/>
  <c r="G635" i="6"/>
  <c r="H635" i="6" s="1"/>
  <c r="J635" i="6" s="1"/>
  <c r="G636" i="6"/>
  <c r="H636" i="6" s="1"/>
  <c r="J636" i="6" s="1"/>
  <c r="G637" i="6"/>
  <c r="H637" i="6" s="1"/>
  <c r="J637" i="6" s="1"/>
  <c r="G638" i="6"/>
  <c r="H638" i="6" s="1"/>
  <c r="J638" i="6" s="1"/>
  <c r="G639" i="6"/>
  <c r="H639" i="6" s="1"/>
  <c r="J639" i="6" s="1"/>
  <c r="G640" i="6"/>
  <c r="H640" i="6" s="1"/>
  <c r="J640" i="6" s="1"/>
  <c r="G641" i="6"/>
  <c r="H641" i="6" s="1"/>
  <c r="J641" i="6" s="1"/>
  <c r="G642" i="6"/>
  <c r="H642" i="6" s="1"/>
  <c r="J642" i="6" s="1"/>
  <c r="G643" i="6"/>
  <c r="H643" i="6" s="1"/>
  <c r="J643" i="6" s="1"/>
  <c r="G644" i="6"/>
  <c r="H644" i="6" s="1"/>
  <c r="J644" i="6" s="1"/>
  <c r="G645" i="6"/>
  <c r="H645" i="6" s="1"/>
  <c r="J645" i="6" s="1"/>
  <c r="G646" i="6"/>
  <c r="H646" i="6" s="1"/>
  <c r="J646" i="6" s="1"/>
  <c r="G647" i="6"/>
  <c r="H647" i="6" s="1"/>
  <c r="J647" i="6" s="1"/>
  <c r="G648" i="6"/>
  <c r="H648" i="6" s="1"/>
  <c r="J648" i="6" s="1"/>
  <c r="G649" i="6"/>
  <c r="H649" i="6" s="1"/>
  <c r="J649" i="6" s="1"/>
  <c r="G650" i="6"/>
  <c r="H650" i="6" s="1"/>
  <c r="J650" i="6" s="1"/>
  <c r="G651" i="6"/>
  <c r="H651" i="6" s="1"/>
  <c r="J651" i="6" s="1"/>
  <c r="G652" i="6"/>
  <c r="H652" i="6" s="1"/>
  <c r="J652" i="6" s="1"/>
  <c r="G653" i="6"/>
  <c r="H653" i="6" s="1"/>
  <c r="J653" i="6" s="1"/>
  <c r="G654" i="6"/>
  <c r="H654" i="6" s="1"/>
  <c r="J654" i="6" s="1"/>
  <c r="G655" i="6"/>
  <c r="H655" i="6" s="1"/>
  <c r="J655" i="6" s="1"/>
  <c r="G656" i="6"/>
  <c r="H656" i="6" s="1"/>
  <c r="J656" i="6" s="1"/>
  <c r="G658" i="6"/>
  <c r="H658" i="6" s="1"/>
  <c r="J658" i="6" s="1"/>
  <c r="G659" i="6"/>
  <c r="H659" i="6" s="1"/>
  <c r="J659" i="6" s="1"/>
  <c r="G660" i="6"/>
  <c r="H660" i="6" s="1"/>
  <c r="J660" i="6" s="1"/>
  <c r="G661" i="6"/>
  <c r="H661" i="6" s="1"/>
  <c r="J661" i="6" s="1"/>
  <c r="G662" i="6"/>
  <c r="H662" i="6" s="1"/>
  <c r="J662" i="6" s="1"/>
  <c r="G663" i="6"/>
  <c r="H663" i="6" s="1"/>
  <c r="J663" i="6" s="1"/>
  <c r="G664" i="6"/>
  <c r="H664" i="6" s="1"/>
  <c r="J664" i="6" s="1"/>
  <c r="G665" i="6"/>
  <c r="H665" i="6" s="1"/>
  <c r="J665" i="6" s="1"/>
  <c r="G666" i="6"/>
  <c r="H666" i="6" s="1"/>
  <c r="J666" i="6" s="1"/>
  <c r="G667" i="6"/>
  <c r="H667" i="6" s="1"/>
  <c r="J667" i="6" s="1"/>
  <c r="G668" i="6"/>
  <c r="H668" i="6" s="1"/>
  <c r="J668" i="6" s="1"/>
  <c r="G669" i="6"/>
  <c r="H669" i="6" s="1"/>
  <c r="J669" i="6" s="1"/>
  <c r="G670" i="6"/>
  <c r="H670" i="6" s="1"/>
  <c r="J670" i="6" s="1"/>
  <c r="G671" i="6"/>
  <c r="H671" i="6" s="1"/>
  <c r="J671" i="6" s="1"/>
  <c r="G672" i="6"/>
  <c r="H672" i="6" s="1"/>
  <c r="J672" i="6" s="1"/>
  <c r="G673" i="6"/>
  <c r="H673" i="6" s="1"/>
  <c r="J673" i="6" s="1"/>
  <c r="G674" i="6"/>
  <c r="H674" i="6" s="1"/>
  <c r="J674" i="6" s="1"/>
  <c r="G675" i="6"/>
  <c r="H675" i="6" s="1"/>
  <c r="J675" i="6" s="1"/>
  <c r="G676" i="6"/>
  <c r="H676" i="6" s="1"/>
  <c r="J676" i="6" s="1"/>
  <c r="G677" i="6"/>
  <c r="H677" i="6" s="1"/>
  <c r="J677" i="6" s="1"/>
  <c r="G678" i="6"/>
  <c r="H678" i="6" s="1"/>
  <c r="J678" i="6" s="1"/>
  <c r="G679" i="6"/>
  <c r="H679" i="6" s="1"/>
  <c r="J679" i="6" s="1"/>
  <c r="G680" i="6"/>
  <c r="H680" i="6" s="1"/>
  <c r="J680" i="6" s="1"/>
  <c r="G681" i="6"/>
  <c r="H681" i="6" s="1"/>
  <c r="J681" i="6" s="1"/>
  <c r="G682" i="6"/>
  <c r="H682" i="6" s="1"/>
  <c r="J682" i="6" s="1"/>
  <c r="G683" i="6"/>
  <c r="H683" i="6" s="1"/>
  <c r="J683" i="6" s="1"/>
  <c r="G684" i="6"/>
  <c r="H684" i="6" s="1"/>
  <c r="J684" i="6" s="1"/>
  <c r="G685" i="6"/>
  <c r="H685" i="6" s="1"/>
  <c r="J685" i="6" s="1"/>
  <c r="G686" i="6"/>
  <c r="H686" i="6" s="1"/>
  <c r="J686" i="6" s="1"/>
  <c r="G687" i="6"/>
  <c r="H687" i="6" s="1"/>
  <c r="J687" i="6" s="1"/>
  <c r="G688" i="6"/>
  <c r="H688" i="6" s="1"/>
  <c r="J688" i="6" s="1"/>
  <c r="G689" i="6"/>
  <c r="H689" i="6" s="1"/>
  <c r="J689" i="6" s="1"/>
  <c r="G690" i="6"/>
  <c r="H690" i="6" s="1"/>
  <c r="J690" i="6" s="1"/>
  <c r="G691" i="6"/>
  <c r="H691" i="6" s="1"/>
  <c r="J691" i="6" s="1"/>
  <c r="G692" i="6"/>
  <c r="H692" i="6" s="1"/>
  <c r="J692" i="6" s="1"/>
  <c r="G693" i="6"/>
  <c r="H693" i="6" s="1"/>
  <c r="J693" i="6" s="1"/>
  <c r="G694" i="6"/>
  <c r="H694" i="6" s="1"/>
  <c r="J694" i="6" s="1"/>
  <c r="G695" i="6"/>
  <c r="H695" i="6" s="1"/>
  <c r="J695" i="6" s="1"/>
  <c r="G696" i="6"/>
  <c r="H696" i="6" s="1"/>
  <c r="J696" i="6" s="1"/>
  <c r="G697" i="6"/>
  <c r="H697" i="6" s="1"/>
  <c r="J697" i="6" s="1"/>
  <c r="G698" i="6"/>
  <c r="H698" i="6" s="1"/>
  <c r="J698" i="6" s="1"/>
  <c r="G699" i="6"/>
  <c r="H699" i="6" s="1"/>
  <c r="J699" i="6" s="1"/>
  <c r="G700" i="6"/>
  <c r="H700" i="6" s="1"/>
  <c r="J700" i="6" s="1"/>
  <c r="G701" i="6"/>
  <c r="H701" i="6" s="1"/>
  <c r="J701" i="6" s="1"/>
  <c r="G702" i="6"/>
  <c r="H702" i="6" s="1"/>
  <c r="J702" i="6" s="1"/>
  <c r="G703" i="6"/>
  <c r="H703" i="6" s="1"/>
  <c r="J703" i="6" s="1"/>
  <c r="G704" i="6"/>
  <c r="H704" i="6" s="1"/>
  <c r="J704" i="6" s="1"/>
  <c r="G705" i="6"/>
  <c r="H705" i="6" s="1"/>
  <c r="J705" i="6" s="1"/>
  <c r="G706" i="6"/>
  <c r="H706" i="6" s="1"/>
  <c r="J706" i="6" s="1"/>
  <c r="G707" i="6"/>
  <c r="H707" i="6" s="1"/>
  <c r="J707" i="6" s="1"/>
  <c r="G708" i="6"/>
  <c r="H708" i="6" s="1"/>
  <c r="J708" i="6" s="1"/>
  <c r="G709" i="6"/>
  <c r="H709" i="6" s="1"/>
  <c r="J709" i="6" s="1"/>
  <c r="G710" i="6"/>
  <c r="H710" i="6" s="1"/>
  <c r="J710" i="6" s="1"/>
  <c r="G711" i="6"/>
  <c r="H711" i="6" s="1"/>
  <c r="J711" i="6" s="1"/>
  <c r="G712" i="6"/>
  <c r="H712" i="6" s="1"/>
  <c r="J712" i="6" s="1"/>
  <c r="G713" i="6"/>
  <c r="H713" i="6" s="1"/>
  <c r="J713" i="6" s="1"/>
  <c r="G714" i="6"/>
  <c r="H714" i="6" s="1"/>
  <c r="J714" i="6" s="1"/>
  <c r="G715" i="6"/>
  <c r="H715" i="6" s="1"/>
  <c r="J715" i="6" s="1"/>
  <c r="G716" i="6"/>
  <c r="H716" i="6" s="1"/>
  <c r="J716" i="6" s="1"/>
  <c r="G717" i="6"/>
  <c r="H717" i="6" s="1"/>
  <c r="J717" i="6" s="1"/>
  <c r="G718" i="6"/>
  <c r="H718" i="6" s="1"/>
  <c r="J718" i="6" s="1"/>
  <c r="G719" i="6"/>
  <c r="H719" i="6" s="1"/>
  <c r="J719" i="6" s="1"/>
  <c r="G720" i="6"/>
  <c r="H720" i="6" s="1"/>
  <c r="J720" i="6" s="1"/>
  <c r="G721" i="6"/>
  <c r="H721" i="6" s="1"/>
  <c r="J721" i="6" s="1"/>
  <c r="G722" i="6"/>
  <c r="H722" i="6" s="1"/>
  <c r="J722" i="6" s="1"/>
  <c r="G723" i="6"/>
  <c r="H723" i="6" s="1"/>
  <c r="J723" i="6" s="1"/>
  <c r="G724" i="6"/>
  <c r="H724" i="6" s="1"/>
  <c r="J724" i="6" s="1"/>
  <c r="G725" i="6"/>
  <c r="H725" i="6" s="1"/>
  <c r="J725" i="6" s="1"/>
  <c r="G726" i="6"/>
  <c r="H726" i="6" s="1"/>
  <c r="J726" i="6" s="1"/>
  <c r="G727" i="6"/>
  <c r="H727" i="6" s="1"/>
  <c r="J727" i="6" s="1"/>
  <c r="G728" i="6"/>
  <c r="H728" i="6" s="1"/>
  <c r="J728" i="6" s="1"/>
  <c r="G729" i="6"/>
  <c r="H729" i="6" s="1"/>
  <c r="J729" i="6" s="1"/>
  <c r="G730" i="6"/>
  <c r="H730" i="6" s="1"/>
  <c r="J730" i="6" s="1"/>
  <c r="G731" i="6"/>
  <c r="H731" i="6" s="1"/>
  <c r="J731" i="6" s="1"/>
  <c r="G732" i="6"/>
  <c r="H732" i="6" s="1"/>
  <c r="J732" i="6" s="1"/>
  <c r="G733" i="6"/>
  <c r="H733" i="6" s="1"/>
  <c r="J733" i="6" s="1"/>
  <c r="G734" i="6"/>
  <c r="H734" i="6" s="1"/>
  <c r="J734" i="6" s="1"/>
  <c r="G735" i="6"/>
  <c r="H735" i="6" s="1"/>
  <c r="J735" i="6" s="1"/>
  <c r="G736" i="6"/>
  <c r="H736" i="6" s="1"/>
  <c r="J736" i="6" s="1"/>
  <c r="G737" i="6"/>
  <c r="H737" i="6" s="1"/>
  <c r="J737" i="6" s="1"/>
  <c r="G738" i="6"/>
  <c r="H738" i="6" s="1"/>
  <c r="J738" i="6" s="1"/>
  <c r="G739" i="6"/>
  <c r="H739" i="6" s="1"/>
  <c r="J739" i="6" s="1"/>
  <c r="G740" i="6"/>
  <c r="H740" i="6" s="1"/>
  <c r="J740" i="6" s="1"/>
  <c r="G741" i="6"/>
  <c r="H741" i="6" s="1"/>
  <c r="J741" i="6" s="1"/>
  <c r="G742" i="6"/>
  <c r="H742" i="6" s="1"/>
  <c r="J742" i="6" s="1"/>
  <c r="G743" i="6"/>
  <c r="H743" i="6" s="1"/>
  <c r="J743" i="6" s="1"/>
  <c r="G744" i="6"/>
  <c r="H744" i="6" s="1"/>
  <c r="J744" i="6" s="1"/>
  <c r="G745" i="6"/>
  <c r="H745" i="6" s="1"/>
  <c r="J745" i="6" s="1"/>
  <c r="G746" i="6"/>
  <c r="H746" i="6" s="1"/>
  <c r="J746" i="6" s="1"/>
  <c r="G747" i="6"/>
  <c r="H747" i="6" s="1"/>
  <c r="J747" i="6" s="1"/>
  <c r="G748" i="6"/>
  <c r="H748" i="6" s="1"/>
  <c r="J748" i="6" s="1"/>
  <c r="G749" i="6"/>
  <c r="H749" i="6" s="1"/>
  <c r="J749" i="6" s="1"/>
  <c r="G750" i="6"/>
  <c r="H750" i="6" s="1"/>
  <c r="J750" i="6" s="1"/>
  <c r="G751" i="6"/>
  <c r="H751" i="6" s="1"/>
  <c r="J751" i="6" s="1"/>
  <c r="G752" i="6"/>
  <c r="H752" i="6" s="1"/>
  <c r="J752" i="6" s="1"/>
  <c r="L753" i="6"/>
  <c r="G754" i="6"/>
  <c r="H754" i="6" s="1"/>
  <c r="J754" i="6" s="1"/>
  <c r="G755" i="6"/>
  <c r="H755" i="6" s="1"/>
  <c r="J755" i="6" s="1"/>
  <c r="G756" i="6"/>
  <c r="H756" i="6" s="1"/>
  <c r="J756" i="6" s="1"/>
  <c r="G757" i="6"/>
  <c r="H757" i="6" s="1"/>
  <c r="J757" i="6" s="1"/>
  <c r="G758" i="6"/>
  <c r="H758" i="6" s="1"/>
  <c r="J758" i="6" s="1"/>
  <c r="G759" i="6"/>
  <c r="H759" i="6" s="1"/>
  <c r="J759" i="6" s="1"/>
  <c r="G760" i="6"/>
  <c r="H760" i="6" s="1"/>
  <c r="J760" i="6" s="1"/>
  <c r="G761" i="6"/>
  <c r="H761" i="6" s="1"/>
  <c r="J761" i="6" s="1"/>
  <c r="G762" i="6"/>
  <c r="H762" i="6" s="1"/>
  <c r="J762" i="6" s="1"/>
  <c r="G763" i="6"/>
  <c r="H763" i="6" s="1"/>
  <c r="J763" i="6" s="1"/>
  <c r="G764" i="6"/>
  <c r="H764" i="6" s="1"/>
  <c r="J764" i="6" s="1"/>
  <c r="G765" i="6"/>
  <c r="H765" i="6" s="1"/>
  <c r="J765" i="6" s="1"/>
  <c r="G766" i="6"/>
  <c r="H766" i="6" s="1"/>
  <c r="J766" i="6" s="1"/>
  <c r="G767" i="6"/>
  <c r="H767" i="6" s="1"/>
  <c r="J767" i="6" s="1"/>
  <c r="G768" i="6"/>
  <c r="H768" i="6" s="1"/>
  <c r="J768" i="6" s="1"/>
  <c r="G769" i="6"/>
  <c r="H769" i="6" s="1"/>
  <c r="J769" i="6" s="1"/>
  <c r="G770" i="6"/>
  <c r="H770" i="6" s="1"/>
  <c r="J770" i="6" s="1"/>
  <c r="G771" i="6"/>
  <c r="H771" i="6" s="1"/>
  <c r="J771" i="6" s="1"/>
  <c r="G772" i="6"/>
  <c r="H772" i="6" s="1"/>
  <c r="J772" i="6" s="1"/>
  <c r="G773" i="6"/>
  <c r="H773" i="6" s="1"/>
  <c r="J773" i="6" s="1"/>
  <c r="G774" i="6"/>
  <c r="H774" i="6" s="1"/>
  <c r="J774" i="6" s="1"/>
  <c r="G775" i="6"/>
  <c r="H775" i="6" s="1"/>
  <c r="J775" i="6" s="1"/>
  <c r="G776" i="6"/>
  <c r="H776" i="6" s="1"/>
  <c r="J776" i="6" s="1"/>
  <c r="G777" i="6"/>
  <c r="H777" i="6" s="1"/>
  <c r="J777" i="6" s="1"/>
  <c r="G778" i="6"/>
  <c r="H778" i="6" s="1"/>
  <c r="J778" i="6" s="1"/>
  <c r="G779" i="6"/>
  <c r="H779" i="6" s="1"/>
  <c r="J779" i="6" s="1"/>
  <c r="G780" i="6"/>
  <c r="H780" i="6" s="1"/>
  <c r="J780" i="6" s="1"/>
  <c r="G781" i="6"/>
  <c r="H781" i="6" s="1"/>
  <c r="J781" i="6" s="1"/>
  <c r="G782" i="6"/>
  <c r="H782" i="6" s="1"/>
  <c r="J782" i="6" s="1"/>
  <c r="G783" i="6"/>
  <c r="H783" i="6" s="1"/>
  <c r="J783" i="6" s="1"/>
  <c r="G784" i="6"/>
  <c r="H784" i="6" s="1"/>
  <c r="J784" i="6" s="1"/>
  <c r="G785" i="6"/>
  <c r="H785" i="6" s="1"/>
  <c r="J785" i="6" s="1"/>
  <c r="G786" i="6"/>
  <c r="H786" i="6" s="1"/>
  <c r="J786" i="6" s="1"/>
  <c r="G787" i="6"/>
  <c r="H787" i="6" s="1"/>
  <c r="J787" i="6" s="1"/>
  <c r="G788" i="6"/>
  <c r="H788" i="6" s="1"/>
  <c r="J788" i="6" s="1"/>
  <c r="G789" i="6"/>
  <c r="H789" i="6" s="1"/>
  <c r="J789" i="6" s="1"/>
  <c r="G790" i="6"/>
  <c r="H790" i="6" s="1"/>
  <c r="J790" i="6" s="1"/>
  <c r="G791" i="6"/>
  <c r="H791" i="6" s="1"/>
  <c r="J791" i="6" s="1"/>
  <c r="G792" i="6"/>
  <c r="H792" i="6" s="1"/>
  <c r="J792" i="6" s="1"/>
  <c r="G793" i="6"/>
  <c r="H793" i="6" s="1"/>
  <c r="J793" i="6" s="1"/>
  <c r="G794" i="6"/>
  <c r="H794" i="6" s="1"/>
  <c r="J794" i="6" s="1"/>
  <c r="G795" i="6"/>
  <c r="H795" i="6" s="1"/>
  <c r="J795" i="6" s="1"/>
  <c r="G796" i="6"/>
  <c r="H796" i="6" s="1"/>
  <c r="J796" i="6" s="1"/>
  <c r="G797" i="6"/>
  <c r="H797" i="6" s="1"/>
  <c r="J797" i="6" s="1"/>
  <c r="G798" i="6"/>
  <c r="H798" i="6" s="1"/>
  <c r="J798" i="6" s="1"/>
  <c r="G799" i="6"/>
  <c r="H799" i="6" s="1"/>
  <c r="J799" i="6" s="1"/>
  <c r="G800" i="6"/>
  <c r="H800" i="6" s="1"/>
  <c r="J800" i="6" s="1"/>
  <c r="G801" i="6"/>
  <c r="H801" i="6" s="1"/>
  <c r="J801" i="6" s="1"/>
  <c r="L641" i="6" l="1"/>
  <c r="L161" i="6"/>
  <c r="K113" i="6"/>
  <c r="O113" i="6" s="1"/>
  <c r="L65" i="6"/>
  <c r="L33" i="6"/>
  <c r="L800" i="6"/>
  <c r="L768" i="6"/>
  <c r="K752" i="6"/>
  <c r="O752" i="6" s="1"/>
  <c r="I736" i="6"/>
  <c r="M736" i="6" s="1"/>
  <c r="I720" i="6"/>
  <c r="M720" i="6" s="1"/>
  <c r="I704" i="6"/>
  <c r="M704" i="6" s="1"/>
  <c r="L688" i="6"/>
  <c r="L672" i="6"/>
  <c r="K656" i="6"/>
  <c r="O656" i="6" s="1"/>
  <c r="K640" i="6"/>
  <c r="O640" i="6" s="1"/>
  <c r="L624" i="6"/>
  <c r="I608" i="6"/>
  <c r="M608" i="6" s="1"/>
  <c r="I592" i="6"/>
  <c r="M592" i="6" s="1"/>
  <c r="I576" i="6"/>
  <c r="M576" i="6" s="1"/>
  <c r="I560" i="6"/>
  <c r="M560" i="6" s="1"/>
  <c r="L544" i="6"/>
  <c r="L528" i="6"/>
  <c r="L512" i="6"/>
  <c r="L496" i="6"/>
  <c r="I480" i="6"/>
  <c r="M480" i="6" s="1"/>
  <c r="I464" i="6"/>
  <c r="M464" i="6" s="1"/>
  <c r="L448" i="6"/>
  <c r="I432" i="6"/>
  <c r="M432" i="6" s="1"/>
  <c r="L416" i="6"/>
  <c r="L400" i="6"/>
  <c r="L384" i="6"/>
  <c r="L368" i="6"/>
  <c r="I352" i="6"/>
  <c r="M352" i="6" s="1"/>
  <c r="I336" i="6"/>
  <c r="M336" i="6" s="1"/>
  <c r="I320" i="6"/>
  <c r="M320" i="6" s="1"/>
  <c r="I304" i="6"/>
  <c r="M304" i="6" s="1"/>
  <c r="L288" i="6"/>
  <c r="L272" i="6"/>
  <c r="L256" i="6"/>
  <c r="L240" i="6"/>
  <c r="L224" i="6"/>
  <c r="L208" i="6"/>
  <c r="I192" i="6"/>
  <c r="M192" i="6" s="1"/>
  <c r="L176" i="6"/>
  <c r="L160" i="6"/>
  <c r="L144" i="6"/>
  <c r="L128" i="6"/>
  <c r="L112" i="6"/>
  <c r="L96" i="6"/>
  <c r="L80" i="6"/>
  <c r="L64" i="6"/>
  <c r="L48" i="6"/>
  <c r="L32" i="6"/>
  <c r="L16" i="6"/>
  <c r="L785" i="6"/>
  <c r="L529" i="6"/>
  <c r="L97" i="6"/>
  <c r="L49" i="6"/>
  <c r="K17" i="6"/>
  <c r="O17" i="6" s="1"/>
  <c r="L799" i="6"/>
  <c r="I783" i="6"/>
  <c r="M783" i="6" s="1"/>
  <c r="L767" i="6"/>
  <c r="L751" i="6"/>
  <c r="L735" i="6"/>
  <c r="L719" i="6"/>
  <c r="L703" i="6"/>
  <c r="N687" i="6"/>
  <c r="L671" i="6"/>
  <c r="L655" i="6"/>
  <c r="L639" i="6"/>
  <c r="L623" i="6"/>
  <c r="L607" i="6"/>
  <c r="L591" i="6"/>
  <c r="L575" i="6"/>
  <c r="L559" i="6"/>
  <c r="L543" i="6"/>
  <c r="L527" i="6"/>
  <c r="L511" i="6"/>
  <c r="L495" i="6"/>
  <c r="L479" i="6"/>
  <c r="L463" i="6"/>
  <c r="L447" i="6"/>
  <c r="L431" i="6"/>
  <c r="L415" i="6"/>
  <c r="N399" i="6"/>
  <c r="L383" i="6"/>
  <c r="L367" i="6"/>
  <c r="L351" i="6"/>
  <c r="L335" i="6"/>
  <c r="L319" i="6"/>
  <c r="L303" i="6"/>
  <c r="L287" i="6"/>
  <c r="L271" i="6"/>
  <c r="L255" i="6"/>
  <c r="L239" i="6"/>
  <c r="I223" i="6"/>
  <c r="M223" i="6" s="1"/>
  <c r="L207" i="6"/>
  <c r="L191" i="6"/>
  <c r="L175" i="6"/>
  <c r="L159" i="6"/>
  <c r="L143" i="6"/>
  <c r="L127" i="6"/>
  <c r="L111" i="6"/>
  <c r="L79" i="6"/>
  <c r="L63" i="6"/>
  <c r="L47" i="6"/>
  <c r="L31" i="6"/>
  <c r="L15" i="6"/>
  <c r="L561" i="6"/>
  <c r="L385" i="6"/>
  <c r="L81" i="6"/>
  <c r="L798" i="6"/>
  <c r="L782" i="6"/>
  <c r="L766" i="6"/>
  <c r="K750" i="6"/>
  <c r="O750" i="6" s="1"/>
  <c r="I734" i="6"/>
  <c r="M734" i="6" s="1"/>
  <c r="L718" i="6"/>
  <c r="I686" i="6"/>
  <c r="M686" i="6" s="1"/>
  <c r="I670" i="6"/>
  <c r="M670" i="6" s="1"/>
  <c r="I654" i="6"/>
  <c r="M654" i="6" s="1"/>
  <c r="K638" i="6"/>
  <c r="O638" i="6" s="1"/>
  <c r="L622" i="6"/>
  <c r="L606" i="6"/>
  <c r="N590" i="6"/>
  <c r="I574" i="6"/>
  <c r="M574" i="6" s="1"/>
  <c r="I558" i="6"/>
  <c r="M558" i="6" s="1"/>
  <c r="L542" i="6"/>
  <c r="L526" i="6"/>
  <c r="L510" i="6"/>
  <c r="L494" i="6"/>
  <c r="I478" i="6"/>
  <c r="M478" i="6" s="1"/>
  <c r="L462" i="6"/>
  <c r="I446" i="6"/>
  <c r="M446" i="6" s="1"/>
  <c r="I430" i="6"/>
  <c r="M430" i="6" s="1"/>
  <c r="I414" i="6"/>
  <c r="M414" i="6" s="1"/>
  <c r="L398" i="6"/>
  <c r="L382" i="6"/>
  <c r="L366" i="6"/>
  <c r="I350" i="6"/>
  <c r="M350" i="6" s="1"/>
  <c r="K334" i="6"/>
  <c r="O334" i="6" s="1"/>
  <c r="I318" i="6"/>
  <c r="M318" i="6" s="1"/>
  <c r="I302" i="6"/>
  <c r="M302" i="6" s="1"/>
  <c r="I286" i="6"/>
  <c r="M286" i="6" s="1"/>
  <c r="L270" i="6"/>
  <c r="L254" i="6"/>
  <c r="L238" i="6"/>
  <c r="I222" i="6"/>
  <c r="M222" i="6" s="1"/>
  <c r="L206" i="6"/>
  <c r="L190" i="6"/>
  <c r="L174" i="6"/>
  <c r="L158" i="6"/>
  <c r="L142" i="6"/>
  <c r="L126" i="6"/>
  <c r="L110" i="6"/>
  <c r="L94" i="6"/>
  <c r="L78" i="6"/>
  <c r="L62" i="6"/>
  <c r="L46" i="6"/>
  <c r="L30" i="6"/>
  <c r="L14" i="6"/>
  <c r="L577" i="6"/>
  <c r="K401" i="6"/>
  <c r="O401" i="6" s="1"/>
  <c r="L305" i="6"/>
  <c r="L241" i="6"/>
  <c r="L209" i="6"/>
  <c r="L177" i="6"/>
  <c r="L733" i="6"/>
  <c r="L717" i="6"/>
  <c r="L701" i="6"/>
  <c r="L685" i="6"/>
  <c r="L669" i="6"/>
  <c r="L653" i="6"/>
  <c r="L637" i="6"/>
  <c r="L621" i="6"/>
  <c r="L605" i="6"/>
  <c r="L589" i="6"/>
  <c r="L573" i="6"/>
  <c r="L557" i="6"/>
  <c r="L541" i="6"/>
  <c r="L525" i="6"/>
  <c r="L509" i="6"/>
  <c r="L493" i="6"/>
  <c r="L477" i="6"/>
  <c r="L461" i="6"/>
  <c r="L445" i="6"/>
  <c r="L429" i="6"/>
  <c r="L413" i="6"/>
  <c r="L397" i="6"/>
  <c r="I381" i="6"/>
  <c r="M381" i="6" s="1"/>
  <c r="L365" i="6"/>
  <c r="K349" i="6"/>
  <c r="O349" i="6" s="1"/>
  <c r="L333" i="6"/>
  <c r="K317" i="6"/>
  <c r="O317" i="6" s="1"/>
  <c r="L301" i="6"/>
  <c r="L285" i="6"/>
  <c r="K269" i="6"/>
  <c r="O269" i="6" s="1"/>
  <c r="K237" i="6"/>
  <c r="O237" i="6" s="1"/>
  <c r="I221" i="6"/>
  <c r="M221" i="6" s="1"/>
  <c r="I205" i="6"/>
  <c r="M205" i="6" s="1"/>
  <c r="L189" i="6"/>
  <c r="K173" i="6"/>
  <c r="O173" i="6" s="1"/>
  <c r="L157" i="6"/>
  <c r="L141" i="6"/>
  <c r="L125" i="6"/>
  <c r="L61" i="6"/>
  <c r="K45" i="6"/>
  <c r="O45" i="6" s="1"/>
  <c r="L29" i="6"/>
  <c r="L737" i="6"/>
  <c r="K497" i="6"/>
  <c r="O497" i="6" s="1"/>
  <c r="K353" i="6"/>
  <c r="O353" i="6" s="1"/>
  <c r="L289" i="6"/>
  <c r="L225" i="6"/>
  <c r="L193" i="6"/>
  <c r="L780" i="6"/>
  <c r="L684" i="6"/>
  <c r="L604" i="6"/>
  <c r="L556" i="6"/>
  <c r="L524" i="6"/>
  <c r="L492" i="6"/>
  <c r="L460" i="6"/>
  <c r="K428" i="6"/>
  <c r="O428" i="6" s="1"/>
  <c r="L412" i="6"/>
  <c r="N396" i="6"/>
  <c r="L380" i="6"/>
  <c r="K364" i="6"/>
  <c r="O364" i="6" s="1"/>
  <c r="L348" i="6"/>
  <c r="I332" i="6"/>
  <c r="M332" i="6" s="1"/>
  <c r="I316" i="6"/>
  <c r="M316" i="6" s="1"/>
  <c r="L300" i="6"/>
  <c r="L284" i="6"/>
  <c r="K268" i="6"/>
  <c r="O268" i="6" s="1"/>
  <c r="K252" i="6"/>
  <c r="O252" i="6" s="1"/>
  <c r="L236" i="6"/>
  <c r="L220" i="6"/>
  <c r="L204" i="6"/>
  <c r="L188" i="6"/>
  <c r="L172" i="6"/>
  <c r="L156" i="6"/>
  <c r="L140" i="6"/>
  <c r="L124" i="6"/>
  <c r="N108" i="6"/>
  <c r="L92" i="6"/>
  <c r="L76" i="6"/>
  <c r="L60" i="6"/>
  <c r="L44" i="6"/>
  <c r="L28" i="6"/>
  <c r="L12" i="6"/>
  <c r="L705" i="6"/>
  <c r="K465" i="6"/>
  <c r="O465" i="6" s="1"/>
  <c r="K337" i="6"/>
  <c r="O337" i="6" s="1"/>
  <c r="L273" i="6"/>
  <c r="L749" i="6"/>
  <c r="L716" i="6"/>
  <c r="L620" i="6"/>
  <c r="L572" i="6"/>
  <c r="K540" i="6"/>
  <c r="O540" i="6" s="1"/>
  <c r="K508" i="6"/>
  <c r="O508" i="6" s="1"/>
  <c r="K476" i="6"/>
  <c r="O476" i="6" s="1"/>
  <c r="N444" i="6"/>
  <c r="L795" i="6"/>
  <c r="L779" i="6"/>
  <c r="L763" i="6"/>
  <c r="L747" i="6"/>
  <c r="L731" i="6"/>
  <c r="L715" i="6"/>
  <c r="L699" i="6"/>
  <c r="N683" i="6"/>
  <c r="L667" i="6"/>
  <c r="L651" i="6"/>
  <c r="L635" i="6"/>
  <c r="L619" i="6"/>
  <c r="L603" i="6"/>
  <c r="L587" i="6"/>
  <c r="L571" i="6"/>
  <c r="L555" i="6"/>
  <c r="I539" i="6"/>
  <c r="M539" i="6" s="1"/>
  <c r="K523" i="6"/>
  <c r="O523" i="6" s="1"/>
  <c r="L507" i="6"/>
  <c r="K491" i="6"/>
  <c r="O491" i="6" s="1"/>
  <c r="L475" i="6"/>
  <c r="N459" i="6"/>
  <c r="K443" i="6"/>
  <c r="O443" i="6" s="1"/>
  <c r="L427" i="6"/>
  <c r="L347" i="6"/>
  <c r="L299" i="6"/>
  <c r="L283" i="6"/>
  <c r="L267" i="6"/>
  <c r="L251" i="6"/>
  <c r="I203" i="6"/>
  <c r="M203" i="6" s="1"/>
  <c r="L187" i="6"/>
  <c r="K171" i="6"/>
  <c r="O171" i="6" s="1"/>
  <c r="L139" i="6"/>
  <c r="L123" i="6"/>
  <c r="N107" i="6"/>
  <c r="L27" i="6"/>
  <c r="I11" i="6"/>
  <c r="M11" i="6" s="1"/>
  <c r="L609" i="6"/>
  <c r="L797" i="6"/>
  <c r="L764" i="6"/>
  <c r="L668" i="6"/>
  <c r="L588" i="6"/>
  <c r="L794" i="6"/>
  <c r="L778" i="6"/>
  <c r="L762" i="6"/>
  <c r="L746" i="6"/>
  <c r="L730" i="6"/>
  <c r="L714" i="6"/>
  <c r="L698" i="6"/>
  <c r="L682" i="6"/>
  <c r="L666" i="6"/>
  <c r="L650" i="6"/>
  <c r="L634" i="6"/>
  <c r="L618" i="6"/>
  <c r="L602" i="6"/>
  <c r="L586" i="6"/>
  <c r="L570" i="6"/>
  <c r="L554" i="6"/>
  <c r="N538" i="6"/>
  <c r="L522" i="6"/>
  <c r="L506" i="6"/>
  <c r="K490" i="6"/>
  <c r="O490" i="6" s="1"/>
  <c r="L474" i="6"/>
  <c r="L442" i="6"/>
  <c r="K426" i="6"/>
  <c r="O426" i="6" s="1"/>
  <c r="L410" i="6"/>
  <c r="L394" i="6"/>
  <c r="L330" i="6"/>
  <c r="L314" i="6"/>
  <c r="L282" i="6"/>
  <c r="L266" i="6"/>
  <c r="L250" i="6"/>
  <c r="I186" i="6"/>
  <c r="M186" i="6" s="1"/>
  <c r="L170" i="6"/>
  <c r="N154" i="6"/>
  <c r="L138" i="6"/>
  <c r="L122" i="6"/>
  <c r="L90" i="6"/>
  <c r="L58" i="6"/>
  <c r="L42" i="6"/>
  <c r="L26" i="6"/>
  <c r="L721" i="6"/>
  <c r="K481" i="6"/>
  <c r="O481" i="6" s="1"/>
  <c r="L781" i="6"/>
  <c r="L748" i="6"/>
  <c r="L652" i="6"/>
  <c r="L777" i="6"/>
  <c r="L729" i="6"/>
  <c r="L697" i="6"/>
  <c r="I681" i="6"/>
  <c r="M681" i="6" s="1"/>
  <c r="L665" i="6"/>
  <c r="L649" i="6"/>
  <c r="L633" i="6"/>
  <c r="N601" i="6"/>
  <c r="L585" i="6"/>
  <c r="L569" i="6"/>
  <c r="L553" i="6"/>
  <c r="L537" i="6"/>
  <c r="L521" i="6"/>
  <c r="L505" i="6"/>
  <c r="L489" i="6"/>
  <c r="L457" i="6"/>
  <c r="L441" i="6"/>
  <c r="L393" i="6"/>
  <c r="L377" i="6"/>
  <c r="L329" i="6"/>
  <c r="L313" i="6"/>
  <c r="L281" i="6"/>
  <c r="L265" i="6"/>
  <c r="L201" i="6"/>
  <c r="L185" i="6"/>
  <c r="L169" i="6"/>
  <c r="L153" i="6"/>
  <c r="L137" i="6"/>
  <c r="L121" i="6"/>
  <c r="L105" i="6"/>
  <c r="L89" i="6"/>
  <c r="L73" i="6"/>
  <c r="L57" i="6"/>
  <c r="L25" i="6"/>
  <c r="L9" i="6"/>
  <c r="L625" i="6"/>
  <c r="L417" i="6"/>
  <c r="L765" i="6"/>
  <c r="L732" i="6"/>
  <c r="L636" i="6"/>
  <c r="L761" i="6"/>
  <c r="L713" i="6"/>
  <c r="L792" i="6"/>
  <c r="L776" i="6"/>
  <c r="I760" i="6"/>
  <c r="M760" i="6" s="1"/>
  <c r="L744" i="6"/>
  <c r="L728" i="6"/>
  <c r="L712" i="6"/>
  <c r="L696" i="6"/>
  <c r="L680" i="6"/>
  <c r="L664" i="6"/>
  <c r="L648" i="6"/>
  <c r="L632" i="6"/>
  <c r="L616" i="6"/>
  <c r="N600" i="6"/>
  <c r="L584" i="6"/>
  <c r="L568" i="6"/>
  <c r="L552" i="6"/>
  <c r="L536" i="6"/>
  <c r="L520" i="6"/>
  <c r="L504" i="6"/>
  <c r="K488" i="6"/>
  <c r="O488" i="6" s="1"/>
  <c r="L472" i="6"/>
  <c r="L456" i="6"/>
  <c r="K440" i="6"/>
  <c r="O440" i="6" s="1"/>
  <c r="L424" i="6"/>
  <c r="K408" i="6"/>
  <c r="O408" i="6" s="1"/>
  <c r="K392" i="6"/>
  <c r="O392" i="6" s="1"/>
  <c r="L376" i="6"/>
  <c r="K360" i="6"/>
  <c r="O360" i="6" s="1"/>
  <c r="L344" i="6"/>
  <c r="K312" i="6"/>
  <c r="O312" i="6" s="1"/>
  <c r="K296" i="6"/>
  <c r="O296" i="6" s="1"/>
  <c r="L280" i="6"/>
  <c r="L264" i="6"/>
  <c r="L248" i="6"/>
  <c r="I232" i="6"/>
  <c r="M232" i="6" s="1"/>
  <c r="L168" i="6"/>
  <c r="L152" i="6"/>
  <c r="L136" i="6"/>
  <c r="L120" i="6"/>
  <c r="L40" i="6"/>
  <c r="L24" i="6"/>
  <c r="L673" i="6"/>
  <c r="I433" i="6"/>
  <c r="M433" i="6" s="1"/>
  <c r="L321" i="6"/>
  <c r="L257" i="6"/>
  <c r="L796" i="6"/>
  <c r="L700" i="6"/>
  <c r="L793" i="6"/>
  <c r="L745" i="6"/>
  <c r="L791" i="6"/>
  <c r="L775" i="6"/>
  <c r="N759" i="6"/>
  <c r="L743" i="6"/>
  <c r="L727" i="6"/>
  <c r="L711" i="6"/>
  <c r="L695" i="6"/>
  <c r="L679" i="6"/>
  <c r="N663" i="6"/>
  <c r="K647" i="6"/>
  <c r="O647" i="6" s="1"/>
  <c r="L631" i="6"/>
  <c r="K615" i="6"/>
  <c r="O615" i="6" s="1"/>
  <c r="L599" i="6"/>
  <c r="L583" i="6"/>
  <c r="L567" i="6"/>
  <c r="L551" i="6"/>
  <c r="L535" i="6"/>
  <c r="K519" i="6"/>
  <c r="O519" i="6" s="1"/>
  <c r="K503" i="6"/>
  <c r="O503" i="6" s="1"/>
  <c r="I487" i="6"/>
  <c r="M487" i="6" s="1"/>
  <c r="L471" i="6"/>
  <c r="I455" i="6"/>
  <c r="M455" i="6" s="1"/>
  <c r="L439" i="6"/>
  <c r="L423" i="6"/>
  <c r="L375" i="6"/>
  <c r="L359" i="6"/>
  <c r="L311" i="6"/>
  <c r="L295" i="6"/>
  <c r="L263" i="6"/>
  <c r="L247" i="6"/>
  <c r="L215" i="6"/>
  <c r="L151" i="6"/>
  <c r="K135" i="6"/>
  <c r="O135" i="6" s="1"/>
  <c r="L119" i="6"/>
  <c r="L103" i="6"/>
  <c r="K87" i="6"/>
  <c r="O87" i="6" s="1"/>
  <c r="I55" i="6"/>
  <c r="M55" i="6" s="1"/>
  <c r="L39" i="6"/>
  <c r="L23" i="6"/>
  <c r="L769" i="6"/>
  <c r="L513" i="6"/>
  <c r="L758" i="6"/>
  <c r="L678" i="6"/>
  <c r="L646" i="6"/>
  <c r="L630" i="6"/>
  <c r="L614" i="6"/>
  <c r="L598" i="6"/>
  <c r="L582" i="6"/>
  <c r="L566" i="6"/>
  <c r="L550" i="6"/>
  <c r="L534" i="6"/>
  <c r="L518" i="6"/>
  <c r="L502" i="6"/>
  <c r="L486" i="6"/>
  <c r="K470" i="6"/>
  <c r="O470" i="6" s="1"/>
  <c r="I454" i="6"/>
  <c r="M454" i="6" s="1"/>
  <c r="L438" i="6"/>
  <c r="L406" i="6"/>
  <c r="L358" i="6"/>
  <c r="L342" i="6"/>
  <c r="L310" i="6"/>
  <c r="L294" i="6"/>
  <c r="L262" i="6"/>
  <c r="L246" i="6"/>
  <c r="L198" i="6"/>
  <c r="L134" i="6"/>
  <c r="L118" i="6"/>
  <c r="K102" i="6"/>
  <c r="O102" i="6" s="1"/>
  <c r="I86" i="6"/>
  <c r="M86" i="6" s="1"/>
  <c r="N70" i="6"/>
  <c r="K38" i="6"/>
  <c r="O38" i="6" s="1"/>
  <c r="L657" i="6"/>
  <c r="K790" i="6"/>
  <c r="O790" i="6" s="1"/>
  <c r="L710" i="6"/>
  <c r="I773" i="6"/>
  <c r="M773" i="6" s="1"/>
  <c r="I709" i="6"/>
  <c r="M709" i="6" s="1"/>
  <c r="L677" i="6"/>
  <c r="L661" i="6"/>
  <c r="K645" i="6"/>
  <c r="O645" i="6" s="1"/>
  <c r="L629" i="6"/>
  <c r="L613" i="6"/>
  <c r="L597" i="6"/>
  <c r="I581" i="6"/>
  <c r="M581" i="6" s="1"/>
  <c r="L565" i="6"/>
  <c r="L549" i="6"/>
  <c r="L533" i="6"/>
  <c r="L517" i="6"/>
  <c r="L501" i="6"/>
  <c r="K485" i="6"/>
  <c r="O485" i="6" s="1"/>
  <c r="L469" i="6"/>
  <c r="L453" i="6"/>
  <c r="L437" i="6"/>
  <c r="L421" i="6"/>
  <c r="L405" i="6"/>
  <c r="L389" i="6"/>
  <c r="L357" i="6"/>
  <c r="L325" i="6"/>
  <c r="L309" i="6"/>
  <c r="L293" i="6"/>
  <c r="L261" i="6"/>
  <c r="L245" i="6"/>
  <c r="N181" i="6"/>
  <c r="L117" i="6"/>
  <c r="L101" i="6"/>
  <c r="I85" i="6"/>
  <c r="M85" i="6" s="1"/>
  <c r="K69" i="6"/>
  <c r="O69" i="6" s="1"/>
  <c r="L53" i="6"/>
  <c r="I21" i="6"/>
  <c r="M21" i="6" s="1"/>
  <c r="L689" i="6"/>
  <c r="K449" i="6"/>
  <c r="O449" i="6" s="1"/>
  <c r="K742" i="6"/>
  <c r="O742" i="6" s="1"/>
  <c r="L789" i="6"/>
  <c r="L725" i="6"/>
  <c r="L772" i="6"/>
  <c r="L756" i="6"/>
  <c r="L740" i="6"/>
  <c r="L724" i="6"/>
  <c r="L692" i="6"/>
  <c r="L676" i="6"/>
  <c r="L660" i="6"/>
  <c r="N644" i="6"/>
  <c r="L628" i="6"/>
  <c r="L612" i="6"/>
  <c r="L596" i="6"/>
  <c r="L580" i="6"/>
  <c r="L564" i="6"/>
  <c r="L548" i="6"/>
  <c r="L532" i="6"/>
  <c r="L516" i="6"/>
  <c r="L500" i="6"/>
  <c r="L468" i="6"/>
  <c r="L420" i="6"/>
  <c r="L388" i="6"/>
  <c r="L340" i="6"/>
  <c r="L324" i="6"/>
  <c r="L308" i="6"/>
  <c r="L276" i="6"/>
  <c r="L244" i="6"/>
  <c r="L164" i="6"/>
  <c r="L116" i="6"/>
  <c r="I100" i="6"/>
  <c r="M100" i="6" s="1"/>
  <c r="K84" i="6"/>
  <c r="O84" i="6" s="1"/>
  <c r="K68" i="6"/>
  <c r="O68" i="6" s="1"/>
  <c r="L52" i="6"/>
  <c r="L36" i="6"/>
  <c r="I4" i="6"/>
  <c r="M4" i="6" s="1"/>
  <c r="K801" i="6"/>
  <c r="O801" i="6" s="1"/>
  <c r="L545" i="6"/>
  <c r="L369" i="6"/>
  <c r="L726" i="6"/>
  <c r="L662" i="6"/>
  <c r="L741" i="6"/>
  <c r="L788" i="6"/>
  <c r="L787" i="6"/>
  <c r="K771" i="6"/>
  <c r="O771" i="6" s="1"/>
  <c r="L755" i="6"/>
  <c r="L739" i="6"/>
  <c r="L723" i="6"/>
  <c r="L707" i="6"/>
  <c r="K691" i="6"/>
  <c r="O691" i="6" s="1"/>
  <c r="L675" i="6"/>
  <c r="N659" i="6"/>
  <c r="L643" i="6"/>
  <c r="L627" i="6"/>
  <c r="L611" i="6"/>
  <c r="L595" i="6"/>
  <c r="K579" i="6"/>
  <c r="O579" i="6" s="1"/>
  <c r="K563" i="6"/>
  <c r="O563" i="6" s="1"/>
  <c r="L547" i="6"/>
  <c r="L531" i="6"/>
  <c r="L515" i="6"/>
  <c r="L499" i="6"/>
  <c r="L483" i="6"/>
  <c r="L467" i="6"/>
  <c r="N451" i="6"/>
  <c r="L435" i="6"/>
  <c r="L419" i="6"/>
  <c r="L403" i="6"/>
  <c r="K387" i="6"/>
  <c r="O387" i="6" s="1"/>
  <c r="L371" i="6"/>
  <c r="L339" i="6"/>
  <c r="L275" i="6"/>
  <c r="L259" i="6"/>
  <c r="L243" i="6"/>
  <c r="I147" i="6"/>
  <c r="M147" i="6" s="1"/>
  <c r="L115" i="6"/>
  <c r="L83" i="6"/>
  <c r="I51" i="6"/>
  <c r="M51" i="6" s="1"/>
  <c r="N35" i="6"/>
  <c r="L19" i="6"/>
  <c r="L593" i="6"/>
  <c r="L774" i="6"/>
  <c r="L694" i="6"/>
  <c r="L757" i="6"/>
  <c r="I693" i="6"/>
  <c r="M693" i="6" s="1"/>
  <c r="L786" i="6"/>
  <c r="I770" i="6"/>
  <c r="M770" i="6" s="1"/>
  <c r="K754" i="6"/>
  <c r="O754" i="6" s="1"/>
  <c r="L738" i="6"/>
  <c r="L722" i="6"/>
  <c r="K706" i="6"/>
  <c r="O706" i="6" s="1"/>
  <c r="K690" i="6"/>
  <c r="O690" i="6" s="1"/>
  <c r="L674" i="6"/>
  <c r="L658" i="6"/>
  <c r="L642" i="6"/>
  <c r="L626" i="6"/>
  <c r="L610" i="6"/>
  <c r="L594" i="6"/>
  <c r="L578" i="6"/>
  <c r="L562" i="6"/>
  <c r="L546" i="6"/>
  <c r="L530" i="6"/>
  <c r="N514" i="6"/>
  <c r="K498" i="6"/>
  <c r="O498" i="6" s="1"/>
  <c r="N482" i="6"/>
  <c r="L466" i="6"/>
  <c r="L450" i="6"/>
  <c r="L434" i="6"/>
  <c r="L418" i="6"/>
  <c r="L402" i="6"/>
  <c r="L386" i="6"/>
  <c r="L370" i="6"/>
  <c r="L354" i="6"/>
  <c r="K338" i="6"/>
  <c r="O338" i="6" s="1"/>
  <c r="L322" i="6"/>
  <c r="L306" i="6"/>
  <c r="L290" i="6"/>
  <c r="L274" i="6"/>
  <c r="L258" i="6"/>
  <c r="L242" i="6"/>
  <c r="L226" i="6"/>
  <c r="L210" i="6"/>
  <c r="L194" i="6"/>
  <c r="L178" i="6"/>
  <c r="L162" i="6"/>
  <c r="L146" i="6"/>
  <c r="I130" i="6"/>
  <c r="M130" i="6" s="1"/>
  <c r="L114" i="6"/>
  <c r="K66" i="6"/>
  <c r="O66" i="6" s="1"/>
  <c r="L50" i="6"/>
  <c r="N34" i="6"/>
  <c r="L18" i="6"/>
  <c r="L2" i="6"/>
  <c r="L608" i="6"/>
  <c r="L353" i="6"/>
  <c r="L38" i="6"/>
  <c r="L336" i="6"/>
  <c r="I5" i="6"/>
  <c r="M5" i="6" s="1"/>
  <c r="L5" i="6"/>
  <c r="N708" i="6"/>
  <c r="L708" i="6"/>
  <c r="N484" i="6"/>
  <c r="L484" i="6"/>
  <c r="K452" i="6"/>
  <c r="O452" i="6" s="1"/>
  <c r="L452" i="6"/>
  <c r="K436" i="6"/>
  <c r="O436" i="6" s="1"/>
  <c r="L436" i="6"/>
  <c r="K404" i="6"/>
  <c r="O404" i="6" s="1"/>
  <c r="L404" i="6"/>
  <c r="K372" i="6"/>
  <c r="O372" i="6" s="1"/>
  <c r="L372" i="6"/>
  <c r="K356" i="6"/>
  <c r="O356" i="6" s="1"/>
  <c r="L356" i="6"/>
  <c r="I292" i="6"/>
  <c r="M292" i="6" s="1"/>
  <c r="L292" i="6"/>
  <c r="K260" i="6"/>
  <c r="O260" i="6" s="1"/>
  <c r="L260" i="6"/>
  <c r="I228" i="6"/>
  <c r="M228" i="6" s="1"/>
  <c r="L228" i="6"/>
  <c r="I212" i="6"/>
  <c r="M212" i="6" s="1"/>
  <c r="L212" i="6"/>
  <c r="I196" i="6"/>
  <c r="M196" i="6" s="1"/>
  <c r="L196" i="6"/>
  <c r="N180" i="6"/>
  <c r="L180" i="6"/>
  <c r="I148" i="6"/>
  <c r="M148" i="6" s="1"/>
  <c r="L148" i="6"/>
  <c r="K132" i="6"/>
  <c r="O132" i="6" s="1"/>
  <c r="L132" i="6"/>
  <c r="K20" i="6"/>
  <c r="O20" i="6" s="1"/>
  <c r="L20" i="6"/>
  <c r="L560" i="6"/>
  <c r="K341" i="6"/>
  <c r="O341" i="6" s="1"/>
  <c r="L341" i="6"/>
  <c r="K277" i="6"/>
  <c r="O277" i="6" s="1"/>
  <c r="L277" i="6"/>
  <c r="I229" i="6"/>
  <c r="M229" i="6" s="1"/>
  <c r="L229" i="6"/>
  <c r="I37" i="6"/>
  <c r="M37" i="6" s="1"/>
  <c r="L37" i="6"/>
  <c r="K355" i="6"/>
  <c r="O355" i="6" s="1"/>
  <c r="L355" i="6"/>
  <c r="K323" i="6"/>
  <c r="O323" i="6" s="1"/>
  <c r="L323" i="6"/>
  <c r="K307" i="6"/>
  <c r="O307" i="6" s="1"/>
  <c r="L307" i="6"/>
  <c r="N291" i="6"/>
  <c r="L291" i="6"/>
  <c r="I227" i="6"/>
  <c r="M227" i="6" s="1"/>
  <c r="L227" i="6"/>
  <c r="I211" i="6"/>
  <c r="M211" i="6" s="1"/>
  <c r="L211" i="6"/>
  <c r="K195" i="6"/>
  <c r="O195" i="6" s="1"/>
  <c r="L195" i="6"/>
  <c r="K179" i="6"/>
  <c r="O179" i="6" s="1"/>
  <c r="L179" i="6"/>
  <c r="I163" i="6"/>
  <c r="M163" i="6" s="1"/>
  <c r="L163" i="6"/>
  <c r="I131" i="6"/>
  <c r="M131" i="6" s="1"/>
  <c r="L131" i="6"/>
  <c r="I99" i="6"/>
  <c r="M99" i="6" s="1"/>
  <c r="L99" i="6"/>
  <c r="I3" i="6"/>
  <c r="M3" i="6" s="1"/>
  <c r="L3" i="6"/>
  <c r="L687" i="6"/>
  <c r="L523" i="6"/>
  <c r="I213" i="6"/>
  <c r="M213" i="6" s="1"/>
  <c r="L213" i="6"/>
  <c r="I197" i="6"/>
  <c r="M197" i="6" s="1"/>
  <c r="L197" i="6"/>
  <c r="I98" i="6"/>
  <c r="M98" i="6" s="1"/>
  <c r="L98" i="6"/>
  <c r="I82" i="6"/>
  <c r="M82" i="6" s="1"/>
  <c r="L82" i="6"/>
  <c r="L576" i="6"/>
  <c r="L268" i="6"/>
  <c r="L113" i="6"/>
  <c r="I165" i="6"/>
  <c r="M165" i="6" s="1"/>
  <c r="L165" i="6"/>
  <c r="N145" i="6"/>
  <c r="L145" i="6"/>
  <c r="K129" i="6"/>
  <c r="O129" i="6" s="1"/>
  <c r="L129" i="6"/>
  <c r="L396" i="6"/>
  <c r="L364" i="6"/>
  <c r="K133" i="6"/>
  <c r="O133" i="6" s="1"/>
  <c r="L133" i="6"/>
  <c r="L736" i="6"/>
  <c r="L592" i="6"/>
  <c r="L223" i="6"/>
  <c r="K373" i="6"/>
  <c r="O373" i="6" s="1"/>
  <c r="L373" i="6"/>
  <c r="I149" i="6"/>
  <c r="M149" i="6" s="1"/>
  <c r="L149" i="6"/>
  <c r="I95" i="6"/>
  <c r="M95" i="6" s="1"/>
  <c r="L95" i="6"/>
  <c r="L480" i="6"/>
  <c r="L222" i="6"/>
  <c r="L734" i="6"/>
  <c r="K109" i="6"/>
  <c r="O109" i="6" s="1"/>
  <c r="L109" i="6"/>
  <c r="I93" i="6"/>
  <c r="M93" i="6" s="1"/>
  <c r="L93" i="6"/>
  <c r="I77" i="6"/>
  <c r="M77" i="6" s="1"/>
  <c r="L77" i="6"/>
  <c r="I13" i="6"/>
  <c r="M13" i="6" s="1"/>
  <c r="L13" i="6"/>
  <c r="L478" i="6"/>
  <c r="L352" i="6"/>
  <c r="L320" i="6"/>
  <c r="K411" i="6"/>
  <c r="O411" i="6" s="1"/>
  <c r="L411" i="6"/>
  <c r="N395" i="6"/>
  <c r="L395" i="6"/>
  <c r="K379" i="6"/>
  <c r="O379" i="6" s="1"/>
  <c r="L379" i="6"/>
  <c r="N363" i="6"/>
  <c r="L363" i="6"/>
  <c r="K331" i="6"/>
  <c r="O331" i="6" s="1"/>
  <c r="L331" i="6"/>
  <c r="K315" i="6"/>
  <c r="O315" i="6" s="1"/>
  <c r="L315" i="6"/>
  <c r="I235" i="6"/>
  <c r="M235" i="6" s="1"/>
  <c r="L235" i="6"/>
  <c r="K219" i="6"/>
  <c r="O219" i="6" s="1"/>
  <c r="L219" i="6"/>
  <c r="I91" i="6"/>
  <c r="M91" i="6" s="1"/>
  <c r="L91" i="6"/>
  <c r="I75" i="6"/>
  <c r="M75" i="6" s="1"/>
  <c r="L75" i="6"/>
  <c r="K59" i="6"/>
  <c r="O59" i="6" s="1"/>
  <c r="L59" i="6"/>
  <c r="K43" i="6"/>
  <c r="O43" i="6" s="1"/>
  <c r="L43" i="6"/>
  <c r="L476" i="6"/>
  <c r="K378" i="6"/>
  <c r="O378" i="6" s="1"/>
  <c r="L378" i="6"/>
  <c r="N362" i="6"/>
  <c r="L362" i="6"/>
  <c r="K346" i="6"/>
  <c r="O346" i="6" s="1"/>
  <c r="L346" i="6"/>
  <c r="K298" i="6"/>
  <c r="O298" i="6" s="1"/>
  <c r="L298" i="6"/>
  <c r="I234" i="6"/>
  <c r="M234" i="6" s="1"/>
  <c r="L234" i="6"/>
  <c r="K218" i="6"/>
  <c r="O218" i="6" s="1"/>
  <c r="L218" i="6"/>
  <c r="I202" i="6"/>
  <c r="M202" i="6" s="1"/>
  <c r="L202" i="6"/>
  <c r="K106" i="6"/>
  <c r="O106" i="6" s="1"/>
  <c r="L106" i="6"/>
  <c r="I74" i="6"/>
  <c r="M74" i="6" s="1"/>
  <c r="L74" i="6"/>
  <c r="I10" i="6"/>
  <c r="M10" i="6" s="1"/>
  <c r="L10" i="6"/>
  <c r="L349" i="6"/>
  <c r="L317" i="6"/>
  <c r="K473" i="6"/>
  <c r="O473" i="6" s="1"/>
  <c r="L473" i="6"/>
  <c r="K425" i="6"/>
  <c r="O425" i="6" s="1"/>
  <c r="L425" i="6"/>
  <c r="K409" i="6"/>
  <c r="O409" i="6" s="1"/>
  <c r="L409" i="6"/>
  <c r="I361" i="6"/>
  <c r="M361" i="6" s="1"/>
  <c r="L361" i="6"/>
  <c r="K345" i="6"/>
  <c r="O345" i="6" s="1"/>
  <c r="L345" i="6"/>
  <c r="K297" i="6"/>
  <c r="O297" i="6" s="1"/>
  <c r="L297" i="6"/>
  <c r="K249" i="6"/>
  <c r="O249" i="6" s="1"/>
  <c r="L249" i="6"/>
  <c r="N233" i="6"/>
  <c r="L233" i="6"/>
  <c r="I217" i="6"/>
  <c r="M217" i="6" s="1"/>
  <c r="L217" i="6"/>
  <c r="N41" i="6"/>
  <c r="L41" i="6"/>
  <c r="L454" i="6"/>
  <c r="N216" i="6"/>
  <c r="L216" i="6"/>
  <c r="K200" i="6"/>
  <c r="O200" i="6" s="1"/>
  <c r="L200" i="6"/>
  <c r="I184" i="6"/>
  <c r="M184" i="6" s="1"/>
  <c r="L184" i="6"/>
  <c r="I104" i="6"/>
  <c r="M104" i="6" s="1"/>
  <c r="L104" i="6"/>
  <c r="K88" i="6"/>
  <c r="O88" i="6" s="1"/>
  <c r="L88" i="6"/>
  <c r="N72" i="6"/>
  <c r="L72" i="6"/>
  <c r="I56" i="6"/>
  <c r="M56" i="6" s="1"/>
  <c r="L56" i="6"/>
  <c r="I8" i="6"/>
  <c r="M8" i="6" s="1"/>
  <c r="L8" i="6"/>
  <c r="L408" i="6"/>
  <c r="K407" i="6"/>
  <c r="O407" i="6" s="1"/>
  <c r="L407" i="6"/>
  <c r="K391" i="6"/>
  <c r="O391" i="6" s="1"/>
  <c r="L391" i="6"/>
  <c r="K343" i="6"/>
  <c r="O343" i="6" s="1"/>
  <c r="L343" i="6"/>
  <c r="N327" i="6"/>
  <c r="L327" i="6"/>
  <c r="K279" i="6"/>
  <c r="O279" i="6" s="1"/>
  <c r="L279" i="6"/>
  <c r="I231" i="6"/>
  <c r="M231" i="6" s="1"/>
  <c r="L231" i="6"/>
  <c r="K199" i="6"/>
  <c r="O199" i="6" s="1"/>
  <c r="L199" i="6"/>
  <c r="I183" i="6"/>
  <c r="M183" i="6" s="1"/>
  <c r="L183" i="6"/>
  <c r="I167" i="6"/>
  <c r="M167" i="6" s="1"/>
  <c r="L167" i="6"/>
  <c r="N71" i="6"/>
  <c r="L71" i="6"/>
  <c r="I7" i="6"/>
  <c r="M7" i="6" s="1"/>
  <c r="L7" i="6"/>
  <c r="L491" i="6"/>
  <c r="L85" i="6"/>
  <c r="K422" i="6"/>
  <c r="O422" i="6" s="1"/>
  <c r="L422" i="6"/>
  <c r="K390" i="6"/>
  <c r="O390" i="6" s="1"/>
  <c r="L390" i="6"/>
  <c r="K374" i="6"/>
  <c r="O374" i="6" s="1"/>
  <c r="L374" i="6"/>
  <c r="I326" i="6"/>
  <c r="M326" i="6" s="1"/>
  <c r="L326" i="6"/>
  <c r="K278" i="6"/>
  <c r="O278" i="6" s="1"/>
  <c r="L278" i="6"/>
  <c r="K230" i="6"/>
  <c r="O230" i="6" s="1"/>
  <c r="L230" i="6"/>
  <c r="K214" i="6"/>
  <c r="O214" i="6" s="1"/>
  <c r="L214" i="6"/>
  <c r="N182" i="6"/>
  <c r="L182" i="6"/>
  <c r="I166" i="6"/>
  <c r="M166" i="6" s="1"/>
  <c r="L166" i="6"/>
  <c r="K150" i="6"/>
  <c r="O150" i="6" s="1"/>
  <c r="L150" i="6"/>
  <c r="I54" i="6"/>
  <c r="M54" i="6" s="1"/>
  <c r="L54" i="6"/>
  <c r="K22" i="6"/>
  <c r="O22" i="6" s="1"/>
  <c r="L22" i="6"/>
  <c r="I6" i="6"/>
  <c r="M6" i="6" s="1"/>
  <c r="L6" i="6"/>
  <c r="L654" i="6"/>
  <c r="L508" i="6"/>
  <c r="L449" i="6"/>
  <c r="L401" i="6"/>
  <c r="L337" i="6"/>
  <c r="L203" i="6"/>
  <c r="L84" i="6"/>
  <c r="L45" i="6"/>
  <c r="N425" i="6"/>
  <c r="N391" i="6"/>
  <c r="I72" i="6"/>
  <c r="M72" i="6" s="1"/>
  <c r="N355" i="6"/>
  <c r="N326" i="6"/>
  <c r="N279" i="6"/>
  <c r="N230" i="6"/>
  <c r="N218" i="6"/>
  <c r="I219" i="6"/>
  <c r="M219" i="6" s="1"/>
  <c r="N150" i="6"/>
  <c r="N133" i="6"/>
  <c r="I200" i="6"/>
  <c r="M200" i="6" s="1"/>
  <c r="N59" i="6"/>
  <c r="N43" i="6"/>
  <c r="I182" i="6"/>
  <c r="M182" i="6" s="1"/>
  <c r="N508" i="6"/>
  <c r="K395" i="6"/>
  <c r="O395" i="6" s="1"/>
  <c r="K362" i="6"/>
  <c r="O362" i="6" s="1"/>
  <c r="K182" i="6"/>
  <c r="O182" i="6" s="1"/>
  <c r="K180" i="6"/>
  <c r="O180" i="6" s="1"/>
  <c r="K688" i="6"/>
  <c r="O688" i="6" s="1"/>
  <c r="N688" i="6"/>
  <c r="K798" i="6"/>
  <c r="O798" i="6" s="1"/>
  <c r="N798" i="6"/>
  <c r="K606" i="6"/>
  <c r="O606" i="6" s="1"/>
  <c r="N606" i="6"/>
  <c r="K793" i="6"/>
  <c r="O793" i="6" s="1"/>
  <c r="I793" i="6"/>
  <c r="M793" i="6" s="1"/>
  <c r="K713" i="6"/>
  <c r="O713" i="6" s="1"/>
  <c r="N713" i="6"/>
  <c r="I713" i="6"/>
  <c r="M713" i="6" s="1"/>
  <c r="N697" i="6"/>
  <c r="N665" i="6"/>
  <c r="I665" i="6"/>
  <c r="M665" i="6" s="1"/>
  <c r="K649" i="6"/>
  <c r="O649" i="6" s="1"/>
  <c r="N649" i="6"/>
  <c r="I649" i="6"/>
  <c r="M649" i="6" s="1"/>
  <c r="K633" i="6"/>
  <c r="O633" i="6" s="1"/>
  <c r="I633" i="6"/>
  <c r="M633" i="6" s="1"/>
  <c r="N633" i="6"/>
  <c r="I569" i="6"/>
  <c r="M569" i="6" s="1"/>
  <c r="K553" i="6"/>
  <c r="O553" i="6" s="1"/>
  <c r="N553" i="6"/>
  <c r="I553" i="6"/>
  <c r="M553" i="6" s="1"/>
  <c r="K632" i="6"/>
  <c r="O632" i="6" s="1"/>
  <c r="I632" i="6"/>
  <c r="M632" i="6" s="1"/>
  <c r="N632" i="6"/>
  <c r="K616" i="6"/>
  <c r="O616" i="6" s="1"/>
  <c r="I616" i="6"/>
  <c r="M616" i="6" s="1"/>
  <c r="N616" i="6"/>
  <c r="I552" i="6"/>
  <c r="M552" i="6" s="1"/>
  <c r="I606" i="6"/>
  <c r="M606" i="6" s="1"/>
  <c r="K711" i="6"/>
  <c r="O711" i="6" s="1"/>
  <c r="N711" i="6"/>
  <c r="I711" i="6"/>
  <c r="M711" i="6" s="1"/>
  <c r="K679" i="6"/>
  <c r="O679" i="6" s="1"/>
  <c r="I599" i="6"/>
  <c r="M599" i="6" s="1"/>
  <c r="N583" i="6"/>
  <c r="K583" i="6"/>
  <c r="O583" i="6" s="1"/>
  <c r="I583" i="6"/>
  <c r="M583" i="6" s="1"/>
  <c r="K567" i="6"/>
  <c r="O567" i="6" s="1"/>
  <c r="N567" i="6"/>
  <c r="I567" i="6"/>
  <c r="M567" i="6" s="1"/>
  <c r="K741" i="6"/>
  <c r="O741" i="6" s="1"/>
  <c r="I741" i="6"/>
  <c r="M741" i="6" s="1"/>
  <c r="N741" i="6"/>
  <c r="K661" i="6"/>
  <c r="O661" i="6" s="1"/>
  <c r="I661" i="6"/>
  <c r="M661" i="6" s="1"/>
  <c r="I533" i="6"/>
  <c r="M533" i="6" s="1"/>
  <c r="N517" i="6"/>
  <c r="I517" i="6"/>
  <c r="M517" i="6" s="1"/>
  <c r="K501" i="6"/>
  <c r="O501" i="6" s="1"/>
  <c r="I501" i="6"/>
  <c r="M501" i="6" s="1"/>
  <c r="N501" i="6"/>
  <c r="K469" i="6"/>
  <c r="O469" i="6" s="1"/>
  <c r="I469" i="6"/>
  <c r="M469" i="6" s="1"/>
  <c r="N469" i="6"/>
  <c r="K453" i="6"/>
  <c r="O453" i="6" s="1"/>
  <c r="K389" i="6"/>
  <c r="O389" i="6" s="1"/>
  <c r="I389" i="6"/>
  <c r="M389" i="6" s="1"/>
  <c r="K664" i="6"/>
  <c r="O664" i="6" s="1"/>
  <c r="I664" i="6"/>
  <c r="M664" i="6" s="1"/>
  <c r="N664" i="6"/>
  <c r="N486" i="6"/>
  <c r="I486" i="6"/>
  <c r="M486" i="6" s="1"/>
  <c r="K486" i="6"/>
  <c r="O486" i="6" s="1"/>
  <c r="K788" i="6"/>
  <c r="O788" i="6" s="1"/>
  <c r="N788" i="6"/>
  <c r="I740" i="6"/>
  <c r="M740" i="6" s="1"/>
  <c r="I708" i="6"/>
  <c r="M708" i="6" s="1"/>
  <c r="K708" i="6"/>
  <c r="O708" i="6" s="1"/>
  <c r="N692" i="6"/>
  <c r="K692" i="6"/>
  <c r="O692" i="6" s="1"/>
  <c r="I692" i="6"/>
  <c r="M692" i="6" s="1"/>
  <c r="K660" i="6"/>
  <c r="O660" i="6" s="1"/>
  <c r="N612" i="6"/>
  <c r="K612" i="6"/>
  <c r="O612" i="6" s="1"/>
  <c r="I612" i="6"/>
  <c r="M612" i="6" s="1"/>
  <c r="I596" i="6"/>
  <c r="M596" i="6" s="1"/>
  <c r="N564" i="6"/>
  <c r="K564" i="6"/>
  <c r="O564" i="6" s="1"/>
  <c r="I564" i="6"/>
  <c r="M564" i="6" s="1"/>
  <c r="K516" i="6"/>
  <c r="O516" i="6" s="1"/>
  <c r="K484" i="6"/>
  <c r="O484" i="6" s="1"/>
  <c r="I484" i="6"/>
  <c r="M484" i="6" s="1"/>
  <c r="I702" i="6"/>
  <c r="M702" i="6" s="1"/>
  <c r="N614" i="6"/>
  <c r="K614" i="6"/>
  <c r="O614" i="6" s="1"/>
  <c r="I614" i="6"/>
  <c r="M614" i="6" s="1"/>
  <c r="N771" i="6"/>
  <c r="N755" i="6"/>
  <c r="I755" i="6"/>
  <c r="M755" i="6" s="1"/>
  <c r="K755" i="6"/>
  <c r="O755" i="6" s="1"/>
  <c r="K739" i="6"/>
  <c r="O739" i="6" s="1"/>
  <c r="I595" i="6"/>
  <c r="M595" i="6" s="1"/>
  <c r="K595" i="6"/>
  <c r="O595" i="6" s="1"/>
  <c r="K515" i="6"/>
  <c r="O515" i="6" s="1"/>
  <c r="N515" i="6"/>
  <c r="I515" i="6"/>
  <c r="M515" i="6" s="1"/>
  <c r="K499" i="6"/>
  <c r="O499" i="6" s="1"/>
  <c r="I499" i="6"/>
  <c r="M499" i="6" s="1"/>
  <c r="N499" i="6"/>
  <c r="K419" i="6"/>
  <c r="O419" i="6" s="1"/>
  <c r="I688" i="6"/>
  <c r="M688" i="6" s="1"/>
  <c r="K738" i="6"/>
  <c r="O738" i="6" s="1"/>
  <c r="N642" i="6"/>
  <c r="I642" i="6"/>
  <c r="M642" i="6" s="1"/>
  <c r="K642" i="6"/>
  <c r="O642" i="6" s="1"/>
  <c r="I434" i="6"/>
  <c r="M434" i="6" s="1"/>
  <c r="N434" i="6"/>
  <c r="K322" i="6"/>
  <c r="O322" i="6" s="1"/>
  <c r="N242" i="6"/>
  <c r="K242" i="6"/>
  <c r="O242" i="6" s="1"/>
  <c r="I242" i="6"/>
  <c r="M242" i="6" s="1"/>
  <c r="I722" i="6"/>
  <c r="M722" i="6" s="1"/>
  <c r="N690" i="6"/>
  <c r="K769" i="6"/>
  <c r="O769" i="6" s="1"/>
  <c r="N769" i="6"/>
  <c r="I769" i="6"/>
  <c r="M769" i="6" s="1"/>
  <c r="K753" i="6"/>
  <c r="O753" i="6" s="1"/>
  <c r="N753" i="6"/>
  <c r="I753" i="6"/>
  <c r="M753" i="6" s="1"/>
  <c r="K737" i="6"/>
  <c r="O737" i="6" s="1"/>
  <c r="N737" i="6"/>
  <c r="I737" i="6"/>
  <c r="M737" i="6" s="1"/>
  <c r="K721" i="6"/>
  <c r="O721" i="6" s="1"/>
  <c r="N721" i="6"/>
  <c r="I721" i="6"/>
  <c r="M721" i="6" s="1"/>
  <c r="N705" i="6"/>
  <c r="K673" i="6"/>
  <c r="O673" i="6" s="1"/>
  <c r="N673" i="6"/>
  <c r="I673" i="6"/>
  <c r="M673" i="6" s="1"/>
  <c r="K657" i="6"/>
  <c r="O657" i="6" s="1"/>
  <c r="N657" i="6"/>
  <c r="I657" i="6"/>
  <c r="M657" i="6" s="1"/>
  <c r="K641" i="6"/>
  <c r="O641" i="6" s="1"/>
  <c r="N641" i="6"/>
  <c r="I641" i="6"/>
  <c r="M641" i="6" s="1"/>
  <c r="K625" i="6"/>
  <c r="O625" i="6" s="1"/>
  <c r="N625" i="6"/>
  <c r="I625" i="6"/>
  <c r="M625" i="6" s="1"/>
  <c r="K577" i="6"/>
  <c r="O577" i="6" s="1"/>
  <c r="N577" i="6"/>
  <c r="I577" i="6"/>
  <c r="M577" i="6" s="1"/>
  <c r="N529" i="6"/>
  <c r="K513" i="6"/>
  <c r="O513" i="6" s="1"/>
  <c r="N513" i="6"/>
  <c r="I513" i="6"/>
  <c r="M513" i="6" s="1"/>
  <c r="I288" i="6"/>
  <c r="M288" i="6" s="1"/>
  <c r="N793" i="6"/>
  <c r="K665" i="6"/>
  <c r="O665" i="6" s="1"/>
  <c r="N800" i="6"/>
  <c r="K800" i="6"/>
  <c r="O800" i="6" s="1"/>
  <c r="N672" i="6"/>
  <c r="K560" i="6"/>
  <c r="O560" i="6" s="1"/>
  <c r="N560" i="6"/>
  <c r="K480" i="6"/>
  <c r="O480" i="6" s="1"/>
  <c r="K368" i="6"/>
  <c r="O368" i="6" s="1"/>
  <c r="N368" i="6"/>
  <c r="K352" i="6"/>
  <c r="O352" i="6" s="1"/>
  <c r="N352" i="6"/>
  <c r="K336" i="6"/>
  <c r="O336" i="6" s="1"/>
  <c r="N336" i="6"/>
  <c r="K320" i="6"/>
  <c r="O320" i="6" s="1"/>
  <c r="N320" i="6"/>
  <c r="K304" i="6"/>
  <c r="O304" i="6" s="1"/>
  <c r="N304" i="6"/>
  <c r="K272" i="6"/>
  <c r="O272" i="6" s="1"/>
  <c r="N240" i="6"/>
  <c r="K240" i="6"/>
  <c r="O240" i="6" s="1"/>
  <c r="N176" i="6"/>
  <c r="K176" i="6"/>
  <c r="O176" i="6" s="1"/>
  <c r="I176" i="6"/>
  <c r="M176" i="6" s="1"/>
  <c r="N112" i="6"/>
  <c r="K112" i="6"/>
  <c r="O112" i="6" s="1"/>
  <c r="N96" i="6"/>
  <c r="K96" i="6"/>
  <c r="O96" i="6" s="1"/>
  <c r="I96" i="6"/>
  <c r="M96" i="6" s="1"/>
  <c r="N80" i="6"/>
  <c r="K80" i="6"/>
  <c r="O80" i="6" s="1"/>
  <c r="I80" i="6"/>
  <c r="M80" i="6" s="1"/>
  <c r="N64" i="6"/>
  <c r="K64" i="6"/>
  <c r="O64" i="6" s="1"/>
  <c r="I64" i="6"/>
  <c r="M64" i="6" s="1"/>
  <c r="N48" i="6"/>
  <c r="K48" i="6"/>
  <c r="O48" i="6" s="1"/>
  <c r="I48" i="6"/>
  <c r="M48" i="6" s="1"/>
  <c r="N16" i="6"/>
  <c r="K16" i="6"/>
  <c r="O16" i="6" s="1"/>
  <c r="I16" i="6"/>
  <c r="M16" i="6" s="1"/>
  <c r="I798" i="6"/>
  <c r="M798" i="6" s="1"/>
  <c r="N389" i="6"/>
  <c r="K648" i="6"/>
  <c r="O648" i="6" s="1"/>
  <c r="N648" i="6"/>
  <c r="I648" i="6"/>
  <c r="M648" i="6" s="1"/>
  <c r="K528" i="6"/>
  <c r="O528" i="6" s="1"/>
  <c r="N528" i="6"/>
  <c r="N496" i="6"/>
  <c r="K799" i="6"/>
  <c r="O799" i="6" s="1"/>
  <c r="N799" i="6"/>
  <c r="I799" i="6"/>
  <c r="M799" i="6" s="1"/>
  <c r="K735" i="6"/>
  <c r="O735" i="6" s="1"/>
  <c r="N735" i="6"/>
  <c r="I735" i="6"/>
  <c r="M735" i="6" s="1"/>
  <c r="K719" i="6"/>
  <c r="O719" i="6" s="1"/>
  <c r="N719" i="6"/>
  <c r="I719" i="6"/>
  <c r="M719" i="6" s="1"/>
  <c r="K703" i="6"/>
  <c r="O703" i="6" s="1"/>
  <c r="N703" i="6"/>
  <c r="I703" i="6"/>
  <c r="M703" i="6" s="1"/>
  <c r="K687" i="6"/>
  <c r="O687" i="6" s="1"/>
  <c r="I687" i="6"/>
  <c r="M687" i="6" s="1"/>
  <c r="K671" i="6"/>
  <c r="O671" i="6" s="1"/>
  <c r="N671" i="6"/>
  <c r="I671" i="6"/>
  <c r="M671" i="6" s="1"/>
  <c r="K655" i="6"/>
  <c r="O655" i="6" s="1"/>
  <c r="N655" i="6"/>
  <c r="I655" i="6"/>
  <c r="M655" i="6" s="1"/>
  <c r="K639" i="6"/>
  <c r="O639" i="6" s="1"/>
  <c r="N639" i="6"/>
  <c r="I639" i="6"/>
  <c r="M639" i="6" s="1"/>
  <c r="I623" i="6"/>
  <c r="M623" i="6" s="1"/>
  <c r="N543" i="6"/>
  <c r="K543" i="6"/>
  <c r="O543" i="6" s="1"/>
  <c r="I543" i="6"/>
  <c r="M543" i="6" s="1"/>
  <c r="N479" i="6"/>
  <c r="K479" i="6"/>
  <c r="O479" i="6" s="1"/>
  <c r="I479" i="6"/>
  <c r="M479" i="6" s="1"/>
  <c r="N463" i="6"/>
  <c r="K463" i="6"/>
  <c r="O463" i="6" s="1"/>
  <c r="I463" i="6"/>
  <c r="M463" i="6" s="1"/>
  <c r="N447" i="6"/>
  <c r="K447" i="6"/>
  <c r="O447" i="6" s="1"/>
  <c r="I447" i="6"/>
  <c r="M447" i="6" s="1"/>
  <c r="N431" i="6"/>
  <c r="I528" i="6"/>
  <c r="M528" i="6" s="1"/>
  <c r="I272" i="6"/>
  <c r="M272" i="6" s="1"/>
  <c r="K624" i="6"/>
  <c r="O624" i="6" s="1"/>
  <c r="N624" i="6"/>
  <c r="K782" i="6"/>
  <c r="O782" i="6" s="1"/>
  <c r="N782" i="6"/>
  <c r="K446" i="6"/>
  <c r="O446" i="6" s="1"/>
  <c r="N446" i="6"/>
  <c r="K398" i="6"/>
  <c r="O398" i="6" s="1"/>
  <c r="N398" i="6"/>
  <c r="K270" i="6"/>
  <c r="O270" i="6" s="1"/>
  <c r="N270" i="6"/>
  <c r="K254" i="6"/>
  <c r="O254" i="6" s="1"/>
  <c r="N254" i="6"/>
  <c r="K238" i="6"/>
  <c r="O238" i="6" s="1"/>
  <c r="N238" i="6"/>
  <c r="K222" i="6"/>
  <c r="O222" i="6" s="1"/>
  <c r="N222" i="6"/>
  <c r="K206" i="6"/>
  <c r="O206" i="6" s="1"/>
  <c r="N206" i="6"/>
  <c r="I206" i="6"/>
  <c r="M206" i="6" s="1"/>
  <c r="K190" i="6"/>
  <c r="O190" i="6" s="1"/>
  <c r="N190" i="6"/>
  <c r="I190" i="6"/>
  <c r="M190" i="6" s="1"/>
  <c r="N174" i="6"/>
  <c r="K158" i="6"/>
  <c r="O158" i="6" s="1"/>
  <c r="K142" i="6"/>
  <c r="O142" i="6" s="1"/>
  <c r="N142" i="6"/>
  <c r="I142" i="6"/>
  <c r="M142" i="6" s="1"/>
  <c r="K94" i="6"/>
  <c r="O94" i="6" s="1"/>
  <c r="N94" i="6"/>
  <c r="K30" i="6"/>
  <c r="O30" i="6" s="1"/>
  <c r="N30" i="6"/>
  <c r="I30" i="6"/>
  <c r="M30" i="6" s="1"/>
  <c r="K14" i="6"/>
  <c r="O14" i="6" s="1"/>
  <c r="N14" i="6"/>
  <c r="I14" i="6"/>
  <c r="M14" i="6" s="1"/>
  <c r="I782" i="6"/>
  <c r="M782" i="6" s="1"/>
  <c r="I398" i="6"/>
  <c r="M398" i="6" s="1"/>
  <c r="I270" i="6"/>
  <c r="M270" i="6" s="1"/>
  <c r="N770" i="6"/>
  <c r="K517" i="6"/>
  <c r="O517" i="6" s="1"/>
  <c r="K576" i="6"/>
  <c r="O576" i="6" s="1"/>
  <c r="N576" i="6"/>
  <c r="K654" i="6"/>
  <c r="O654" i="6" s="1"/>
  <c r="N654" i="6"/>
  <c r="K478" i="6"/>
  <c r="O478" i="6" s="1"/>
  <c r="N478" i="6"/>
  <c r="N382" i="6"/>
  <c r="K717" i="6"/>
  <c r="O717" i="6" s="1"/>
  <c r="N717" i="6"/>
  <c r="I717" i="6"/>
  <c r="M717" i="6" s="1"/>
  <c r="K605" i="6"/>
  <c r="O605" i="6" s="1"/>
  <c r="N605" i="6"/>
  <c r="I605" i="6"/>
  <c r="M605" i="6" s="1"/>
  <c r="K589" i="6"/>
  <c r="O589" i="6" s="1"/>
  <c r="I589" i="6"/>
  <c r="M589" i="6" s="1"/>
  <c r="N589" i="6"/>
  <c r="K573" i="6"/>
  <c r="O573" i="6" s="1"/>
  <c r="N573" i="6"/>
  <c r="I573" i="6"/>
  <c r="M573" i="6" s="1"/>
  <c r="K557" i="6"/>
  <c r="O557" i="6" s="1"/>
  <c r="N557" i="6"/>
  <c r="I557" i="6"/>
  <c r="M557" i="6" s="1"/>
  <c r="N541" i="6"/>
  <c r="I541" i="6"/>
  <c r="M541" i="6" s="1"/>
  <c r="K541" i="6"/>
  <c r="O541" i="6" s="1"/>
  <c r="N525" i="6"/>
  <c r="K525" i="6"/>
  <c r="O525" i="6" s="1"/>
  <c r="I525" i="6"/>
  <c r="M525" i="6" s="1"/>
  <c r="K509" i="6"/>
  <c r="O509" i="6" s="1"/>
  <c r="I509" i="6"/>
  <c r="M509" i="6" s="1"/>
  <c r="N509" i="6"/>
  <c r="K477" i="6"/>
  <c r="O477" i="6" s="1"/>
  <c r="N461" i="6"/>
  <c r="K461" i="6"/>
  <c r="O461" i="6" s="1"/>
  <c r="I461" i="6"/>
  <c r="M461" i="6" s="1"/>
  <c r="I768" i="6"/>
  <c r="M768" i="6" s="1"/>
  <c r="I112" i="6"/>
  <c r="M112" i="6" s="1"/>
  <c r="N752" i="6"/>
  <c r="K736" i="6"/>
  <c r="O736" i="6" s="1"/>
  <c r="N736" i="6"/>
  <c r="K608" i="6"/>
  <c r="O608" i="6" s="1"/>
  <c r="N608" i="6"/>
  <c r="K766" i="6"/>
  <c r="O766" i="6" s="1"/>
  <c r="N766" i="6"/>
  <c r="K494" i="6"/>
  <c r="O494" i="6" s="1"/>
  <c r="N494" i="6"/>
  <c r="K765" i="6"/>
  <c r="O765" i="6" s="1"/>
  <c r="N765" i="6"/>
  <c r="I765" i="6"/>
  <c r="M765" i="6" s="1"/>
  <c r="I732" i="6"/>
  <c r="M732" i="6" s="1"/>
  <c r="K700" i="6"/>
  <c r="O700" i="6" s="1"/>
  <c r="N700" i="6"/>
  <c r="I700" i="6"/>
  <c r="M700" i="6" s="1"/>
  <c r="I684" i="6"/>
  <c r="M684" i="6" s="1"/>
  <c r="N684" i="6"/>
  <c r="K684" i="6"/>
  <c r="O684" i="6" s="1"/>
  <c r="K636" i="6"/>
  <c r="O636" i="6" s="1"/>
  <c r="I636" i="6"/>
  <c r="M636" i="6" s="1"/>
  <c r="N636" i="6"/>
  <c r="K620" i="6"/>
  <c r="O620" i="6" s="1"/>
  <c r="N620" i="6"/>
  <c r="N604" i="6"/>
  <c r="K588" i="6"/>
  <c r="O588" i="6" s="1"/>
  <c r="I588" i="6"/>
  <c r="M588" i="6" s="1"/>
  <c r="K572" i="6"/>
  <c r="O572" i="6" s="1"/>
  <c r="N572" i="6"/>
  <c r="I572" i="6"/>
  <c r="M572" i="6" s="1"/>
  <c r="N540" i="6"/>
  <c r="I540" i="6"/>
  <c r="M540" i="6" s="1"/>
  <c r="K524" i="6"/>
  <c r="O524" i="6" s="1"/>
  <c r="I766" i="6"/>
  <c r="M766" i="6" s="1"/>
  <c r="I638" i="6"/>
  <c r="M638" i="6" s="1"/>
  <c r="I254" i="6"/>
  <c r="M254" i="6" s="1"/>
  <c r="N322" i="6"/>
  <c r="K680" i="6"/>
  <c r="O680" i="6" s="1"/>
  <c r="I680" i="6"/>
  <c r="M680" i="6" s="1"/>
  <c r="N680" i="6"/>
  <c r="K784" i="6"/>
  <c r="O784" i="6" s="1"/>
  <c r="N784" i="6"/>
  <c r="N544" i="6"/>
  <c r="K544" i="6"/>
  <c r="O544" i="6" s="1"/>
  <c r="K734" i="6"/>
  <c r="O734" i="6" s="1"/>
  <c r="N734" i="6"/>
  <c r="K542" i="6"/>
  <c r="O542" i="6" s="1"/>
  <c r="N542" i="6"/>
  <c r="K462" i="6"/>
  <c r="O462" i="6" s="1"/>
  <c r="N462" i="6"/>
  <c r="N795" i="6"/>
  <c r="K795" i="6"/>
  <c r="O795" i="6" s="1"/>
  <c r="I795" i="6"/>
  <c r="M795" i="6" s="1"/>
  <c r="N763" i="6"/>
  <c r="K763" i="6"/>
  <c r="O763" i="6" s="1"/>
  <c r="I763" i="6"/>
  <c r="M763" i="6" s="1"/>
  <c r="N747" i="6"/>
  <c r="K747" i="6"/>
  <c r="O747" i="6" s="1"/>
  <c r="I747" i="6"/>
  <c r="M747" i="6" s="1"/>
  <c r="K715" i="6"/>
  <c r="O715" i="6" s="1"/>
  <c r="N699" i="6"/>
  <c r="N635" i="6"/>
  <c r="K635" i="6"/>
  <c r="O635" i="6" s="1"/>
  <c r="I635" i="6"/>
  <c r="M635" i="6" s="1"/>
  <c r="K619" i="6"/>
  <c r="O619" i="6" s="1"/>
  <c r="N619" i="6"/>
  <c r="I619" i="6"/>
  <c r="M619" i="6" s="1"/>
  <c r="K603" i="6"/>
  <c r="O603" i="6" s="1"/>
  <c r="N603" i="6"/>
  <c r="I603" i="6"/>
  <c r="M603" i="6" s="1"/>
  <c r="K587" i="6"/>
  <c r="O587" i="6" s="1"/>
  <c r="I587" i="6"/>
  <c r="M587" i="6" s="1"/>
  <c r="N587" i="6"/>
  <c r="K571" i="6"/>
  <c r="O571" i="6" s="1"/>
  <c r="N571" i="6"/>
  <c r="I571" i="6"/>
  <c r="M571" i="6" s="1"/>
  <c r="K555" i="6"/>
  <c r="O555" i="6" s="1"/>
  <c r="N555" i="6"/>
  <c r="I555" i="6"/>
  <c r="M555" i="6" s="1"/>
  <c r="I752" i="6"/>
  <c r="M752" i="6" s="1"/>
  <c r="I624" i="6"/>
  <c r="M624" i="6" s="1"/>
  <c r="I368" i="6"/>
  <c r="M368" i="6" s="1"/>
  <c r="I240" i="6"/>
  <c r="M240" i="6" s="1"/>
  <c r="I94" i="6"/>
  <c r="M94" i="6" s="1"/>
  <c r="N288" i="6"/>
  <c r="K792" i="6"/>
  <c r="O792" i="6" s="1"/>
  <c r="N792" i="6"/>
  <c r="I792" i="6"/>
  <c r="M792" i="6" s="1"/>
  <c r="K710" i="6"/>
  <c r="O710" i="6" s="1"/>
  <c r="N710" i="6"/>
  <c r="I710" i="6"/>
  <c r="M710" i="6" s="1"/>
  <c r="N720" i="6"/>
  <c r="K592" i="6"/>
  <c r="O592" i="6" s="1"/>
  <c r="N592" i="6"/>
  <c r="K718" i="6"/>
  <c r="O718" i="6" s="1"/>
  <c r="N718" i="6"/>
  <c r="N733" i="6"/>
  <c r="K794" i="6"/>
  <c r="O794" i="6" s="1"/>
  <c r="I794" i="6"/>
  <c r="M794" i="6" s="1"/>
  <c r="N794" i="6"/>
  <c r="K778" i="6"/>
  <c r="O778" i="6" s="1"/>
  <c r="N778" i="6"/>
  <c r="I778" i="6"/>
  <c r="M778" i="6" s="1"/>
  <c r="I746" i="6"/>
  <c r="M746" i="6" s="1"/>
  <c r="K746" i="6"/>
  <c r="O746" i="6" s="1"/>
  <c r="N746" i="6"/>
  <c r="I730" i="6"/>
  <c r="M730" i="6" s="1"/>
  <c r="K730" i="6"/>
  <c r="O730" i="6" s="1"/>
  <c r="N730" i="6"/>
  <c r="K714" i="6"/>
  <c r="O714" i="6" s="1"/>
  <c r="N714" i="6"/>
  <c r="I714" i="6"/>
  <c r="M714" i="6" s="1"/>
  <c r="N698" i="6"/>
  <c r="K634" i="6"/>
  <c r="O634" i="6" s="1"/>
  <c r="N618" i="6"/>
  <c r="I618" i="6"/>
  <c r="M618" i="6" s="1"/>
  <c r="K554" i="6"/>
  <c r="O554" i="6" s="1"/>
  <c r="N554" i="6"/>
  <c r="I554" i="6"/>
  <c r="M554" i="6" s="1"/>
  <c r="I538" i="6"/>
  <c r="M538" i="6" s="1"/>
  <c r="I494" i="6"/>
  <c r="M494" i="6" s="1"/>
  <c r="I366" i="6"/>
  <c r="M366" i="6" s="1"/>
  <c r="I238" i="6"/>
  <c r="M238" i="6" s="1"/>
  <c r="N726" i="6"/>
  <c r="N417" i="6"/>
  <c r="K417" i="6"/>
  <c r="O417" i="6" s="1"/>
  <c r="K305" i="6"/>
  <c r="O305" i="6" s="1"/>
  <c r="N305" i="6"/>
  <c r="N289" i="6"/>
  <c r="K289" i="6"/>
  <c r="O289" i="6" s="1"/>
  <c r="K241" i="6"/>
  <c r="O241" i="6" s="1"/>
  <c r="N241" i="6"/>
  <c r="N225" i="6"/>
  <c r="K225" i="6"/>
  <c r="O225" i="6" s="1"/>
  <c r="K209" i="6"/>
  <c r="O209" i="6" s="1"/>
  <c r="N209" i="6"/>
  <c r="K193" i="6"/>
  <c r="O193" i="6" s="1"/>
  <c r="K161" i="6"/>
  <c r="O161" i="6" s="1"/>
  <c r="N161" i="6"/>
  <c r="K65" i="6"/>
  <c r="O65" i="6" s="1"/>
  <c r="N65" i="6"/>
  <c r="N33" i="6"/>
  <c r="K33" i="6"/>
  <c r="O33" i="6" s="1"/>
  <c r="I497" i="6"/>
  <c r="M497" i="6" s="1"/>
  <c r="I449" i="6"/>
  <c r="M449" i="6" s="1"/>
  <c r="I417" i="6"/>
  <c r="M417" i="6" s="1"/>
  <c r="I401" i="6"/>
  <c r="M401" i="6" s="1"/>
  <c r="I353" i="6"/>
  <c r="M353" i="6" s="1"/>
  <c r="I305" i="6"/>
  <c r="M305" i="6" s="1"/>
  <c r="I289" i="6"/>
  <c r="M289" i="6" s="1"/>
  <c r="I241" i="6"/>
  <c r="M241" i="6" s="1"/>
  <c r="I113" i="6"/>
  <c r="M113" i="6" s="1"/>
  <c r="N539" i="6"/>
  <c r="N392" i="6"/>
  <c r="N361" i="6"/>
  <c r="N328" i="6"/>
  <c r="N292" i="6"/>
  <c r="N155" i="6"/>
  <c r="K396" i="6"/>
  <c r="O396" i="6" s="1"/>
  <c r="K216" i="6"/>
  <c r="O216" i="6" s="1"/>
  <c r="N415" i="6"/>
  <c r="K415" i="6"/>
  <c r="O415" i="6" s="1"/>
  <c r="N383" i="6"/>
  <c r="K383" i="6"/>
  <c r="O383" i="6" s="1"/>
  <c r="N335" i="6"/>
  <c r="K335" i="6"/>
  <c r="O335" i="6" s="1"/>
  <c r="N287" i="6"/>
  <c r="K287" i="6"/>
  <c r="O287" i="6" s="1"/>
  <c r="N223" i="6"/>
  <c r="K223" i="6"/>
  <c r="O223" i="6" s="1"/>
  <c r="N191" i="6"/>
  <c r="K191" i="6"/>
  <c r="O191" i="6" s="1"/>
  <c r="N175" i="6"/>
  <c r="K175" i="6"/>
  <c r="O175" i="6" s="1"/>
  <c r="N159" i="6"/>
  <c r="K159" i="6"/>
  <c r="O159" i="6" s="1"/>
  <c r="N95" i="6"/>
  <c r="K95" i="6"/>
  <c r="O95" i="6" s="1"/>
  <c r="N79" i="6"/>
  <c r="K79" i="6"/>
  <c r="O79" i="6" s="1"/>
  <c r="N63" i="6"/>
  <c r="K63" i="6"/>
  <c r="O63" i="6" s="1"/>
  <c r="I63" i="6"/>
  <c r="M63" i="6" s="1"/>
  <c r="N15" i="6"/>
  <c r="K15" i="6"/>
  <c r="O15" i="6" s="1"/>
  <c r="I15" i="6"/>
  <c r="M15" i="6" s="1"/>
  <c r="I415" i="6"/>
  <c r="M415" i="6" s="1"/>
  <c r="I383" i="6"/>
  <c r="M383" i="6" s="1"/>
  <c r="I335" i="6"/>
  <c r="M335" i="6" s="1"/>
  <c r="I287" i="6"/>
  <c r="M287" i="6" s="1"/>
  <c r="I129" i="6"/>
  <c r="M129" i="6" s="1"/>
  <c r="N452" i="6"/>
  <c r="N422" i="6"/>
  <c r="N390" i="6"/>
  <c r="N356" i="6"/>
  <c r="N323" i="6"/>
  <c r="N219" i="6"/>
  <c r="N45" i="6"/>
  <c r="K539" i="6"/>
  <c r="O539" i="6" s="1"/>
  <c r="K363" i="6"/>
  <c r="O363" i="6" s="1"/>
  <c r="K181" i="6"/>
  <c r="O181" i="6" s="1"/>
  <c r="K333" i="6"/>
  <c r="O333" i="6" s="1"/>
  <c r="N333" i="6"/>
  <c r="N301" i="6"/>
  <c r="K301" i="6"/>
  <c r="O301" i="6" s="1"/>
  <c r="N285" i="6"/>
  <c r="K285" i="6"/>
  <c r="O285" i="6" s="1"/>
  <c r="K93" i="6"/>
  <c r="O93" i="6" s="1"/>
  <c r="N93" i="6"/>
  <c r="K77" i="6"/>
  <c r="O77" i="6" s="1"/>
  <c r="N77" i="6"/>
  <c r="N29" i="6"/>
  <c r="K29" i="6"/>
  <c r="O29" i="6" s="1"/>
  <c r="K13" i="6"/>
  <c r="O13" i="6" s="1"/>
  <c r="N13" i="6"/>
  <c r="I349" i="6"/>
  <c r="M349" i="6" s="1"/>
  <c r="I333" i="6"/>
  <c r="M333" i="6" s="1"/>
  <c r="I317" i="6"/>
  <c r="M317" i="6" s="1"/>
  <c r="I301" i="6"/>
  <c r="M301" i="6" s="1"/>
  <c r="I285" i="6"/>
  <c r="M285" i="6" s="1"/>
  <c r="I253" i="6"/>
  <c r="M253" i="6" s="1"/>
  <c r="I218" i="6"/>
  <c r="M218" i="6" s="1"/>
  <c r="I199" i="6"/>
  <c r="M199" i="6" s="1"/>
  <c r="I181" i="6"/>
  <c r="M181" i="6" s="1"/>
  <c r="I145" i="6"/>
  <c r="M145" i="6" s="1"/>
  <c r="I109" i="6"/>
  <c r="M109" i="6" s="1"/>
  <c r="I90" i="6"/>
  <c r="M90" i="6" s="1"/>
  <c r="I71" i="6"/>
  <c r="M71" i="6" s="1"/>
  <c r="I33" i="6"/>
  <c r="M33" i="6" s="1"/>
  <c r="N506" i="6"/>
  <c r="N481" i="6"/>
  <c r="N449" i="6"/>
  <c r="N278" i="6"/>
  <c r="N217" i="6"/>
  <c r="N132" i="6"/>
  <c r="K361" i="6"/>
  <c r="O361" i="6" s="1"/>
  <c r="N412" i="6"/>
  <c r="K412" i="6"/>
  <c r="O412" i="6" s="1"/>
  <c r="N380" i="6"/>
  <c r="K380" i="6"/>
  <c r="O380" i="6" s="1"/>
  <c r="K348" i="6"/>
  <c r="O348" i="6" s="1"/>
  <c r="N348" i="6"/>
  <c r="N332" i="6"/>
  <c r="N300" i="6"/>
  <c r="N284" i="6"/>
  <c r="K284" i="6"/>
  <c r="O284" i="6" s="1"/>
  <c r="K220" i="6"/>
  <c r="O220" i="6" s="1"/>
  <c r="N204" i="6"/>
  <c r="N140" i="6"/>
  <c r="I140" i="6"/>
  <c r="M140" i="6" s="1"/>
  <c r="K140" i="6"/>
  <c r="O140" i="6" s="1"/>
  <c r="K124" i="6"/>
  <c r="O124" i="6" s="1"/>
  <c r="I124" i="6"/>
  <c r="M124" i="6" s="1"/>
  <c r="N124" i="6"/>
  <c r="K92" i="6"/>
  <c r="O92" i="6" s="1"/>
  <c r="N92" i="6"/>
  <c r="I92" i="6"/>
  <c r="M92" i="6" s="1"/>
  <c r="K76" i="6"/>
  <c r="O76" i="6" s="1"/>
  <c r="I76" i="6"/>
  <c r="M76" i="6" s="1"/>
  <c r="N60" i="6"/>
  <c r="K60" i="6"/>
  <c r="O60" i="6" s="1"/>
  <c r="I60" i="6"/>
  <c r="M60" i="6" s="1"/>
  <c r="N28" i="6"/>
  <c r="I28" i="6"/>
  <c r="M28" i="6" s="1"/>
  <c r="K12" i="6"/>
  <c r="O12" i="6" s="1"/>
  <c r="I12" i="6"/>
  <c r="M12" i="6" s="1"/>
  <c r="N12" i="6"/>
  <c r="I508" i="6"/>
  <c r="M508" i="6" s="1"/>
  <c r="I476" i="6"/>
  <c r="M476" i="6" s="1"/>
  <c r="I412" i="6"/>
  <c r="M412" i="6" s="1"/>
  <c r="I396" i="6"/>
  <c r="M396" i="6" s="1"/>
  <c r="I380" i="6"/>
  <c r="M380" i="6" s="1"/>
  <c r="I364" i="6"/>
  <c r="M364" i="6" s="1"/>
  <c r="I348" i="6"/>
  <c r="M348" i="6" s="1"/>
  <c r="I284" i="6"/>
  <c r="M284" i="6" s="1"/>
  <c r="I268" i="6"/>
  <c r="M268" i="6" s="1"/>
  <c r="I216" i="6"/>
  <c r="M216" i="6" s="1"/>
  <c r="I180" i="6"/>
  <c r="M180" i="6" s="1"/>
  <c r="I88" i="6"/>
  <c r="M88" i="6" s="1"/>
  <c r="I70" i="6"/>
  <c r="M70" i="6" s="1"/>
  <c r="N476" i="6"/>
  <c r="N353" i="6"/>
  <c r="N317" i="6"/>
  <c r="N277" i="6"/>
  <c r="N214" i="6"/>
  <c r="N129" i="6"/>
  <c r="N38" i="6"/>
  <c r="K328" i="6"/>
  <c r="O328" i="6" s="1"/>
  <c r="K145" i="6"/>
  <c r="O145" i="6" s="1"/>
  <c r="N507" i="6"/>
  <c r="K507" i="6"/>
  <c r="O507" i="6" s="1"/>
  <c r="N283" i="6"/>
  <c r="K283" i="6"/>
  <c r="O283" i="6" s="1"/>
  <c r="K267" i="6"/>
  <c r="O267" i="6" s="1"/>
  <c r="N267" i="6"/>
  <c r="N251" i="6"/>
  <c r="K251" i="6"/>
  <c r="O251" i="6" s="1"/>
  <c r="K235" i="6"/>
  <c r="O235" i="6" s="1"/>
  <c r="N235" i="6"/>
  <c r="K203" i="6"/>
  <c r="O203" i="6" s="1"/>
  <c r="N203" i="6"/>
  <c r="K187" i="6"/>
  <c r="O187" i="6" s="1"/>
  <c r="N187" i="6"/>
  <c r="K123" i="6"/>
  <c r="O123" i="6" s="1"/>
  <c r="N123" i="6"/>
  <c r="K91" i="6"/>
  <c r="O91" i="6" s="1"/>
  <c r="N91" i="6"/>
  <c r="K75" i="6"/>
  <c r="O75" i="6" s="1"/>
  <c r="N75" i="6"/>
  <c r="I507" i="6"/>
  <c r="M507" i="6" s="1"/>
  <c r="I491" i="6"/>
  <c r="M491" i="6" s="1"/>
  <c r="I411" i="6"/>
  <c r="M411" i="6" s="1"/>
  <c r="I395" i="6"/>
  <c r="M395" i="6" s="1"/>
  <c r="I379" i="6"/>
  <c r="M379" i="6" s="1"/>
  <c r="I363" i="6"/>
  <c r="M363" i="6" s="1"/>
  <c r="I331" i="6"/>
  <c r="M331" i="6" s="1"/>
  <c r="I315" i="6"/>
  <c r="M315" i="6" s="1"/>
  <c r="I283" i="6"/>
  <c r="M283" i="6" s="1"/>
  <c r="I267" i="6"/>
  <c r="M267" i="6" s="1"/>
  <c r="I251" i="6"/>
  <c r="M251" i="6" s="1"/>
  <c r="I179" i="6"/>
  <c r="M179" i="6" s="1"/>
  <c r="I161" i="6"/>
  <c r="M161" i="6" s="1"/>
  <c r="I106" i="6"/>
  <c r="M106" i="6" s="1"/>
  <c r="N473" i="6"/>
  <c r="N349" i="6"/>
  <c r="N200" i="6"/>
  <c r="N113" i="6"/>
  <c r="N22" i="6"/>
  <c r="K327" i="6"/>
  <c r="O327" i="6" s="1"/>
  <c r="N522" i="6"/>
  <c r="K522" i="6"/>
  <c r="O522" i="6" s="1"/>
  <c r="N442" i="6"/>
  <c r="N410" i="6"/>
  <c r="K410" i="6"/>
  <c r="O410" i="6" s="1"/>
  <c r="N314" i="6"/>
  <c r="K234" i="6"/>
  <c r="O234" i="6" s="1"/>
  <c r="N234" i="6"/>
  <c r="K202" i="6"/>
  <c r="O202" i="6" s="1"/>
  <c r="N202" i="6"/>
  <c r="K186" i="6"/>
  <c r="O186" i="6" s="1"/>
  <c r="N186" i="6"/>
  <c r="N170" i="6"/>
  <c r="K170" i="6"/>
  <c r="O170" i="6" s="1"/>
  <c r="K122" i="6"/>
  <c r="O122" i="6" s="1"/>
  <c r="N122" i="6"/>
  <c r="K74" i="6"/>
  <c r="O74" i="6" s="1"/>
  <c r="N74" i="6"/>
  <c r="K58" i="6"/>
  <c r="O58" i="6" s="1"/>
  <c r="N58" i="6"/>
  <c r="K10" i="6"/>
  <c r="O10" i="6" s="1"/>
  <c r="N10" i="6"/>
  <c r="I522" i="6"/>
  <c r="M522" i="6" s="1"/>
  <c r="I506" i="6"/>
  <c r="M506" i="6" s="1"/>
  <c r="I458" i="6"/>
  <c r="M458" i="6" s="1"/>
  <c r="I410" i="6"/>
  <c r="M410" i="6" s="1"/>
  <c r="I378" i="6"/>
  <c r="M378" i="6" s="1"/>
  <c r="I362" i="6"/>
  <c r="M362" i="6" s="1"/>
  <c r="I346" i="6"/>
  <c r="M346" i="6" s="1"/>
  <c r="I314" i="6"/>
  <c r="M314" i="6" s="1"/>
  <c r="I298" i="6"/>
  <c r="M298" i="6" s="1"/>
  <c r="I214" i="6"/>
  <c r="M214" i="6" s="1"/>
  <c r="I123" i="6"/>
  <c r="M123" i="6" s="1"/>
  <c r="I29" i="6"/>
  <c r="M29" i="6" s="1"/>
  <c r="N411" i="6"/>
  <c r="N379" i="6"/>
  <c r="N346" i="6"/>
  <c r="N315" i="6"/>
  <c r="N268" i="6"/>
  <c r="N199" i="6"/>
  <c r="K326" i="6"/>
  <c r="O326" i="6" s="1"/>
  <c r="N393" i="6"/>
  <c r="N377" i="6"/>
  <c r="K377" i="6"/>
  <c r="O377" i="6" s="1"/>
  <c r="K329" i="6"/>
  <c r="O329" i="6" s="1"/>
  <c r="N329" i="6"/>
  <c r="K313" i="6"/>
  <c r="O313" i="6" s="1"/>
  <c r="N313" i="6"/>
  <c r="K281" i="6"/>
  <c r="O281" i="6" s="1"/>
  <c r="N281" i="6"/>
  <c r="N265" i="6"/>
  <c r="K265" i="6"/>
  <c r="O265" i="6" s="1"/>
  <c r="I233" i="6"/>
  <c r="M233" i="6" s="1"/>
  <c r="K233" i="6"/>
  <c r="O233" i="6" s="1"/>
  <c r="K201" i="6"/>
  <c r="O201" i="6" s="1"/>
  <c r="I201" i="6"/>
  <c r="M201" i="6" s="1"/>
  <c r="N201" i="6"/>
  <c r="K169" i="6"/>
  <c r="O169" i="6" s="1"/>
  <c r="I169" i="6"/>
  <c r="M169" i="6" s="1"/>
  <c r="N169" i="6"/>
  <c r="K153" i="6"/>
  <c r="O153" i="6" s="1"/>
  <c r="I153" i="6"/>
  <c r="M153" i="6" s="1"/>
  <c r="N153" i="6"/>
  <c r="I105" i="6"/>
  <c r="M105" i="6" s="1"/>
  <c r="N105" i="6"/>
  <c r="K41" i="6"/>
  <c r="O41" i="6" s="1"/>
  <c r="I41" i="6"/>
  <c r="M41" i="6" s="1"/>
  <c r="K25" i="6"/>
  <c r="O25" i="6" s="1"/>
  <c r="N25" i="6"/>
  <c r="I25" i="6"/>
  <c r="M25" i="6" s="1"/>
  <c r="K9" i="6"/>
  <c r="O9" i="6" s="1"/>
  <c r="I9" i="6"/>
  <c r="M9" i="6" s="1"/>
  <c r="N9" i="6"/>
  <c r="I473" i="6"/>
  <c r="M473" i="6" s="1"/>
  <c r="I425" i="6"/>
  <c r="M425" i="6" s="1"/>
  <c r="I409" i="6"/>
  <c r="M409" i="6" s="1"/>
  <c r="I377" i="6"/>
  <c r="M377" i="6" s="1"/>
  <c r="I345" i="6"/>
  <c r="M345" i="6" s="1"/>
  <c r="I329" i="6"/>
  <c r="M329" i="6" s="1"/>
  <c r="I313" i="6"/>
  <c r="M313" i="6" s="1"/>
  <c r="I297" i="6"/>
  <c r="M297" i="6" s="1"/>
  <c r="I281" i="6"/>
  <c r="M281" i="6" s="1"/>
  <c r="I265" i="6"/>
  <c r="M265" i="6" s="1"/>
  <c r="I249" i="6"/>
  <c r="M249" i="6" s="1"/>
  <c r="I195" i="6"/>
  <c r="M195" i="6" s="1"/>
  <c r="I159" i="6"/>
  <c r="M159" i="6" s="1"/>
  <c r="I122" i="6"/>
  <c r="M122" i="6" s="1"/>
  <c r="N409" i="6"/>
  <c r="N378" i="6"/>
  <c r="N345" i="6"/>
  <c r="N260" i="6"/>
  <c r="N109" i="6"/>
  <c r="N20" i="6"/>
  <c r="K292" i="6"/>
  <c r="O292" i="6" s="1"/>
  <c r="K424" i="6"/>
  <c r="O424" i="6" s="1"/>
  <c r="N424" i="6"/>
  <c r="N376" i="6"/>
  <c r="K376" i="6"/>
  <c r="O376" i="6" s="1"/>
  <c r="K344" i="6"/>
  <c r="O344" i="6" s="1"/>
  <c r="N344" i="6"/>
  <c r="K280" i="6"/>
  <c r="O280" i="6" s="1"/>
  <c r="N280" i="6"/>
  <c r="K184" i="6"/>
  <c r="O184" i="6" s="1"/>
  <c r="N184" i="6"/>
  <c r="K120" i="6"/>
  <c r="O120" i="6" s="1"/>
  <c r="N120" i="6"/>
  <c r="N104" i="6"/>
  <c r="K104" i="6"/>
  <c r="O104" i="6" s="1"/>
  <c r="K56" i="6"/>
  <c r="O56" i="6" s="1"/>
  <c r="N56" i="6"/>
  <c r="K40" i="6"/>
  <c r="O40" i="6" s="1"/>
  <c r="N40" i="6"/>
  <c r="N8" i="6"/>
  <c r="K8" i="6"/>
  <c r="O8" i="6" s="1"/>
  <c r="I424" i="6"/>
  <c r="M424" i="6" s="1"/>
  <c r="I408" i="6"/>
  <c r="M408" i="6" s="1"/>
  <c r="I392" i="6"/>
  <c r="M392" i="6" s="1"/>
  <c r="I376" i="6"/>
  <c r="M376" i="6" s="1"/>
  <c r="I344" i="6"/>
  <c r="M344" i="6" s="1"/>
  <c r="I280" i="6"/>
  <c r="M280" i="6" s="1"/>
  <c r="I248" i="6"/>
  <c r="M248" i="6" s="1"/>
  <c r="I230" i="6"/>
  <c r="M230" i="6" s="1"/>
  <c r="I120" i="6"/>
  <c r="M120" i="6" s="1"/>
  <c r="I84" i="6"/>
  <c r="M84" i="6" s="1"/>
  <c r="N408" i="6"/>
  <c r="N374" i="6"/>
  <c r="N343" i="6"/>
  <c r="N307" i="6"/>
  <c r="N195" i="6"/>
  <c r="N106" i="6"/>
  <c r="K291" i="6"/>
  <c r="O291" i="6" s="1"/>
  <c r="K439" i="6"/>
  <c r="O439" i="6" s="1"/>
  <c r="N439" i="6"/>
  <c r="K423" i="6"/>
  <c r="O423" i="6" s="1"/>
  <c r="N423" i="6"/>
  <c r="N375" i="6"/>
  <c r="K375" i="6"/>
  <c r="O375" i="6" s="1"/>
  <c r="K311" i="6"/>
  <c r="O311" i="6" s="1"/>
  <c r="N311" i="6"/>
  <c r="K295" i="6"/>
  <c r="O295" i="6" s="1"/>
  <c r="K263" i="6"/>
  <c r="O263" i="6" s="1"/>
  <c r="N263" i="6"/>
  <c r="N247" i="6"/>
  <c r="K247" i="6"/>
  <c r="O247" i="6" s="1"/>
  <c r="K231" i="6"/>
  <c r="O231" i="6" s="1"/>
  <c r="N231" i="6"/>
  <c r="N215" i="6"/>
  <c r="K215" i="6"/>
  <c r="O215" i="6" s="1"/>
  <c r="K183" i="6"/>
  <c r="O183" i="6" s="1"/>
  <c r="N183" i="6"/>
  <c r="K167" i="6"/>
  <c r="O167" i="6" s="1"/>
  <c r="N167" i="6"/>
  <c r="K39" i="6"/>
  <c r="O39" i="6" s="1"/>
  <c r="N39" i="6"/>
  <c r="K23" i="6"/>
  <c r="O23" i="6" s="1"/>
  <c r="N23" i="6"/>
  <c r="K7" i="6"/>
  <c r="O7" i="6" s="1"/>
  <c r="N7" i="6"/>
  <c r="I439" i="6"/>
  <c r="M439" i="6" s="1"/>
  <c r="I423" i="6"/>
  <c r="M423" i="6" s="1"/>
  <c r="I407" i="6"/>
  <c r="M407" i="6" s="1"/>
  <c r="I391" i="6"/>
  <c r="M391" i="6" s="1"/>
  <c r="I375" i="6"/>
  <c r="M375" i="6" s="1"/>
  <c r="I343" i="6"/>
  <c r="M343" i="6" s="1"/>
  <c r="I327" i="6"/>
  <c r="M327" i="6" s="1"/>
  <c r="I311" i="6"/>
  <c r="M311" i="6" s="1"/>
  <c r="I279" i="6"/>
  <c r="M279" i="6" s="1"/>
  <c r="I247" i="6"/>
  <c r="M247" i="6" s="1"/>
  <c r="I175" i="6"/>
  <c r="M175" i="6" s="1"/>
  <c r="I65" i="6"/>
  <c r="M65" i="6" s="1"/>
  <c r="I45" i="6"/>
  <c r="M45" i="6" s="1"/>
  <c r="I24" i="6"/>
  <c r="M24" i="6" s="1"/>
  <c r="N407" i="6"/>
  <c r="N373" i="6"/>
  <c r="N341" i="6"/>
  <c r="N90" i="6"/>
  <c r="K454" i="6"/>
  <c r="O454" i="6" s="1"/>
  <c r="K72" i="6"/>
  <c r="O72" i="6" s="1"/>
  <c r="K438" i="6"/>
  <c r="O438" i="6" s="1"/>
  <c r="N438" i="6"/>
  <c r="N358" i="6"/>
  <c r="K358" i="6"/>
  <c r="O358" i="6" s="1"/>
  <c r="N342" i="6"/>
  <c r="K294" i="6"/>
  <c r="O294" i="6" s="1"/>
  <c r="N294" i="6"/>
  <c r="K166" i="6"/>
  <c r="O166" i="6" s="1"/>
  <c r="N166" i="6"/>
  <c r="N54" i="6"/>
  <c r="K54" i="6"/>
  <c r="O54" i="6" s="1"/>
  <c r="N6" i="6"/>
  <c r="K6" i="6"/>
  <c r="O6" i="6" s="1"/>
  <c r="I438" i="6"/>
  <c r="M438" i="6" s="1"/>
  <c r="I422" i="6"/>
  <c r="M422" i="6" s="1"/>
  <c r="I390" i="6"/>
  <c r="M390" i="6" s="1"/>
  <c r="I374" i="6"/>
  <c r="M374" i="6" s="1"/>
  <c r="I358" i="6"/>
  <c r="M358" i="6" s="1"/>
  <c r="I342" i="6"/>
  <c r="M342" i="6" s="1"/>
  <c r="I294" i="6"/>
  <c r="M294" i="6" s="1"/>
  <c r="I278" i="6"/>
  <c r="M278" i="6" s="1"/>
  <c r="I262" i="6"/>
  <c r="M262" i="6" s="1"/>
  <c r="I155" i="6"/>
  <c r="M155" i="6" s="1"/>
  <c r="I43" i="6"/>
  <c r="M43" i="6" s="1"/>
  <c r="I23" i="6"/>
  <c r="M23" i="6" s="1"/>
  <c r="N436" i="6"/>
  <c r="N404" i="6"/>
  <c r="N372" i="6"/>
  <c r="K71" i="6"/>
  <c r="O71" i="6" s="1"/>
  <c r="N229" i="6"/>
  <c r="K229" i="6"/>
  <c r="O229" i="6" s="1"/>
  <c r="N213" i="6"/>
  <c r="K213" i="6"/>
  <c r="O213" i="6" s="1"/>
  <c r="K197" i="6"/>
  <c r="O197" i="6" s="1"/>
  <c r="N197" i="6"/>
  <c r="K165" i="6"/>
  <c r="O165" i="6" s="1"/>
  <c r="N165" i="6"/>
  <c r="K149" i="6"/>
  <c r="O149" i="6" s="1"/>
  <c r="N149" i="6"/>
  <c r="K117" i="6"/>
  <c r="O117" i="6" s="1"/>
  <c r="N117" i="6"/>
  <c r="N101" i="6"/>
  <c r="K101" i="6"/>
  <c r="O101" i="6" s="1"/>
  <c r="N85" i="6"/>
  <c r="K85" i="6"/>
  <c r="O85" i="6" s="1"/>
  <c r="K37" i="6"/>
  <c r="O37" i="6" s="1"/>
  <c r="N37" i="6"/>
  <c r="K5" i="6"/>
  <c r="O5" i="6" s="1"/>
  <c r="N5" i="6"/>
  <c r="I373" i="6"/>
  <c r="M373" i="6" s="1"/>
  <c r="I341" i="6"/>
  <c r="M341" i="6" s="1"/>
  <c r="I277" i="6"/>
  <c r="M277" i="6" s="1"/>
  <c r="I209" i="6"/>
  <c r="M209" i="6" s="1"/>
  <c r="I191" i="6"/>
  <c r="M191" i="6" s="1"/>
  <c r="I154" i="6"/>
  <c r="M154" i="6" s="1"/>
  <c r="I117" i="6"/>
  <c r="M117" i="6" s="1"/>
  <c r="I22" i="6"/>
  <c r="M22" i="6" s="1"/>
  <c r="N491" i="6"/>
  <c r="N401" i="6"/>
  <c r="N249" i="6"/>
  <c r="N179" i="6"/>
  <c r="N88" i="6"/>
  <c r="K253" i="6"/>
  <c r="O253" i="6" s="1"/>
  <c r="K70" i="6"/>
  <c r="O70" i="6" s="1"/>
  <c r="N308" i="6"/>
  <c r="K308" i="6"/>
  <c r="O308" i="6" s="1"/>
  <c r="K276" i="6"/>
  <c r="O276" i="6" s="1"/>
  <c r="N276" i="6"/>
  <c r="K228" i="6"/>
  <c r="O228" i="6" s="1"/>
  <c r="N228" i="6"/>
  <c r="N212" i="6"/>
  <c r="K212" i="6"/>
  <c r="O212" i="6" s="1"/>
  <c r="K196" i="6"/>
  <c r="O196" i="6" s="1"/>
  <c r="N196" i="6"/>
  <c r="N164" i="6"/>
  <c r="K164" i="6"/>
  <c r="O164" i="6" s="1"/>
  <c r="K148" i="6"/>
  <c r="O148" i="6" s="1"/>
  <c r="N148" i="6"/>
  <c r="K4" i="6"/>
  <c r="O4" i="6" s="1"/>
  <c r="N4" i="6"/>
  <c r="I452" i="6"/>
  <c r="M452" i="6" s="1"/>
  <c r="I436" i="6"/>
  <c r="M436" i="6" s="1"/>
  <c r="I404" i="6"/>
  <c r="M404" i="6" s="1"/>
  <c r="I372" i="6"/>
  <c r="M372" i="6" s="1"/>
  <c r="I356" i="6"/>
  <c r="M356" i="6" s="1"/>
  <c r="I308" i="6"/>
  <c r="M308" i="6" s="1"/>
  <c r="I276" i="6"/>
  <c r="M276" i="6" s="1"/>
  <c r="I260" i="6"/>
  <c r="M260" i="6" s="1"/>
  <c r="I244" i="6"/>
  <c r="M244" i="6" s="1"/>
  <c r="I171" i="6"/>
  <c r="M171" i="6" s="1"/>
  <c r="I40" i="6"/>
  <c r="M40" i="6" s="1"/>
  <c r="N298" i="6"/>
  <c r="N84" i="6"/>
  <c r="K36" i="6"/>
  <c r="O36" i="6" s="1"/>
  <c r="K275" i="6"/>
  <c r="O275" i="6" s="1"/>
  <c r="N275" i="6"/>
  <c r="K259" i="6"/>
  <c r="O259" i="6" s="1"/>
  <c r="N259" i="6"/>
  <c r="K243" i="6"/>
  <c r="O243" i="6" s="1"/>
  <c r="K227" i="6"/>
  <c r="O227" i="6" s="1"/>
  <c r="N227" i="6"/>
  <c r="N211" i="6"/>
  <c r="K211" i="6"/>
  <c r="O211" i="6" s="1"/>
  <c r="N163" i="6"/>
  <c r="K163" i="6"/>
  <c r="O163" i="6" s="1"/>
  <c r="K147" i="6"/>
  <c r="O147" i="6" s="1"/>
  <c r="N147" i="6"/>
  <c r="K131" i="6"/>
  <c r="O131" i="6" s="1"/>
  <c r="N131" i="6"/>
  <c r="K99" i="6"/>
  <c r="O99" i="6" s="1"/>
  <c r="N99" i="6"/>
  <c r="N83" i="6"/>
  <c r="K83" i="6"/>
  <c r="O83" i="6" s="1"/>
  <c r="N67" i="6"/>
  <c r="K67" i="6"/>
  <c r="O67" i="6" s="1"/>
  <c r="K3" i="6"/>
  <c r="O3" i="6" s="1"/>
  <c r="N3" i="6"/>
  <c r="I355" i="6"/>
  <c r="M355" i="6" s="1"/>
  <c r="I323" i="6"/>
  <c r="M323" i="6" s="1"/>
  <c r="I307" i="6"/>
  <c r="M307" i="6" s="1"/>
  <c r="I291" i="6"/>
  <c r="M291" i="6" s="1"/>
  <c r="I275" i="6"/>
  <c r="M275" i="6" s="1"/>
  <c r="I259" i="6"/>
  <c r="M259" i="6" s="1"/>
  <c r="I225" i="6"/>
  <c r="M225" i="6" s="1"/>
  <c r="I207" i="6"/>
  <c r="M207" i="6" s="1"/>
  <c r="I170" i="6"/>
  <c r="M170" i="6" s="1"/>
  <c r="I133" i="6"/>
  <c r="M133" i="6" s="1"/>
  <c r="I79" i="6"/>
  <c r="M79" i="6" s="1"/>
  <c r="I59" i="6"/>
  <c r="M59" i="6" s="1"/>
  <c r="I39" i="6"/>
  <c r="M39" i="6" s="1"/>
  <c r="I20" i="6"/>
  <c r="M20" i="6" s="1"/>
  <c r="N488" i="6"/>
  <c r="N364" i="6"/>
  <c r="N297" i="6"/>
  <c r="N69" i="6"/>
  <c r="N98" i="6"/>
  <c r="K98" i="6"/>
  <c r="O98" i="6" s="1"/>
  <c r="N82" i="6"/>
  <c r="K82" i="6"/>
  <c r="O82" i="6" s="1"/>
  <c r="K50" i="6"/>
  <c r="O50" i="6" s="1"/>
  <c r="I187" i="6"/>
  <c r="M187" i="6" s="1"/>
  <c r="I150" i="6"/>
  <c r="M150" i="6" s="1"/>
  <c r="I132" i="6"/>
  <c r="M132" i="6" s="1"/>
  <c r="I58" i="6"/>
  <c r="M58" i="6" s="1"/>
  <c r="I38" i="6"/>
  <c r="M38" i="6" s="1"/>
  <c r="N458" i="6"/>
  <c r="N331" i="6"/>
  <c r="N156" i="6"/>
  <c r="N68" i="6"/>
  <c r="K217" i="6"/>
  <c r="O217" i="6" s="1"/>
  <c r="I69" i="6" l="1"/>
  <c r="M69" i="6" s="1"/>
  <c r="K434" i="6"/>
  <c r="O434" i="6" s="1"/>
  <c r="N531" i="6"/>
  <c r="I450" i="6"/>
  <c r="M450" i="6" s="1"/>
  <c r="I115" i="6"/>
  <c r="M115" i="6" s="1"/>
  <c r="K450" i="6"/>
  <c r="O450" i="6" s="1"/>
  <c r="N595" i="6"/>
  <c r="N450" i="6"/>
  <c r="I194" i="6"/>
  <c r="M194" i="6" s="1"/>
  <c r="K628" i="6"/>
  <c r="O628" i="6" s="1"/>
  <c r="N194" i="6"/>
  <c r="K194" i="6"/>
  <c r="O194" i="6" s="1"/>
  <c r="N160" i="6"/>
  <c r="I675" i="6"/>
  <c r="M675" i="6" s="1"/>
  <c r="N516" i="6"/>
  <c r="I715" i="6"/>
  <c r="M715" i="6" s="1"/>
  <c r="I566" i="6"/>
  <c r="M566" i="6" s="1"/>
  <c r="K675" i="6"/>
  <c r="O675" i="6" s="1"/>
  <c r="I516" i="6"/>
  <c r="M516" i="6" s="1"/>
  <c r="I429" i="6"/>
  <c r="M429" i="6" s="1"/>
  <c r="I419" i="6"/>
  <c r="M419" i="6" s="1"/>
  <c r="K103" i="6"/>
  <c r="O103" i="6" s="1"/>
  <c r="I293" i="6"/>
  <c r="M293" i="6" s="1"/>
  <c r="N725" i="6"/>
  <c r="K725" i="6"/>
  <c r="O725" i="6" s="1"/>
  <c r="I725" i="6"/>
  <c r="M725" i="6" s="1"/>
  <c r="N50" i="6"/>
  <c r="K141" i="6"/>
  <c r="O141" i="6" s="1"/>
  <c r="N634" i="6"/>
  <c r="N774" i="6"/>
  <c r="N293" i="6"/>
  <c r="I781" i="6"/>
  <c r="M781" i="6" s="1"/>
  <c r="N561" i="6"/>
  <c r="N419" i="6"/>
  <c r="K774" i="6"/>
  <c r="O774" i="6" s="1"/>
  <c r="N781" i="6"/>
  <c r="K685" i="6"/>
  <c r="O685" i="6" s="1"/>
  <c r="I178" i="6"/>
  <c r="M178" i="6" s="1"/>
  <c r="I774" i="6"/>
  <c r="M774" i="6" s="1"/>
  <c r="K121" i="6"/>
  <c r="O121" i="6" s="1"/>
  <c r="I303" i="6"/>
  <c r="M303" i="6" s="1"/>
  <c r="N178" i="6"/>
  <c r="N121" i="6"/>
  <c r="K178" i="6"/>
  <c r="O178" i="6" s="1"/>
  <c r="N675" i="6"/>
  <c r="K100" i="6"/>
  <c r="O100" i="6" s="1"/>
  <c r="K420" i="6"/>
  <c r="O420" i="6" s="1"/>
  <c r="K300" i="6"/>
  <c r="O300" i="6" s="1"/>
  <c r="K698" i="6"/>
  <c r="O698" i="6" s="1"/>
  <c r="N430" i="6"/>
  <c r="N623" i="6"/>
  <c r="K740" i="6"/>
  <c r="O740" i="6" s="1"/>
  <c r="I584" i="6"/>
  <c r="M584" i="6" s="1"/>
  <c r="N100" i="6"/>
  <c r="N420" i="6"/>
  <c r="K310" i="6"/>
  <c r="O310" i="6" s="1"/>
  <c r="I796" i="6"/>
  <c r="M796" i="6" s="1"/>
  <c r="K430" i="6"/>
  <c r="O430" i="6" s="1"/>
  <c r="K623" i="6"/>
  <c r="O623" i="6" s="1"/>
  <c r="N630" i="6"/>
  <c r="I310" i="6"/>
  <c r="M310" i="6" s="1"/>
  <c r="N310" i="6"/>
  <c r="N239" i="6"/>
  <c r="K796" i="6"/>
  <c r="O796" i="6" s="1"/>
  <c r="I146" i="6"/>
  <c r="M146" i="6" s="1"/>
  <c r="K596" i="6"/>
  <c r="O596" i="6" s="1"/>
  <c r="I630" i="6"/>
  <c r="M630" i="6" s="1"/>
  <c r="I263" i="6"/>
  <c r="M263" i="6" s="1"/>
  <c r="I457" i="6"/>
  <c r="M457" i="6" s="1"/>
  <c r="N796" i="6"/>
  <c r="K630" i="6"/>
  <c r="O630" i="6" s="1"/>
  <c r="K177" i="6"/>
  <c r="O177" i="6" s="1"/>
  <c r="I651" i="6"/>
  <c r="M651" i="6" s="1"/>
  <c r="N596" i="6"/>
  <c r="N237" i="6"/>
  <c r="N177" i="6"/>
  <c r="I174" i="6"/>
  <c r="M174" i="6" s="1"/>
  <c r="L446" i="6"/>
  <c r="I177" i="6"/>
  <c r="M177" i="6" s="1"/>
  <c r="I111" i="6"/>
  <c r="M111" i="6" s="1"/>
  <c r="K174" i="6"/>
  <c r="O174" i="6" s="1"/>
  <c r="I689" i="6"/>
  <c r="M689" i="6" s="1"/>
  <c r="I785" i="6"/>
  <c r="M785" i="6" s="1"/>
  <c r="N658" i="6"/>
  <c r="N677" i="6"/>
  <c r="N599" i="6"/>
  <c r="I442" i="6"/>
  <c r="M442" i="6" s="1"/>
  <c r="K111" i="6"/>
  <c r="O111" i="6" s="1"/>
  <c r="N367" i="6"/>
  <c r="N689" i="6"/>
  <c r="K785" i="6"/>
  <c r="O785" i="6" s="1"/>
  <c r="I402" i="6"/>
  <c r="M402" i="6" s="1"/>
  <c r="I658" i="6"/>
  <c r="M658" i="6" s="1"/>
  <c r="I677" i="6"/>
  <c r="M677" i="6" s="1"/>
  <c r="K599" i="6"/>
  <c r="O599" i="6" s="1"/>
  <c r="I237" i="6"/>
  <c r="M237" i="6" s="1"/>
  <c r="K367" i="6"/>
  <c r="O367" i="6" s="1"/>
  <c r="I44" i="6"/>
  <c r="M44" i="6" s="1"/>
  <c r="N111" i="6"/>
  <c r="K689" i="6"/>
  <c r="O689" i="6" s="1"/>
  <c r="N402" i="6"/>
  <c r="K658" i="6"/>
  <c r="O658" i="6" s="1"/>
  <c r="K627" i="6"/>
  <c r="O627" i="6" s="1"/>
  <c r="K677" i="6"/>
  <c r="O677" i="6" s="1"/>
  <c r="N627" i="6"/>
  <c r="K402" i="6"/>
  <c r="O402" i="6" s="1"/>
  <c r="I420" i="6"/>
  <c r="M420" i="6" s="1"/>
  <c r="N44" i="6"/>
  <c r="K686" i="6"/>
  <c r="O686" i="6" s="1"/>
  <c r="N256" i="6"/>
  <c r="N512" i="6"/>
  <c r="N418" i="6"/>
  <c r="K585" i="6"/>
  <c r="O585" i="6" s="1"/>
  <c r="K44" i="6"/>
  <c r="O44" i="6" s="1"/>
  <c r="N686" i="6"/>
  <c r="I300" i="6"/>
  <c r="M300" i="6" s="1"/>
  <c r="I256" i="6"/>
  <c r="M256" i="6" s="1"/>
  <c r="N768" i="6"/>
  <c r="K256" i="6"/>
  <c r="O256" i="6" s="1"/>
  <c r="I162" i="6"/>
  <c r="M162" i="6" s="1"/>
  <c r="I418" i="6"/>
  <c r="M418" i="6" s="1"/>
  <c r="I601" i="6"/>
  <c r="M601" i="6" s="1"/>
  <c r="I42" i="6"/>
  <c r="M42" i="6" s="1"/>
  <c r="N347" i="6"/>
  <c r="K512" i="6"/>
  <c r="O512" i="6" s="1"/>
  <c r="I2" i="6"/>
  <c r="M2" i="6" s="1"/>
  <c r="N57" i="6"/>
  <c r="K139" i="6"/>
  <c r="O139" i="6" s="1"/>
  <c r="I512" i="6"/>
  <c r="M512" i="6" s="1"/>
  <c r="K768" i="6"/>
  <c r="O768" i="6" s="1"/>
  <c r="N272" i="6"/>
  <c r="K162" i="6"/>
  <c r="O162" i="6" s="1"/>
  <c r="K418" i="6"/>
  <c r="O418" i="6" s="1"/>
  <c r="N743" i="6"/>
  <c r="L430" i="6"/>
  <c r="L392" i="6"/>
  <c r="I627" i="6"/>
  <c r="M627" i="6" s="1"/>
  <c r="N693" i="6"/>
  <c r="N740" i="6"/>
  <c r="I570" i="6"/>
  <c r="M570" i="6" s="1"/>
  <c r="I716" i="6"/>
  <c r="M716" i="6" s="1"/>
  <c r="K369" i="6"/>
  <c r="O369" i="6" s="1"/>
  <c r="K558" i="6"/>
  <c r="O558" i="6" s="1"/>
  <c r="I136" i="6"/>
  <c r="M136" i="6" s="1"/>
  <c r="I264" i="6"/>
  <c r="M264" i="6" s="1"/>
  <c r="I57" i="6"/>
  <c r="M57" i="6" s="1"/>
  <c r="I428" i="6"/>
  <c r="M428" i="6" s="1"/>
  <c r="I365" i="6"/>
  <c r="M365" i="6" s="1"/>
  <c r="I239" i="6"/>
  <c r="M239" i="6" s="1"/>
  <c r="N570" i="6"/>
  <c r="N651" i="6"/>
  <c r="K604" i="6"/>
  <c r="O604" i="6" s="1"/>
  <c r="N716" i="6"/>
  <c r="I776" i="6"/>
  <c r="M776" i="6" s="1"/>
  <c r="K382" i="6"/>
  <c r="O382" i="6" s="1"/>
  <c r="N611" i="6"/>
  <c r="K705" i="6"/>
  <c r="O705" i="6" s="1"/>
  <c r="K570" i="6"/>
  <c r="O570" i="6" s="1"/>
  <c r="K651" i="6"/>
  <c r="O651" i="6" s="1"/>
  <c r="K716" i="6"/>
  <c r="O716" i="6" s="1"/>
  <c r="K776" i="6"/>
  <c r="O776" i="6" s="1"/>
  <c r="I495" i="6"/>
  <c r="M495" i="6" s="1"/>
  <c r="I751" i="6"/>
  <c r="M751" i="6" s="1"/>
  <c r="N86" i="6"/>
  <c r="K57" i="6"/>
  <c r="O57" i="6" s="1"/>
  <c r="I246" i="6"/>
  <c r="M246" i="6" s="1"/>
  <c r="K86" i="6"/>
  <c r="O86" i="6" s="1"/>
  <c r="K136" i="6"/>
  <c r="O136" i="6" s="1"/>
  <c r="N365" i="6"/>
  <c r="K319" i="6"/>
  <c r="O319" i="6" s="1"/>
  <c r="N776" i="6"/>
  <c r="K495" i="6"/>
  <c r="O495" i="6" s="1"/>
  <c r="N751" i="6"/>
  <c r="N638" i="6"/>
  <c r="N537" i="6"/>
  <c r="L86" i="6"/>
  <c r="I388" i="6"/>
  <c r="M388" i="6" s="1"/>
  <c r="N136" i="6"/>
  <c r="K365" i="6"/>
  <c r="O365" i="6" s="1"/>
  <c r="I319" i="6"/>
  <c r="M319" i="6" s="1"/>
  <c r="N319" i="6"/>
  <c r="N369" i="6"/>
  <c r="I382" i="6"/>
  <c r="M382" i="6" s="1"/>
  <c r="N558" i="6"/>
  <c r="N495" i="6"/>
  <c r="K751" i="6"/>
  <c r="O751" i="6" s="1"/>
  <c r="K537" i="6"/>
  <c r="O537" i="6" s="1"/>
  <c r="N245" i="6"/>
  <c r="N246" i="6"/>
  <c r="I471" i="6"/>
  <c r="M471" i="6" s="1"/>
  <c r="K394" i="6"/>
  <c r="O394" i="6" s="1"/>
  <c r="N299" i="6"/>
  <c r="N61" i="6"/>
  <c r="I621" i="6"/>
  <c r="M621" i="6" s="1"/>
  <c r="I696" i="6"/>
  <c r="M696" i="6" s="1"/>
  <c r="N549" i="6"/>
  <c r="I502" i="6"/>
  <c r="M502" i="6" s="1"/>
  <c r="I727" i="6"/>
  <c r="M727" i="6" s="1"/>
  <c r="I151" i="6"/>
  <c r="M151" i="6" s="1"/>
  <c r="K245" i="6"/>
  <c r="O245" i="6" s="1"/>
  <c r="K246" i="6"/>
  <c r="O246" i="6" s="1"/>
  <c r="N264" i="6"/>
  <c r="K137" i="6"/>
  <c r="O137" i="6" s="1"/>
  <c r="I49" i="6"/>
  <c r="M49" i="6" s="1"/>
  <c r="N394" i="6"/>
  <c r="K299" i="6"/>
  <c r="O299" i="6" s="1"/>
  <c r="K61" i="6"/>
  <c r="O61" i="6" s="1"/>
  <c r="I650" i="6"/>
  <c r="M650" i="6" s="1"/>
  <c r="I668" i="6"/>
  <c r="M668" i="6" s="1"/>
  <c r="N621" i="6"/>
  <c r="K696" i="6"/>
  <c r="O696" i="6" s="1"/>
  <c r="K549" i="6"/>
  <c r="O549" i="6" s="1"/>
  <c r="K502" i="6"/>
  <c r="O502" i="6" s="1"/>
  <c r="K727" i="6"/>
  <c r="O727" i="6" s="1"/>
  <c r="K729" i="6"/>
  <c r="O729" i="6" s="1"/>
  <c r="I81" i="6"/>
  <c r="M81" i="6" s="1"/>
  <c r="I440" i="6"/>
  <c r="M440" i="6" s="1"/>
  <c r="K264" i="6"/>
  <c r="O264" i="6" s="1"/>
  <c r="I252" i="6"/>
  <c r="M252" i="6" s="1"/>
  <c r="N650" i="6"/>
  <c r="N729" i="6"/>
  <c r="N668" i="6"/>
  <c r="K621" i="6"/>
  <c r="O621" i="6" s="1"/>
  <c r="I575" i="6"/>
  <c r="M575" i="6" s="1"/>
  <c r="N696" i="6"/>
  <c r="K551" i="6"/>
  <c r="O551" i="6" s="1"/>
  <c r="I729" i="6"/>
  <c r="M729" i="6" s="1"/>
  <c r="K357" i="6"/>
  <c r="O357" i="6" s="1"/>
  <c r="K650" i="6"/>
  <c r="O650" i="6" s="1"/>
  <c r="K668" i="6"/>
  <c r="O668" i="6" s="1"/>
  <c r="N575" i="6"/>
  <c r="I208" i="6"/>
  <c r="M208" i="6" s="1"/>
  <c r="N502" i="6"/>
  <c r="I299" i="6"/>
  <c r="M299" i="6" s="1"/>
  <c r="I445" i="6"/>
  <c r="M445" i="6" s="1"/>
  <c r="I701" i="6"/>
  <c r="M701" i="6" s="1"/>
  <c r="K575" i="6"/>
  <c r="O575" i="6" s="1"/>
  <c r="K208" i="6"/>
  <c r="O208" i="6" s="1"/>
  <c r="N388" i="6"/>
  <c r="N252" i="6"/>
  <c r="I172" i="6"/>
  <c r="M172" i="6" s="1"/>
  <c r="I47" i="6"/>
  <c r="M47" i="6" s="1"/>
  <c r="I369" i="6"/>
  <c r="M369" i="6" s="1"/>
  <c r="N445" i="6"/>
  <c r="N701" i="6"/>
  <c r="N208" i="6"/>
  <c r="K388" i="6"/>
  <c r="O388" i="6" s="1"/>
  <c r="N440" i="6"/>
  <c r="K172" i="6"/>
  <c r="O172" i="6" s="1"/>
  <c r="K47" i="6"/>
  <c r="O47" i="6" s="1"/>
  <c r="K445" i="6"/>
  <c r="O445" i="6" s="1"/>
  <c r="K701" i="6"/>
  <c r="O701" i="6" s="1"/>
  <c r="N464" i="6"/>
  <c r="I530" i="6"/>
  <c r="M530" i="6" s="1"/>
  <c r="N172" i="6"/>
  <c r="N47" i="6"/>
  <c r="K464" i="6"/>
  <c r="O464" i="6" s="1"/>
  <c r="K530" i="6"/>
  <c r="O530" i="6" s="1"/>
  <c r="I724" i="6"/>
  <c r="M724" i="6" s="1"/>
  <c r="L558" i="6"/>
  <c r="I61" i="6"/>
  <c r="M61" i="6" s="1"/>
  <c r="I245" i="6"/>
  <c r="M245" i="6" s="1"/>
  <c r="N428" i="6"/>
  <c r="N151" i="6"/>
  <c r="N441" i="6"/>
  <c r="K724" i="6"/>
  <c r="O724" i="6" s="1"/>
  <c r="K151" i="6"/>
  <c r="O151" i="6" s="1"/>
  <c r="I394" i="6"/>
  <c r="M394" i="6" s="1"/>
  <c r="K239" i="6"/>
  <c r="O239" i="6" s="1"/>
  <c r="N66" i="6"/>
  <c r="I481" i="6"/>
  <c r="M481" i="6" s="1"/>
  <c r="I604" i="6"/>
  <c r="M604" i="6" s="1"/>
  <c r="I705" i="6"/>
  <c r="M705" i="6" s="1"/>
  <c r="L440" i="6"/>
  <c r="N102" i="6"/>
  <c r="I468" i="6"/>
  <c r="M468" i="6" s="1"/>
  <c r="N236" i="6"/>
  <c r="I66" i="6"/>
  <c r="M66" i="6" s="1"/>
  <c r="I121" i="6"/>
  <c r="M121" i="6" s="1"/>
  <c r="I634" i="6"/>
  <c r="M634" i="6" s="1"/>
  <c r="K160" i="6"/>
  <c r="O160" i="6" s="1"/>
  <c r="K757" i="6"/>
  <c r="O757" i="6" s="1"/>
  <c r="N551" i="6"/>
  <c r="L4" i="6"/>
  <c r="I593" i="6"/>
  <c r="M593" i="6" s="1"/>
  <c r="I743" i="6"/>
  <c r="M743" i="6" s="1"/>
  <c r="K347" i="6"/>
  <c r="O347" i="6" s="1"/>
  <c r="I306" i="6"/>
  <c r="M306" i="6" s="1"/>
  <c r="K487" i="6"/>
  <c r="O487" i="6" s="1"/>
  <c r="I347" i="6"/>
  <c r="M347" i="6" s="1"/>
  <c r="K459" i="6"/>
  <c r="O459" i="6" s="1"/>
  <c r="K271" i="6"/>
  <c r="O271" i="6" s="1"/>
  <c r="I622" i="6"/>
  <c r="M622" i="6" s="1"/>
  <c r="N715" i="6"/>
  <c r="K781" i="6"/>
  <c r="O781" i="6" s="1"/>
  <c r="I110" i="6"/>
  <c r="M110" i="6" s="1"/>
  <c r="K429" i="6"/>
  <c r="O429" i="6" s="1"/>
  <c r="I685" i="6"/>
  <c r="M685" i="6" s="1"/>
  <c r="I322" i="6"/>
  <c r="M322" i="6" s="1"/>
  <c r="K743" i="6"/>
  <c r="O743" i="6" s="1"/>
  <c r="I537" i="6"/>
  <c r="M537" i="6" s="1"/>
  <c r="I17" i="6"/>
  <c r="M17" i="6" s="1"/>
  <c r="L173" i="6"/>
  <c r="N261" i="6"/>
  <c r="I465" i="6"/>
  <c r="M465" i="6" s="1"/>
  <c r="N685" i="6"/>
  <c r="N110" i="6"/>
  <c r="I712" i="6"/>
  <c r="M712" i="6" s="1"/>
  <c r="N354" i="6"/>
  <c r="K566" i="6"/>
  <c r="O566" i="6" s="1"/>
  <c r="I565" i="6"/>
  <c r="M565" i="6" s="1"/>
  <c r="L465" i="6"/>
  <c r="K266" i="6"/>
  <c r="O266" i="6" s="1"/>
  <c r="K303" i="6"/>
  <c r="O303" i="6" s="1"/>
  <c r="N704" i="6"/>
  <c r="K110" i="6"/>
  <c r="O110" i="6" s="1"/>
  <c r="N712" i="6"/>
  <c r="I354" i="6"/>
  <c r="M354" i="6" s="1"/>
  <c r="I562" i="6"/>
  <c r="M562" i="6" s="1"/>
  <c r="K565" i="6"/>
  <c r="O565" i="6" s="1"/>
  <c r="I504" i="6"/>
  <c r="M504" i="6" s="1"/>
  <c r="I152" i="6"/>
  <c r="M152" i="6" s="1"/>
  <c r="N266" i="6"/>
  <c r="K468" i="6"/>
  <c r="O468" i="6" s="1"/>
  <c r="N468" i="6"/>
  <c r="K293" i="6"/>
  <c r="O293" i="6" s="1"/>
  <c r="K282" i="6"/>
  <c r="O282" i="6" s="1"/>
  <c r="N303" i="6"/>
  <c r="K704" i="6"/>
  <c r="O704" i="6" s="1"/>
  <c r="K712" i="6"/>
  <c r="O712" i="6" s="1"/>
  <c r="K354" i="6"/>
  <c r="O354" i="6" s="1"/>
  <c r="K562" i="6"/>
  <c r="O562" i="6" s="1"/>
  <c r="N581" i="6"/>
  <c r="K504" i="6"/>
  <c r="O504" i="6" s="1"/>
  <c r="K261" i="6"/>
  <c r="O261" i="6" s="1"/>
  <c r="N17" i="6"/>
  <c r="I266" i="6"/>
  <c r="M266" i="6" s="1"/>
  <c r="N622" i="6"/>
  <c r="K400" i="6"/>
  <c r="O400" i="6" s="1"/>
  <c r="N562" i="6"/>
  <c r="I756" i="6"/>
  <c r="M756" i="6" s="1"/>
  <c r="K581" i="6"/>
  <c r="O581" i="6" s="1"/>
  <c r="N504" i="6"/>
  <c r="L17" i="6"/>
  <c r="L464" i="6"/>
  <c r="I173" i="6"/>
  <c r="M173" i="6" s="1"/>
  <c r="N330" i="6"/>
  <c r="K622" i="6"/>
  <c r="O622" i="6" s="1"/>
  <c r="I764" i="6"/>
  <c r="M764" i="6" s="1"/>
  <c r="N772" i="6"/>
  <c r="N416" i="6"/>
  <c r="N578" i="6"/>
  <c r="I643" i="6"/>
  <c r="M643" i="6" s="1"/>
  <c r="K756" i="6"/>
  <c r="O756" i="6" s="1"/>
  <c r="N629" i="6"/>
  <c r="I520" i="6"/>
  <c r="M520" i="6" s="1"/>
  <c r="N745" i="6"/>
  <c r="L11" i="6"/>
  <c r="L252" i="6"/>
  <c r="I261" i="6"/>
  <c r="M261" i="6" s="1"/>
  <c r="K152" i="6"/>
  <c r="O152" i="6" s="1"/>
  <c r="K456" i="6"/>
  <c r="O456" i="6" s="1"/>
  <c r="K330" i="6"/>
  <c r="O330" i="6" s="1"/>
  <c r="K11" i="6"/>
  <c r="O11" i="6" s="1"/>
  <c r="I204" i="6"/>
  <c r="M204" i="6" s="1"/>
  <c r="I31" i="6"/>
  <c r="M31" i="6" s="1"/>
  <c r="N764" i="6"/>
  <c r="K416" i="6"/>
  <c r="O416" i="6" s="1"/>
  <c r="I578" i="6"/>
  <c r="M578" i="6" s="1"/>
  <c r="N643" i="6"/>
  <c r="I772" i="6"/>
  <c r="M772" i="6" s="1"/>
  <c r="I629" i="6"/>
  <c r="M629" i="6" s="1"/>
  <c r="I745" i="6"/>
  <c r="M745" i="6" s="1"/>
  <c r="N152" i="6"/>
  <c r="N456" i="6"/>
  <c r="N457" i="6"/>
  <c r="I330" i="6"/>
  <c r="M330" i="6" s="1"/>
  <c r="N11" i="6"/>
  <c r="K31" i="6"/>
  <c r="O31" i="6" s="1"/>
  <c r="I586" i="6"/>
  <c r="M586" i="6" s="1"/>
  <c r="I556" i="6"/>
  <c r="M556" i="6" s="1"/>
  <c r="I652" i="6"/>
  <c r="M652" i="6" s="1"/>
  <c r="K764" i="6"/>
  <c r="O764" i="6" s="1"/>
  <c r="I400" i="6"/>
  <c r="M400" i="6" s="1"/>
  <c r="K578" i="6"/>
  <c r="O578" i="6" s="1"/>
  <c r="K643" i="6"/>
  <c r="O643" i="6" s="1"/>
  <c r="K772" i="6"/>
  <c r="O772" i="6" s="1"/>
  <c r="K629" i="6"/>
  <c r="O629" i="6" s="1"/>
  <c r="K745" i="6"/>
  <c r="O745" i="6" s="1"/>
  <c r="L704" i="6"/>
  <c r="K457" i="6"/>
  <c r="O457" i="6" s="1"/>
  <c r="N31" i="6"/>
  <c r="N586" i="6"/>
  <c r="N556" i="6"/>
  <c r="N565" i="6"/>
  <c r="N366" i="6"/>
  <c r="N626" i="6"/>
  <c r="I659" i="6"/>
  <c r="M659" i="6" s="1"/>
  <c r="N582" i="6"/>
  <c r="I777" i="6"/>
  <c r="M777" i="6" s="1"/>
  <c r="L638" i="6"/>
  <c r="I456" i="6"/>
  <c r="M456" i="6" s="1"/>
  <c r="K236" i="6"/>
  <c r="O236" i="6" s="1"/>
  <c r="I273" i="6"/>
  <c r="M273" i="6" s="1"/>
  <c r="K586" i="6"/>
  <c r="O586" i="6" s="1"/>
  <c r="K556" i="6"/>
  <c r="O556" i="6" s="1"/>
  <c r="K366" i="6"/>
  <c r="O366" i="6" s="1"/>
  <c r="I559" i="6"/>
  <c r="M559" i="6" s="1"/>
  <c r="I144" i="6"/>
  <c r="M144" i="6" s="1"/>
  <c r="K659" i="6"/>
  <c r="O659" i="6" s="1"/>
  <c r="I582" i="6"/>
  <c r="M582" i="6" s="1"/>
  <c r="N173" i="6"/>
  <c r="N465" i="6"/>
  <c r="K248" i="6"/>
  <c r="O248" i="6" s="1"/>
  <c r="I492" i="6"/>
  <c r="M492" i="6" s="1"/>
  <c r="I236" i="6"/>
  <c r="M236" i="6" s="1"/>
  <c r="K559" i="6"/>
  <c r="O559" i="6" s="1"/>
  <c r="K144" i="6"/>
  <c r="O144" i="6" s="1"/>
  <c r="I757" i="6"/>
  <c r="M757" i="6" s="1"/>
  <c r="K582" i="6"/>
  <c r="O582" i="6" s="1"/>
  <c r="N248" i="6"/>
  <c r="N559" i="6"/>
  <c r="I160" i="6"/>
  <c r="M160" i="6" s="1"/>
  <c r="N500" i="6"/>
  <c r="N757" i="6"/>
  <c r="I551" i="6"/>
  <c r="M551" i="6" s="1"/>
  <c r="I168" i="6"/>
  <c r="M168" i="6" s="1"/>
  <c r="N244" i="6"/>
  <c r="N309" i="6"/>
  <c r="K314" i="6"/>
  <c r="O314" i="6" s="1"/>
  <c r="N139" i="6"/>
  <c r="I198" i="6"/>
  <c r="M198" i="6" s="1"/>
  <c r="K204" i="6"/>
  <c r="O204" i="6" s="1"/>
  <c r="K460" i="6"/>
  <c r="O460" i="6" s="1"/>
  <c r="I797" i="6"/>
  <c r="M797" i="6" s="1"/>
  <c r="N144" i="6"/>
  <c r="N615" i="6"/>
  <c r="N593" i="6"/>
  <c r="N566" i="6"/>
  <c r="K584" i="6"/>
  <c r="O584" i="6" s="1"/>
  <c r="L752" i="6"/>
  <c r="L742" i="6"/>
  <c r="K244" i="6"/>
  <c r="O244" i="6" s="1"/>
  <c r="I309" i="6"/>
  <c r="M309" i="6" s="1"/>
  <c r="K309" i="6"/>
  <c r="O309" i="6" s="1"/>
  <c r="I295" i="6"/>
  <c r="M295" i="6" s="1"/>
  <c r="N381" i="6"/>
  <c r="N492" i="6"/>
  <c r="I271" i="6"/>
  <c r="M271" i="6" s="1"/>
  <c r="K797" i="6"/>
  <c r="O797" i="6" s="1"/>
  <c r="I609" i="6"/>
  <c r="M609" i="6" s="1"/>
  <c r="I610" i="6"/>
  <c r="M610" i="6" s="1"/>
  <c r="I662" i="6"/>
  <c r="M662" i="6" s="1"/>
  <c r="N646" i="6"/>
  <c r="N584" i="6"/>
  <c r="L686" i="6"/>
  <c r="L670" i="6"/>
  <c r="N19" i="6"/>
  <c r="K52" i="6"/>
  <c r="O52" i="6" s="1"/>
  <c r="I325" i="6"/>
  <c r="M325" i="6" s="1"/>
  <c r="K325" i="6"/>
  <c r="O325" i="6" s="1"/>
  <c r="K134" i="6"/>
  <c r="O134" i="6" s="1"/>
  <c r="I141" i="6"/>
  <c r="M141" i="6" s="1"/>
  <c r="K492" i="6"/>
  <c r="O492" i="6" s="1"/>
  <c r="I602" i="6"/>
  <c r="M602" i="6" s="1"/>
  <c r="N797" i="6"/>
  <c r="I477" i="6"/>
  <c r="M477" i="6" s="1"/>
  <c r="I158" i="6"/>
  <c r="M158" i="6" s="1"/>
  <c r="N609" i="6"/>
  <c r="N610" i="6"/>
  <c r="N662" i="6"/>
  <c r="N585" i="6"/>
  <c r="N460" i="6"/>
  <c r="K593" i="6"/>
  <c r="O593" i="6" s="1"/>
  <c r="K19" i="6"/>
  <c r="O19" i="6" s="1"/>
  <c r="N52" i="6"/>
  <c r="N325" i="6"/>
  <c r="N134" i="6"/>
  <c r="K119" i="6"/>
  <c r="O119" i="6" s="1"/>
  <c r="N295" i="6"/>
  <c r="I427" i="6"/>
  <c r="M427" i="6" s="1"/>
  <c r="K28" i="6"/>
  <c r="O28" i="6" s="1"/>
  <c r="N602" i="6"/>
  <c r="N477" i="6"/>
  <c r="N158" i="6"/>
  <c r="N480" i="6"/>
  <c r="K609" i="6"/>
  <c r="O609" i="6" s="1"/>
  <c r="N785" i="6"/>
  <c r="K610" i="6"/>
  <c r="O610" i="6" s="1"/>
  <c r="K707" i="6"/>
  <c r="O707" i="6" s="1"/>
  <c r="I628" i="6"/>
  <c r="M628" i="6" s="1"/>
  <c r="I585" i="6"/>
  <c r="M585" i="6" s="1"/>
  <c r="I36" i="6"/>
  <c r="M36" i="6" s="1"/>
  <c r="L100" i="6"/>
  <c r="L69" i="6"/>
  <c r="L754" i="6"/>
  <c r="I125" i="6"/>
  <c r="M125" i="6" s="1"/>
  <c r="N271" i="6"/>
  <c r="I626" i="6"/>
  <c r="M626" i="6" s="1"/>
  <c r="N628" i="6"/>
  <c r="I744" i="6"/>
  <c r="M744" i="6" s="1"/>
  <c r="N775" i="6"/>
  <c r="L414" i="6"/>
  <c r="N472" i="6"/>
  <c r="N125" i="6"/>
  <c r="N748" i="6"/>
  <c r="N89" i="6"/>
  <c r="I488" i="6"/>
  <c r="M488" i="6" s="1"/>
  <c r="K168" i="6"/>
  <c r="O168" i="6" s="1"/>
  <c r="I523" i="6"/>
  <c r="M523" i="6" s="1"/>
  <c r="K125" i="6"/>
  <c r="O125" i="6" s="1"/>
  <c r="K618" i="6"/>
  <c r="O618" i="6" s="1"/>
  <c r="N318" i="6"/>
  <c r="I527" i="6"/>
  <c r="M527" i="6" s="1"/>
  <c r="I529" i="6"/>
  <c r="M529" i="6" s="1"/>
  <c r="N722" i="6"/>
  <c r="N466" i="6"/>
  <c r="K626" i="6"/>
  <c r="O626" i="6" s="1"/>
  <c r="I532" i="6"/>
  <c r="M532" i="6" s="1"/>
  <c r="I788" i="6"/>
  <c r="M788" i="6" s="1"/>
  <c r="K744" i="6"/>
  <c r="O744" i="6" s="1"/>
  <c r="N791" i="6"/>
  <c r="L514" i="6"/>
  <c r="K602" i="6"/>
  <c r="O602" i="6" s="1"/>
  <c r="N749" i="6"/>
  <c r="K318" i="6"/>
  <c r="O318" i="6" s="1"/>
  <c r="N386" i="6"/>
  <c r="I466" i="6"/>
  <c r="M466" i="6" s="1"/>
  <c r="I548" i="6"/>
  <c r="M548" i="6" s="1"/>
  <c r="K709" i="6"/>
  <c r="O709" i="6" s="1"/>
  <c r="N744" i="6"/>
  <c r="I791" i="6"/>
  <c r="M791" i="6" s="1"/>
  <c r="L135" i="6"/>
  <c r="I135" i="6"/>
  <c r="M135" i="6" s="1"/>
  <c r="N523" i="6"/>
  <c r="I68" i="6"/>
  <c r="M68" i="6" s="1"/>
  <c r="K442" i="6"/>
  <c r="O442" i="6" s="1"/>
  <c r="N141" i="6"/>
  <c r="I779" i="6"/>
  <c r="M779" i="6" s="1"/>
  <c r="N670" i="6"/>
  <c r="I640" i="6"/>
  <c r="M640" i="6" s="1"/>
  <c r="I749" i="6"/>
  <c r="M749" i="6" s="1"/>
  <c r="N678" i="6"/>
  <c r="N527" i="6"/>
  <c r="K662" i="6"/>
  <c r="O662" i="6" s="1"/>
  <c r="K529" i="6"/>
  <c r="O529" i="6" s="1"/>
  <c r="K722" i="6"/>
  <c r="O722" i="6" s="1"/>
  <c r="I210" i="6"/>
  <c r="M210" i="6" s="1"/>
  <c r="I386" i="6"/>
  <c r="M386" i="6" s="1"/>
  <c r="K466" i="6"/>
  <c r="O466" i="6" s="1"/>
  <c r="N548" i="6"/>
  <c r="I453" i="6"/>
  <c r="M453" i="6" s="1"/>
  <c r="N535" i="6"/>
  <c r="I631" i="6"/>
  <c r="M631" i="6" s="1"/>
  <c r="K791" i="6"/>
  <c r="O791" i="6" s="1"/>
  <c r="N505" i="6"/>
  <c r="N168" i="6"/>
  <c r="N130" i="6"/>
  <c r="K53" i="6"/>
  <c r="O53" i="6" s="1"/>
  <c r="I139" i="6"/>
  <c r="M139" i="6" s="1"/>
  <c r="N232" i="6"/>
  <c r="N221" i="6"/>
  <c r="N273" i="6"/>
  <c r="N779" i="6"/>
  <c r="K670" i="6"/>
  <c r="O670" i="6" s="1"/>
  <c r="K749" i="6"/>
  <c r="O749" i="6" s="1"/>
  <c r="I678" i="6"/>
  <c r="M678" i="6" s="1"/>
  <c r="N62" i="6"/>
  <c r="I561" i="6"/>
  <c r="M561" i="6" s="1"/>
  <c r="I754" i="6"/>
  <c r="M754" i="6" s="1"/>
  <c r="N210" i="6"/>
  <c r="K386" i="6"/>
  <c r="O386" i="6" s="1"/>
  <c r="I435" i="6"/>
  <c r="M435" i="6" s="1"/>
  <c r="K548" i="6"/>
  <c r="O548" i="6" s="1"/>
  <c r="N453" i="6"/>
  <c r="I597" i="6"/>
  <c r="M597" i="6" s="1"/>
  <c r="I535" i="6"/>
  <c r="M535" i="6" s="1"/>
  <c r="K631" i="6"/>
  <c r="O631" i="6" s="1"/>
  <c r="I505" i="6"/>
  <c r="M505" i="6" s="1"/>
  <c r="L451" i="6"/>
  <c r="L318" i="6"/>
  <c r="N119" i="6"/>
  <c r="N135" i="6"/>
  <c r="K527" i="6"/>
  <c r="O527" i="6" s="1"/>
  <c r="K130" i="6"/>
  <c r="O130" i="6" s="1"/>
  <c r="N115" i="6"/>
  <c r="K232" i="6"/>
  <c r="O232" i="6" s="1"/>
  <c r="K185" i="6"/>
  <c r="O185" i="6" s="1"/>
  <c r="K221" i="6"/>
  <c r="O221" i="6" s="1"/>
  <c r="K273" i="6"/>
  <c r="O273" i="6" s="1"/>
  <c r="K779" i="6"/>
  <c r="O779" i="6" s="1"/>
  <c r="K678" i="6"/>
  <c r="O678" i="6" s="1"/>
  <c r="K62" i="6"/>
  <c r="O62" i="6" s="1"/>
  <c r="I224" i="6"/>
  <c r="M224" i="6" s="1"/>
  <c r="K561" i="6"/>
  <c r="O561" i="6" s="1"/>
  <c r="N754" i="6"/>
  <c r="K210" i="6"/>
  <c r="O210" i="6" s="1"/>
  <c r="N435" i="6"/>
  <c r="K597" i="6"/>
  <c r="O597" i="6" s="1"/>
  <c r="K535" i="6"/>
  <c r="O535" i="6" s="1"/>
  <c r="N631" i="6"/>
  <c r="K505" i="6"/>
  <c r="O505" i="6" s="1"/>
  <c r="I472" i="6"/>
  <c r="M472" i="6" s="1"/>
  <c r="I19" i="6"/>
  <c r="M19" i="6" s="1"/>
  <c r="K115" i="6"/>
  <c r="O115" i="6" s="1"/>
  <c r="K42" i="6"/>
  <c r="O42" i="6" s="1"/>
  <c r="I188" i="6"/>
  <c r="M188" i="6" s="1"/>
  <c r="K728" i="6"/>
  <c r="O728" i="6" s="1"/>
  <c r="N224" i="6"/>
  <c r="N742" i="6"/>
  <c r="I226" i="6"/>
  <c r="M226" i="6" s="1"/>
  <c r="K435" i="6"/>
  <c r="O435" i="6" s="1"/>
  <c r="N789" i="6"/>
  <c r="N597" i="6"/>
  <c r="L68" i="6"/>
  <c r="K427" i="6"/>
  <c r="O427" i="6" s="1"/>
  <c r="K342" i="6"/>
  <c r="O342" i="6" s="1"/>
  <c r="I119" i="6"/>
  <c r="M119" i="6" s="1"/>
  <c r="N198" i="6"/>
  <c r="I282" i="6"/>
  <c r="M282" i="6" s="1"/>
  <c r="N42" i="6"/>
  <c r="I460" i="6"/>
  <c r="M460" i="6" s="1"/>
  <c r="K188" i="6"/>
  <c r="O188" i="6" s="1"/>
  <c r="I699" i="6"/>
  <c r="M699" i="6" s="1"/>
  <c r="N656" i="6"/>
  <c r="I748" i="6"/>
  <c r="M748" i="6" s="1"/>
  <c r="N414" i="6"/>
  <c r="I728" i="6"/>
  <c r="M728" i="6" s="1"/>
  <c r="I767" i="6"/>
  <c r="M767" i="6" s="1"/>
  <c r="K224" i="6"/>
  <c r="O224" i="6" s="1"/>
  <c r="I742" i="6"/>
  <c r="M742" i="6" s="1"/>
  <c r="N226" i="6"/>
  <c r="I451" i="6"/>
  <c r="M451" i="6" s="1"/>
  <c r="I789" i="6"/>
  <c r="M789" i="6" s="1"/>
  <c r="K613" i="6"/>
  <c r="O613" i="6" s="1"/>
  <c r="K105" i="6"/>
  <c r="O105" i="6" s="1"/>
  <c r="N282" i="6"/>
  <c r="N188" i="6"/>
  <c r="K699" i="6"/>
  <c r="O699" i="6" s="1"/>
  <c r="K748" i="6"/>
  <c r="O748" i="6" s="1"/>
  <c r="N637" i="6"/>
  <c r="K414" i="6"/>
  <c r="O414" i="6" s="1"/>
  <c r="N728" i="6"/>
  <c r="N400" i="6"/>
  <c r="K226" i="6"/>
  <c r="O226" i="6" s="1"/>
  <c r="K451" i="6"/>
  <c r="O451" i="6" s="1"/>
  <c r="K789" i="6"/>
  <c r="O789" i="6" s="1"/>
  <c r="N426" i="6"/>
  <c r="N767" i="6"/>
  <c r="N790" i="6"/>
  <c r="K306" i="6"/>
  <c r="O306" i="6" s="1"/>
  <c r="N569" i="6"/>
  <c r="L334" i="6"/>
  <c r="L790" i="6"/>
  <c r="L647" i="6"/>
  <c r="I334" i="6"/>
  <c r="M334" i="6" s="1"/>
  <c r="I312" i="6"/>
  <c r="M312" i="6" s="1"/>
  <c r="K26" i="6"/>
  <c r="O26" i="6" s="1"/>
  <c r="N257" i="6"/>
  <c r="I731" i="6"/>
  <c r="M731" i="6" s="1"/>
  <c r="I758" i="6"/>
  <c r="M758" i="6" s="1"/>
  <c r="K767" i="6"/>
  <c r="O767" i="6" s="1"/>
  <c r="K569" i="6"/>
  <c r="O569" i="6" s="1"/>
  <c r="L426" i="6"/>
  <c r="N26" i="6"/>
  <c r="I255" i="6"/>
  <c r="M255" i="6" s="1"/>
  <c r="K257" i="6"/>
  <c r="O257" i="6" s="1"/>
  <c r="N731" i="6"/>
  <c r="N758" i="6"/>
  <c r="K731" i="6"/>
  <c r="O731" i="6" s="1"/>
  <c r="I78" i="6"/>
  <c r="M78" i="6" s="1"/>
  <c r="N334" i="6"/>
  <c r="K758" i="6"/>
  <c r="O758" i="6" s="1"/>
  <c r="I647" i="6"/>
  <c r="M647" i="6" s="1"/>
  <c r="I359" i="6"/>
  <c r="M359" i="6" s="1"/>
  <c r="I257" i="6"/>
  <c r="M257" i="6" s="1"/>
  <c r="I726" i="6"/>
  <c r="M726" i="6" s="1"/>
  <c r="N78" i="6"/>
  <c r="K128" i="6"/>
  <c r="O128" i="6" s="1"/>
  <c r="N647" i="6"/>
  <c r="I790" i="6"/>
  <c r="M790" i="6" s="1"/>
  <c r="L640" i="6"/>
  <c r="I406" i="6"/>
  <c r="M406" i="6" s="1"/>
  <c r="N339" i="6"/>
  <c r="N397" i="6"/>
  <c r="K726" i="6"/>
  <c r="O726" i="6" s="1"/>
  <c r="K78" i="6"/>
  <c r="O78" i="6" s="1"/>
  <c r="N128" i="6"/>
  <c r="K384" i="6"/>
  <c r="O384" i="6" s="1"/>
  <c r="N786" i="6"/>
  <c r="I339" i="6"/>
  <c r="M339" i="6" s="1"/>
  <c r="K255" i="6"/>
  <c r="O255" i="6" s="1"/>
  <c r="I511" i="6"/>
  <c r="M511" i="6" s="1"/>
  <c r="N384" i="6"/>
  <c r="I786" i="6"/>
  <c r="M786" i="6" s="1"/>
  <c r="N18" i="6"/>
  <c r="K359" i="6"/>
  <c r="O359" i="6" s="1"/>
  <c r="N255" i="6"/>
  <c r="I128" i="6"/>
  <c r="M128" i="6" s="1"/>
  <c r="K511" i="6"/>
  <c r="O511" i="6" s="1"/>
  <c r="K786" i="6"/>
  <c r="O786" i="6" s="1"/>
  <c r="K18" i="6"/>
  <c r="O18" i="6" s="1"/>
  <c r="N359" i="6"/>
  <c r="I26" i="6"/>
  <c r="M26" i="6" s="1"/>
  <c r="K157" i="6"/>
  <c r="O157" i="6" s="1"/>
  <c r="I337" i="6"/>
  <c r="M337" i="6" s="1"/>
  <c r="N511" i="6"/>
  <c r="N640" i="6"/>
  <c r="I397" i="6"/>
  <c r="M397" i="6" s="1"/>
  <c r="N157" i="6"/>
  <c r="K339" i="6"/>
  <c r="O339" i="6" s="1"/>
  <c r="I426" i="6"/>
  <c r="M426" i="6" s="1"/>
  <c r="I107" i="6"/>
  <c r="M107" i="6" s="1"/>
  <c r="I666" i="6"/>
  <c r="M666" i="6" s="1"/>
  <c r="N546" i="6"/>
  <c r="N568" i="6"/>
  <c r="I157" i="6"/>
  <c r="M157" i="6" s="1"/>
  <c r="N475" i="6"/>
  <c r="I385" i="6"/>
  <c r="M385" i="6" s="1"/>
  <c r="N385" i="6"/>
  <c r="N666" i="6"/>
  <c r="I546" i="6"/>
  <c r="M546" i="6" s="1"/>
  <c r="I611" i="6"/>
  <c r="M611" i="6" s="1"/>
  <c r="I568" i="6"/>
  <c r="M568" i="6" s="1"/>
  <c r="N337" i="6"/>
  <c r="N406" i="6"/>
  <c r="I475" i="6"/>
  <c r="M475" i="6" s="1"/>
  <c r="K475" i="6"/>
  <c r="O475" i="6" s="1"/>
  <c r="K385" i="6"/>
  <c r="O385" i="6" s="1"/>
  <c r="K666" i="6"/>
  <c r="O666" i="6" s="1"/>
  <c r="K546" i="6"/>
  <c r="O546" i="6" s="1"/>
  <c r="K611" i="6"/>
  <c r="O611" i="6" s="1"/>
  <c r="I676" i="6"/>
  <c r="M676" i="6" s="1"/>
  <c r="K568" i="6"/>
  <c r="O568" i="6" s="1"/>
  <c r="K406" i="6"/>
  <c r="O406" i="6" s="1"/>
  <c r="N220" i="6"/>
  <c r="I524" i="6"/>
  <c r="M524" i="6" s="1"/>
  <c r="I384" i="6"/>
  <c r="M384" i="6" s="1"/>
  <c r="K676" i="6"/>
  <c r="O676" i="6" s="1"/>
  <c r="N185" i="6"/>
  <c r="I220" i="6"/>
  <c r="M220" i="6" s="1"/>
  <c r="N524" i="6"/>
  <c r="N306" i="6"/>
  <c r="N676" i="6"/>
  <c r="N732" i="6"/>
  <c r="L706" i="6"/>
  <c r="I114" i="6"/>
  <c r="M114" i="6" s="1"/>
  <c r="N114" i="6"/>
  <c r="I360" i="6"/>
  <c r="M360" i="6" s="1"/>
  <c r="K732" i="6"/>
  <c r="O732" i="6" s="1"/>
  <c r="N756" i="6"/>
  <c r="L130" i="6"/>
  <c r="K114" i="6"/>
  <c r="O114" i="6" s="1"/>
  <c r="I116" i="6"/>
  <c r="M116" i="6" s="1"/>
  <c r="N243" i="6"/>
  <c r="I549" i="6"/>
  <c r="M549" i="6" s="1"/>
  <c r="L659" i="6"/>
  <c r="N36" i="6"/>
  <c r="I403" i="6"/>
  <c r="M403" i="6" s="1"/>
  <c r="N403" i="6"/>
  <c r="I547" i="6"/>
  <c r="M547" i="6" s="1"/>
  <c r="I695" i="6"/>
  <c r="M695" i="6" s="1"/>
  <c r="I243" i="6"/>
  <c r="M243" i="6" s="1"/>
  <c r="K2" i="6"/>
  <c r="O2" i="6" s="1"/>
  <c r="K403" i="6"/>
  <c r="O403" i="6" s="1"/>
  <c r="K547" i="6"/>
  <c r="O547" i="6" s="1"/>
  <c r="I580" i="6"/>
  <c r="M580" i="6" s="1"/>
  <c r="N695" i="6"/>
  <c r="N738" i="6"/>
  <c r="N547" i="6"/>
  <c r="K580" i="6"/>
  <c r="O580" i="6" s="1"/>
  <c r="K695" i="6"/>
  <c r="O695" i="6" s="1"/>
  <c r="L581" i="6"/>
  <c r="K116" i="6"/>
  <c r="O116" i="6" s="1"/>
  <c r="N2" i="6"/>
  <c r="N116" i="6"/>
  <c r="I357" i="6"/>
  <c r="M357" i="6" s="1"/>
  <c r="N370" i="6"/>
  <c r="K594" i="6"/>
  <c r="O594" i="6" s="1"/>
  <c r="I738" i="6"/>
  <c r="M738" i="6" s="1"/>
  <c r="N707" i="6"/>
  <c r="N580" i="6"/>
  <c r="I694" i="6"/>
  <c r="M694" i="6" s="1"/>
  <c r="L488" i="6"/>
  <c r="N357" i="6"/>
  <c r="I594" i="6"/>
  <c r="M594" i="6" s="1"/>
  <c r="I707" i="6"/>
  <c r="M707" i="6" s="1"/>
  <c r="I500" i="6"/>
  <c r="M500" i="6" s="1"/>
  <c r="K694" i="6"/>
  <c r="O694" i="6" s="1"/>
  <c r="N777" i="6"/>
  <c r="N454" i="6"/>
  <c r="L540" i="6"/>
  <c r="N694" i="6"/>
  <c r="K471" i="6"/>
  <c r="O471" i="6" s="1"/>
  <c r="I514" i="6"/>
  <c r="M514" i="6" s="1"/>
  <c r="K500" i="6"/>
  <c r="O500" i="6" s="1"/>
  <c r="K777" i="6"/>
  <c r="O777" i="6" s="1"/>
  <c r="I18" i="6"/>
  <c r="M18" i="6" s="1"/>
  <c r="N594" i="6"/>
  <c r="N471" i="6"/>
  <c r="K514" i="6"/>
  <c r="O514" i="6" s="1"/>
  <c r="L186" i="6"/>
  <c r="N613" i="6"/>
  <c r="N103" i="6"/>
  <c r="I185" i="6"/>
  <c r="M185" i="6" s="1"/>
  <c r="I613" i="6"/>
  <c r="M613" i="6" s="1"/>
  <c r="I644" i="6"/>
  <c r="M644" i="6" s="1"/>
  <c r="L108" i="6"/>
  <c r="I474" i="6"/>
  <c r="M474" i="6" s="1"/>
  <c r="I35" i="6"/>
  <c r="M35" i="6" s="1"/>
  <c r="K127" i="6"/>
  <c r="O127" i="6" s="1"/>
  <c r="N193" i="6"/>
  <c r="N321" i="6"/>
  <c r="N429" i="6"/>
  <c r="I591" i="6"/>
  <c r="M591" i="6" s="1"/>
  <c r="N530" i="6"/>
  <c r="K644" i="6"/>
  <c r="O644" i="6" s="1"/>
  <c r="K520" i="6"/>
  <c r="O520" i="6" s="1"/>
  <c r="I761" i="6"/>
  <c r="M761" i="6" s="1"/>
  <c r="L691" i="6"/>
  <c r="K433" i="6"/>
  <c r="O433" i="6" s="1"/>
  <c r="L154" i="6"/>
  <c r="L459" i="6"/>
  <c r="I448" i="6"/>
  <c r="M448" i="6" s="1"/>
  <c r="N520" i="6"/>
  <c r="L801" i="6"/>
  <c r="L644" i="6"/>
  <c r="I672" i="6"/>
  <c r="M672" i="6" s="1"/>
  <c r="K441" i="6"/>
  <c r="O441" i="6" s="1"/>
  <c r="K138" i="6"/>
  <c r="O138" i="6" s="1"/>
  <c r="I490" i="6"/>
  <c r="M490" i="6" s="1"/>
  <c r="N138" i="6"/>
  <c r="N127" i="6"/>
  <c r="K538" i="6"/>
  <c r="O538" i="6" s="1"/>
  <c r="K720" i="6"/>
  <c r="O720" i="6" s="1"/>
  <c r="N286" i="6"/>
  <c r="N510" i="6"/>
  <c r="I431" i="6"/>
  <c r="M431" i="6" s="1"/>
  <c r="K591" i="6"/>
  <c r="O591" i="6" s="1"/>
  <c r="N162" i="6"/>
  <c r="N258" i="6"/>
  <c r="N739" i="6"/>
  <c r="I485" i="6"/>
  <c r="M485" i="6" s="1"/>
  <c r="K534" i="6"/>
  <c r="O534" i="6" s="1"/>
  <c r="I536" i="6"/>
  <c r="M536" i="6" s="1"/>
  <c r="N761" i="6"/>
  <c r="L147" i="6"/>
  <c r="L107" i="6"/>
  <c r="L35" i="6"/>
  <c r="L304" i="6"/>
  <c r="I50" i="6"/>
  <c r="M50" i="6" s="1"/>
  <c r="L498" i="6"/>
  <c r="N706" i="6"/>
  <c r="K198" i="6"/>
  <c r="O198" i="6" s="1"/>
  <c r="K506" i="6"/>
  <c r="O506" i="6" s="1"/>
  <c r="I542" i="6"/>
  <c r="M542" i="6" s="1"/>
  <c r="L645" i="6"/>
  <c r="L750" i="6"/>
  <c r="L192" i="6"/>
  <c r="N53" i="6"/>
  <c r="I193" i="6"/>
  <c r="M193" i="6" s="1"/>
  <c r="I97" i="6"/>
  <c r="M97" i="6" s="1"/>
  <c r="N137" i="6"/>
  <c r="I250" i="6"/>
  <c r="M250" i="6" s="1"/>
  <c r="K154" i="6"/>
  <c r="O154" i="6" s="1"/>
  <c r="K143" i="6"/>
  <c r="O143" i="6" s="1"/>
  <c r="I733" i="6"/>
  <c r="M733" i="6" s="1"/>
  <c r="N750" i="6"/>
  <c r="K286" i="6"/>
  <c r="O286" i="6" s="1"/>
  <c r="K510" i="6"/>
  <c r="O510" i="6" s="1"/>
  <c r="K431" i="6"/>
  <c r="O431" i="6" s="1"/>
  <c r="I607" i="6"/>
  <c r="M607" i="6" s="1"/>
  <c r="K432" i="6"/>
  <c r="O432" i="6" s="1"/>
  <c r="I258" i="6"/>
  <c r="M258" i="6" s="1"/>
  <c r="I370" i="6"/>
  <c r="M370" i="6" s="1"/>
  <c r="I531" i="6"/>
  <c r="M531" i="6" s="1"/>
  <c r="I739" i="6"/>
  <c r="M739" i="6" s="1"/>
  <c r="I660" i="6"/>
  <c r="M660" i="6" s="1"/>
  <c r="I405" i="6"/>
  <c r="M405" i="6" s="1"/>
  <c r="K536" i="6"/>
  <c r="O536" i="6" s="1"/>
  <c r="N681" i="6"/>
  <c r="K761" i="6"/>
  <c r="O761" i="6" s="1"/>
  <c r="I34" i="6"/>
  <c r="M34" i="6" s="1"/>
  <c r="L51" i="6"/>
  <c r="L302" i="6"/>
  <c r="N432" i="6"/>
  <c r="N405" i="6"/>
  <c r="L490" i="6"/>
  <c r="L55" i="6"/>
  <c r="L296" i="6"/>
  <c r="K27" i="6"/>
  <c r="O27" i="6" s="1"/>
  <c r="I324" i="6"/>
  <c r="M324" i="6" s="1"/>
  <c r="N262" i="6"/>
  <c r="I137" i="6"/>
  <c r="M137" i="6" s="1"/>
  <c r="N27" i="6"/>
  <c r="I108" i="6"/>
  <c r="M108" i="6" s="1"/>
  <c r="N49" i="6"/>
  <c r="K733" i="6"/>
  <c r="O733" i="6" s="1"/>
  <c r="N652" i="6"/>
  <c r="N574" i="6"/>
  <c r="K302" i="6"/>
  <c r="O302" i="6" s="1"/>
  <c r="K607" i="6"/>
  <c r="O607" i="6" s="1"/>
  <c r="N192" i="6"/>
  <c r="N448" i="6"/>
  <c r="I274" i="6"/>
  <c r="M274" i="6" s="1"/>
  <c r="K370" i="6"/>
  <c r="O370" i="6" s="1"/>
  <c r="K531" i="6"/>
  <c r="O531" i="6" s="1"/>
  <c r="N660" i="6"/>
  <c r="I518" i="6"/>
  <c r="M518" i="6" s="1"/>
  <c r="K405" i="6"/>
  <c r="O405" i="6" s="1"/>
  <c r="I679" i="6"/>
  <c r="M679" i="6" s="1"/>
  <c r="K775" i="6"/>
  <c r="O775" i="6" s="1"/>
  <c r="N552" i="6"/>
  <c r="K760" i="6"/>
  <c r="O760" i="6" s="1"/>
  <c r="K681" i="6"/>
  <c r="O681" i="6" s="1"/>
  <c r="L433" i="6"/>
  <c r="L360" i="6"/>
  <c r="L482" i="6"/>
  <c r="I52" i="6"/>
  <c r="M52" i="6" s="1"/>
  <c r="I101" i="6"/>
  <c r="M101" i="6" s="1"/>
  <c r="L519" i="6"/>
  <c r="L497" i="6"/>
  <c r="L269" i="6"/>
  <c r="K108" i="6"/>
  <c r="O108" i="6" s="1"/>
  <c r="I340" i="6"/>
  <c r="M340" i="6" s="1"/>
  <c r="I118" i="6"/>
  <c r="M118" i="6" s="1"/>
  <c r="K262" i="6"/>
  <c r="O262" i="6" s="1"/>
  <c r="N21" i="6"/>
  <c r="N316" i="6"/>
  <c r="I127" i="6"/>
  <c r="M127" i="6" s="1"/>
  <c r="N189" i="6"/>
  <c r="I321" i="6"/>
  <c r="M321" i="6" s="1"/>
  <c r="I667" i="6"/>
  <c r="M667" i="6" s="1"/>
  <c r="K652" i="6"/>
  <c r="O652" i="6" s="1"/>
  <c r="K574" i="6"/>
  <c r="O574" i="6" s="1"/>
  <c r="K496" i="6"/>
  <c r="O496" i="6" s="1"/>
  <c r="K192" i="6"/>
  <c r="O192" i="6" s="1"/>
  <c r="K448" i="6"/>
  <c r="O448" i="6" s="1"/>
  <c r="K274" i="6"/>
  <c r="O274" i="6" s="1"/>
  <c r="N518" i="6"/>
  <c r="I421" i="6"/>
  <c r="M421" i="6" s="1"/>
  <c r="N679" i="6"/>
  <c r="I775" i="6"/>
  <c r="M775" i="6" s="1"/>
  <c r="K552" i="6"/>
  <c r="O552" i="6" s="1"/>
  <c r="N760" i="6"/>
  <c r="I697" i="6"/>
  <c r="M697" i="6" s="1"/>
  <c r="L539" i="6"/>
  <c r="L66" i="6"/>
  <c r="K49" i="6"/>
  <c r="O49" i="6" s="1"/>
  <c r="K189" i="6"/>
  <c r="O189" i="6" s="1"/>
  <c r="N667" i="6"/>
  <c r="I653" i="6"/>
  <c r="M653" i="6" s="1"/>
  <c r="N274" i="6"/>
  <c r="N467" i="6"/>
  <c r="K518" i="6"/>
  <c r="O518" i="6" s="1"/>
  <c r="N421" i="6"/>
  <c r="L286" i="6"/>
  <c r="L443" i="6"/>
  <c r="N607" i="6"/>
  <c r="I393" i="6"/>
  <c r="M393" i="6" s="1"/>
  <c r="K34" i="6"/>
  <c r="O34" i="6" s="1"/>
  <c r="K35" i="6"/>
  <c r="O35" i="6" s="1"/>
  <c r="I189" i="6"/>
  <c r="M189" i="6" s="1"/>
  <c r="N51" i="6"/>
  <c r="N433" i="6"/>
  <c r="N324" i="6"/>
  <c r="K55" i="6"/>
  <c r="O55" i="6" s="1"/>
  <c r="N443" i="6"/>
  <c r="N73" i="6"/>
  <c r="K205" i="6"/>
  <c r="O205" i="6" s="1"/>
  <c r="N81" i="6"/>
  <c r="N497" i="6"/>
  <c r="K667" i="6"/>
  <c r="O667" i="6" s="1"/>
  <c r="N653" i="6"/>
  <c r="I126" i="6"/>
  <c r="M126" i="6" s="1"/>
  <c r="I32" i="6"/>
  <c r="M32" i="6" s="1"/>
  <c r="I598" i="6"/>
  <c r="M598" i="6" s="1"/>
  <c r="K290" i="6"/>
  <c r="O290" i="6" s="1"/>
  <c r="I482" i="6"/>
  <c r="M482" i="6" s="1"/>
  <c r="I467" i="6"/>
  <c r="M467" i="6" s="1"/>
  <c r="I550" i="6"/>
  <c r="M550" i="6" s="1"/>
  <c r="K421" i="6"/>
  <c r="O421" i="6" s="1"/>
  <c r="K697" i="6"/>
  <c r="O697" i="6" s="1"/>
  <c r="L481" i="6"/>
  <c r="L579" i="6"/>
  <c r="N588" i="6"/>
  <c r="I750" i="6"/>
  <c r="M750" i="6" s="1"/>
  <c r="K672" i="6"/>
  <c r="O672" i="6" s="1"/>
  <c r="N312" i="6"/>
  <c r="N490" i="6"/>
  <c r="N340" i="6"/>
  <c r="N87" i="6"/>
  <c r="I27" i="6"/>
  <c r="M27" i="6" s="1"/>
  <c r="I73" i="6"/>
  <c r="M73" i="6" s="1"/>
  <c r="N205" i="6"/>
  <c r="K81" i="6"/>
  <c r="O81" i="6" s="1"/>
  <c r="N526" i="6"/>
  <c r="I683" i="6"/>
  <c r="M683" i="6" s="1"/>
  <c r="K653" i="6"/>
  <c r="O653" i="6" s="1"/>
  <c r="N126" i="6"/>
  <c r="K32" i="6"/>
  <c r="O32" i="6" s="1"/>
  <c r="N598" i="6"/>
  <c r="I290" i="6"/>
  <c r="M290" i="6" s="1"/>
  <c r="K482" i="6"/>
  <c r="O482" i="6" s="1"/>
  <c r="K467" i="6"/>
  <c r="O467" i="6" s="1"/>
  <c r="I579" i="6"/>
  <c r="M579" i="6" s="1"/>
  <c r="N787" i="6"/>
  <c r="N550" i="6"/>
  <c r="N437" i="6"/>
  <c r="N533" i="6"/>
  <c r="L350" i="6"/>
  <c r="L538" i="6"/>
  <c r="L770" i="6"/>
  <c r="N591" i="6"/>
  <c r="L432" i="6"/>
  <c r="K258" i="6"/>
  <c r="O258" i="6" s="1"/>
  <c r="K324" i="6"/>
  <c r="O324" i="6" s="1"/>
  <c r="K340" i="6"/>
  <c r="O340" i="6" s="1"/>
  <c r="I441" i="6"/>
  <c r="M441" i="6" s="1"/>
  <c r="K73" i="6"/>
  <c r="O73" i="6" s="1"/>
  <c r="N97" i="6"/>
  <c r="N536" i="6"/>
  <c r="I762" i="6"/>
  <c r="M762" i="6" s="1"/>
  <c r="K526" i="6"/>
  <c r="O526" i="6" s="1"/>
  <c r="K683" i="6"/>
  <c r="O683" i="6" s="1"/>
  <c r="I669" i="6"/>
  <c r="M669" i="6" s="1"/>
  <c r="K126" i="6"/>
  <c r="O126" i="6" s="1"/>
  <c r="N350" i="6"/>
  <c r="N32" i="6"/>
  <c r="K598" i="6"/>
  <c r="O598" i="6" s="1"/>
  <c r="N290" i="6"/>
  <c r="I498" i="6"/>
  <c r="M498" i="6" s="1"/>
  <c r="N674" i="6"/>
  <c r="K770" i="6"/>
  <c r="O770" i="6" s="1"/>
  <c r="N483" i="6"/>
  <c r="N579" i="6"/>
  <c r="I787" i="6"/>
  <c r="M787" i="6" s="1"/>
  <c r="K550" i="6"/>
  <c r="O550" i="6" s="1"/>
  <c r="I437" i="6"/>
  <c r="M437" i="6" s="1"/>
  <c r="K533" i="6"/>
  <c r="O533" i="6" s="1"/>
  <c r="I521" i="6"/>
  <c r="M521" i="6" s="1"/>
  <c r="N360" i="6"/>
  <c r="L683" i="6"/>
  <c r="L574" i="6"/>
  <c r="L428" i="6"/>
  <c r="K321" i="6"/>
  <c r="O321" i="6" s="1"/>
  <c r="L760" i="6"/>
  <c r="N55" i="6"/>
  <c r="K89" i="6"/>
  <c r="O89" i="6" s="1"/>
  <c r="I351" i="6"/>
  <c r="M351" i="6" s="1"/>
  <c r="K207" i="6"/>
  <c r="O207" i="6" s="1"/>
  <c r="K97" i="6"/>
  <c r="O97" i="6" s="1"/>
  <c r="I682" i="6"/>
  <c r="M682" i="6" s="1"/>
  <c r="N762" i="6"/>
  <c r="I510" i="6"/>
  <c r="M510" i="6" s="1"/>
  <c r="I780" i="6"/>
  <c r="M780" i="6" s="1"/>
  <c r="I493" i="6"/>
  <c r="M493" i="6" s="1"/>
  <c r="N669" i="6"/>
  <c r="I46" i="6"/>
  <c r="M46" i="6" s="1"/>
  <c r="K350" i="6"/>
  <c r="O350" i="6" s="1"/>
  <c r="N498" i="6"/>
  <c r="I674" i="6"/>
  <c r="M674" i="6" s="1"/>
  <c r="I483" i="6"/>
  <c r="M483" i="6" s="1"/>
  <c r="K787" i="6"/>
  <c r="O787" i="6" s="1"/>
  <c r="N532" i="6"/>
  <c r="I646" i="6"/>
  <c r="M646" i="6" s="1"/>
  <c r="K437" i="6"/>
  <c r="O437" i="6" s="1"/>
  <c r="I645" i="6"/>
  <c r="M645" i="6" s="1"/>
  <c r="N521" i="6"/>
  <c r="L221" i="6"/>
  <c r="K455" i="6"/>
  <c r="O455" i="6" s="1"/>
  <c r="K24" i="6"/>
  <c r="O24" i="6" s="1"/>
  <c r="I89" i="6"/>
  <c r="M89" i="6" s="1"/>
  <c r="I443" i="6"/>
  <c r="M443" i="6" s="1"/>
  <c r="I156" i="6"/>
  <c r="M156" i="6" s="1"/>
  <c r="N269" i="6"/>
  <c r="I367" i="6"/>
  <c r="M367" i="6" s="1"/>
  <c r="N207" i="6"/>
  <c r="N682" i="6"/>
  <c r="K762" i="6"/>
  <c r="O762" i="6" s="1"/>
  <c r="N780" i="6"/>
  <c r="I413" i="6"/>
  <c r="M413" i="6" s="1"/>
  <c r="N493" i="6"/>
  <c r="K669" i="6"/>
  <c r="O669" i="6" s="1"/>
  <c r="N46" i="6"/>
  <c r="I801" i="6"/>
  <c r="M801" i="6" s="1"/>
  <c r="K674" i="6"/>
  <c r="O674" i="6" s="1"/>
  <c r="K483" i="6"/>
  <c r="O483" i="6" s="1"/>
  <c r="N691" i="6"/>
  <c r="N645" i="6"/>
  <c r="I519" i="6"/>
  <c r="M519" i="6" s="1"/>
  <c r="K521" i="6"/>
  <c r="O521" i="6" s="1"/>
  <c r="L720" i="6"/>
  <c r="N302" i="6"/>
  <c r="N296" i="6"/>
  <c r="K118" i="6"/>
  <c r="O118" i="6" s="1"/>
  <c r="N24" i="6"/>
  <c r="K250" i="6"/>
  <c r="O250" i="6" s="1"/>
  <c r="K474" i="6"/>
  <c r="O474" i="6" s="1"/>
  <c r="I143" i="6"/>
  <c r="M143" i="6" s="1"/>
  <c r="I459" i="6"/>
  <c r="M459" i="6" s="1"/>
  <c r="K156" i="6"/>
  <c r="O156" i="6" s="1"/>
  <c r="I269" i="6"/>
  <c r="M269" i="6" s="1"/>
  <c r="K351" i="6"/>
  <c r="O351" i="6" s="1"/>
  <c r="K682" i="6"/>
  <c r="O682" i="6" s="1"/>
  <c r="K780" i="6"/>
  <c r="O780" i="6" s="1"/>
  <c r="K413" i="6"/>
  <c r="O413" i="6" s="1"/>
  <c r="K493" i="6"/>
  <c r="O493" i="6" s="1"/>
  <c r="K46" i="6"/>
  <c r="O46" i="6" s="1"/>
  <c r="N801" i="6"/>
  <c r="I706" i="6"/>
  <c r="M706" i="6" s="1"/>
  <c r="I691" i="6"/>
  <c r="M691" i="6" s="1"/>
  <c r="K532" i="6"/>
  <c r="O532" i="6" s="1"/>
  <c r="K646" i="6"/>
  <c r="O646" i="6" s="1"/>
  <c r="N519" i="6"/>
  <c r="K600" i="6"/>
  <c r="O600" i="6" s="1"/>
  <c r="L205" i="6"/>
  <c r="L34" i="6"/>
  <c r="K90" i="6"/>
  <c r="O90" i="6" s="1"/>
  <c r="L681" i="6"/>
  <c r="N143" i="6"/>
  <c r="K51" i="6"/>
  <c r="O51" i="6" s="1"/>
  <c r="I134" i="6"/>
  <c r="M134" i="6" s="1"/>
  <c r="N118" i="6"/>
  <c r="I138" i="6"/>
  <c r="M138" i="6" s="1"/>
  <c r="I296" i="6"/>
  <c r="M296" i="6" s="1"/>
  <c r="K107" i="6"/>
  <c r="O107" i="6" s="1"/>
  <c r="K393" i="6"/>
  <c r="O393" i="6" s="1"/>
  <c r="N250" i="6"/>
  <c r="N474" i="6"/>
  <c r="N351" i="6"/>
  <c r="N455" i="6"/>
  <c r="I698" i="6"/>
  <c r="M698" i="6" s="1"/>
  <c r="I496" i="6"/>
  <c r="M496" i="6" s="1"/>
  <c r="I620" i="6"/>
  <c r="M620" i="6" s="1"/>
  <c r="N413" i="6"/>
  <c r="I62" i="6"/>
  <c r="M62" i="6" s="1"/>
  <c r="N724" i="6"/>
  <c r="N661" i="6"/>
  <c r="N727" i="6"/>
  <c r="L312" i="6"/>
  <c r="L455" i="6"/>
  <c r="L70" i="6"/>
  <c r="L338" i="6"/>
  <c r="L690" i="6"/>
  <c r="L387" i="6"/>
  <c r="L563" i="6"/>
  <c r="L485" i="6"/>
  <c r="L470" i="6"/>
  <c r="I215" i="6"/>
  <c r="M215" i="6" s="1"/>
  <c r="L503" i="6"/>
  <c r="L663" i="6"/>
  <c r="L600" i="6"/>
  <c r="I526" i="6"/>
  <c r="M526" i="6" s="1"/>
  <c r="L237" i="6"/>
  <c r="K663" i="6"/>
  <c r="O663" i="6" s="1"/>
  <c r="I663" i="6"/>
  <c r="M663" i="6" s="1"/>
  <c r="N723" i="6"/>
  <c r="I690" i="6"/>
  <c r="M690" i="6" s="1"/>
  <c r="I723" i="6"/>
  <c r="M723" i="6" s="1"/>
  <c r="I53" i="6"/>
  <c r="M53" i="6" s="1"/>
  <c r="N427" i="6"/>
  <c r="K723" i="6"/>
  <c r="O723" i="6" s="1"/>
  <c r="L232" i="6"/>
  <c r="K146" i="6"/>
  <c r="O146" i="6" s="1"/>
  <c r="N470" i="6"/>
  <c r="N146" i="6"/>
  <c r="N563" i="6"/>
  <c r="I470" i="6"/>
  <c r="M470" i="6" s="1"/>
  <c r="L181" i="6"/>
  <c r="N338" i="6"/>
  <c r="I387" i="6"/>
  <c r="M387" i="6" s="1"/>
  <c r="I563" i="6"/>
  <c r="M563" i="6" s="1"/>
  <c r="I164" i="6"/>
  <c r="M164" i="6" s="1"/>
  <c r="I338" i="6"/>
  <c r="M338" i="6" s="1"/>
  <c r="N387" i="6"/>
  <c r="N485" i="6"/>
  <c r="I600" i="6"/>
  <c r="M600" i="6" s="1"/>
  <c r="I637" i="6"/>
  <c r="M637" i="6" s="1"/>
  <c r="N783" i="6"/>
  <c r="N545" i="6"/>
  <c r="L253" i="6"/>
  <c r="N253" i="6"/>
  <c r="I444" i="6"/>
  <c r="M444" i="6" s="1"/>
  <c r="K637" i="6"/>
  <c r="O637" i="6" s="1"/>
  <c r="K783" i="6"/>
  <c r="O783" i="6" s="1"/>
  <c r="K545" i="6"/>
  <c r="O545" i="6" s="1"/>
  <c r="L155" i="6"/>
  <c r="K155" i="6"/>
  <c r="O155" i="6" s="1"/>
  <c r="L316" i="6"/>
  <c r="K316" i="6"/>
  <c r="O316" i="6" s="1"/>
  <c r="K288" i="6"/>
  <c r="O288" i="6" s="1"/>
  <c r="K601" i="6"/>
  <c r="O601" i="6" s="1"/>
  <c r="L601" i="6"/>
  <c r="L458" i="6"/>
  <c r="K458" i="6"/>
  <c r="O458" i="6" s="1"/>
  <c r="L171" i="6"/>
  <c r="L444" i="6"/>
  <c r="L332" i="6"/>
  <c r="K702" i="6"/>
  <c r="O702" i="6" s="1"/>
  <c r="N702" i="6"/>
  <c r="L702" i="6"/>
  <c r="L399" i="6"/>
  <c r="L783" i="6"/>
  <c r="L87" i="6"/>
  <c r="I87" i="6"/>
  <c r="M87" i="6" s="1"/>
  <c r="K759" i="6"/>
  <c r="O759" i="6" s="1"/>
  <c r="I759" i="6"/>
  <c r="M759" i="6" s="1"/>
  <c r="N617" i="6"/>
  <c r="K617" i="6"/>
  <c r="O617" i="6" s="1"/>
  <c r="I617" i="6"/>
  <c r="M617" i="6" s="1"/>
  <c r="K332" i="6"/>
  <c r="O332" i="6" s="1"/>
  <c r="I399" i="6"/>
  <c r="M399" i="6" s="1"/>
  <c r="L759" i="6"/>
  <c r="K472" i="6"/>
  <c r="O472" i="6" s="1"/>
  <c r="L617" i="6"/>
  <c r="I718" i="6"/>
  <c r="M718" i="6" s="1"/>
  <c r="I544" i="6"/>
  <c r="M544" i="6" s="1"/>
  <c r="N371" i="6"/>
  <c r="L102" i="6"/>
  <c r="I102" i="6"/>
  <c r="M102" i="6" s="1"/>
  <c r="I103" i="6"/>
  <c r="M103" i="6" s="1"/>
  <c r="I371" i="6"/>
  <c r="M371" i="6" s="1"/>
  <c r="L67" i="6"/>
  <c r="I67" i="6"/>
  <c r="M67" i="6" s="1"/>
  <c r="L771" i="6"/>
  <c r="I615" i="6"/>
  <c r="M615" i="6" s="1"/>
  <c r="L615" i="6"/>
  <c r="L328" i="6"/>
  <c r="I328" i="6"/>
  <c r="M328" i="6" s="1"/>
  <c r="L784" i="6"/>
  <c r="I784" i="6"/>
  <c r="M784" i="6" s="1"/>
  <c r="K371" i="6"/>
  <c r="O371" i="6" s="1"/>
  <c r="I489" i="6"/>
  <c r="M489" i="6" s="1"/>
  <c r="K489" i="6"/>
  <c r="O489" i="6" s="1"/>
  <c r="N489" i="6"/>
  <c r="I83" i="6"/>
  <c r="M83" i="6" s="1"/>
  <c r="L590" i="6"/>
  <c r="I590" i="6"/>
  <c r="M590" i="6" s="1"/>
  <c r="I800" i="6"/>
  <c r="M800" i="6" s="1"/>
  <c r="N709" i="6"/>
  <c r="L709" i="6"/>
  <c r="K590" i="6"/>
  <c r="O590" i="6" s="1"/>
  <c r="K399" i="6"/>
  <c r="O399" i="6" s="1"/>
  <c r="L21" i="6"/>
  <c r="K21" i="6"/>
  <c r="O21" i="6" s="1"/>
  <c r="K773" i="6"/>
  <c r="O773" i="6" s="1"/>
  <c r="N773" i="6"/>
  <c r="L487" i="6"/>
  <c r="N487" i="6"/>
  <c r="I416" i="6"/>
  <c r="M416" i="6" s="1"/>
  <c r="K444" i="6"/>
  <c r="O444" i="6" s="1"/>
  <c r="K693" i="6"/>
  <c r="O693" i="6" s="1"/>
  <c r="L693" i="6"/>
  <c r="L773" i="6"/>
  <c r="I503" i="6"/>
  <c r="M503" i="6" s="1"/>
  <c r="N503" i="6"/>
  <c r="L381" i="6"/>
  <c r="K381" i="6"/>
  <c r="O381" i="6" s="1"/>
  <c r="L656" i="6"/>
  <c r="I656" i="6"/>
  <c r="M656" i="6" s="1"/>
  <c r="N171" i="6"/>
  <c r="I771" i="6"/>
  <c r="M771" i="6" s="1"/>
  <c r="K397" i="6"/>
  <c r="O397" i="6" s="1"/>
  <c r="I462" i="6"/>
  <c r="M462" i="6" s="1"/>
  <c r="I545" i="6"/>
  <c r="M545" i="6" s="1"/>
  <c r="I534" i="6"/>
  <c r="M534" i="6" s="1"/>
  <c r="N534" i="6"/>
  <c r="L802" i="6" l="1"/>
  <c r="O802" i="6"/>
  <c r="E7" i="7"/>
  <c r="E5" i="7"/>
  <c r="E8" i="7"/>
  <c r="E6" i="7"/>
  <c r="M802" i="6"/>
  <c r="N802" i="6"/>
</calcChain>
</file>

<file path=xl/sharedStrings.xml><?xml version="1.0" encoding="utf-8"?>
<sst xmlns="http://schemas.openxmlformats.org/spreadsheetml/2006/main" count="10592" uniqueCount="2451">
  <si>
    <t>Frecuencia</t>
  </si>
  <si>
    <t>Código de artículo</t>
  </si>
  <si>
    <t>Código Unificador</t>
  </si>
  <si>
    <t>Marca</t>
  </si>
  <si>
    <t>Categoria Principal</t>
  </si>
  <si>
    <t>RODAMIENTOS Y AFINES</t>
  </si>
  <si>
    <t>X</t>
  </si>
  <si>
    <t>Y</t>
  </si>
  <si>
    <t>TRANSMISION DE POTENCIA</t>
  </si>
  <si>
    <t>Z</t>
  </si>
  <si>
    <t>COMPONENTES Y ACCESORIOS</t>
  </si>
  <si>
    <t>CDR-000010001</t>
  </si>
  <si>
    <t>CDR-000010002</t>
  </si>
  <si>
    <t>CDR-000010003</t>
  </si>
  <si>
    <t>CDR-000010004</t>
  </si>
  <si>
    <t>CDR-000010005</t>
  </si>
  <si>
    <t>CDR-000010006</t>
  </si>
  <si>
    <t>CDR-000010007</t>
  </si>
  <si>
    <t>CDR-000010008</t>
  </si>
  <si>
    <t>CDR-000010009</t>
  </si>
  <si>
    <t>CDR-000010010</t>
  </si>
  <si>
    <t>CDR-000010011</t>
  </si>
  <si>
    <t>CDR-000010012</t>
  </si>
  <si>
    <t>CDR-000010013</t>
  </si>
  <si>
    <t>CDR-000010014</t>
  </si>
  <si>
    <t>CDR-000010015</t>
  </si>
  <si>
    <t>CDR-000010016</t>
  </si>
  <si>
    <t>CDR-000010017</t>
  </si>
  <si>
    <t>CDR-000010018</t>
  </si>
  <si>
    <t>CDR-000010019</t>
  </si>
  <si>
    <t>CDR-000010020</t>
  </si>
  <si>
    <t>CDR-000010021</t>
  </si>
  <si>
    <t>CDR-000010022</t>
  </si>
  <si>
    <t>CDR-000010023</t>
  </si>
  <si>
    <t>CDR-000010024</t>
  </si>
  <si>
    <t>CDR-000010025</t>
  </si>
  <si>
    <t>CDR-000010026</t>
  </si>
  <si>
    <t>CDR-000010027</t>
  </si>
  <si>
    <t>CDR-000010028</t>
  </si>
  <si>
    <t>CDR-000010029</t>
  </si>
  <si>
    <t>CDR-000010030</t>
  </si>
  <si>
    <t>CDR-000010031</t>
  </si>
  <si>
    <t>CDR-000010032</t>
  </si>
  <si>
    <t>CDR-000010033</t>
  </si>
  <si>
    <t>CDR-000010034</t>
  </si>
  <si>
    <t>CDR-000010035</t>
  </si>
  <si>
    <t>CDR-000010036</t>
  </si>
  <si>
    <t>CDR-000010037</t>
  </si>
  <si>
    <t>CDR-000010038</t>
  </si>
  <si>
    <t>CDR-000010039</t>
  </si>
  <si>
    <t>CDR-000010040</t>
  </si>
  <si>
    <t>CDR-000010041</t>
  </si>
  <si>
    <t>CDR-000010042</t>
  </si>
  <si>
    <t>CDR-000010043</t>
  </si>
  <si>
    <t>CDR-000010044</t>
  </si>
  <si>
    <t>CDR-000010045</t>
  </si>
  <si>
    <t>CDR-000010046</t>
  </si>
  <si>
    <t>CDR-000010047</t>
  </si>
  <si>
    <t>CDR-000010048</t>
  </si>
  <si>
    <t>CDR-000010049</t>
  </si>
  <si>
    <t>CDR-000010050</t>
  </si>
  <si>
    <t>CDR-000010051</t>
  </si>
  <si>
    <t>CDR-000010052</t>
  </si>
  <si>
    <t>CDR-000010053</t>
  </si>
  <si>
    <t>CDR-000010054</t>
  </si>
  <si>
    <t>CDR-000010055</t>
  </si>
  <si>
    <t>CDR-000010056</t>
  </si>
  <si>
    <t>CDR-000010057</t>
  </si>
  <si>
    <t>CDR-000010058</t>
  </si>
  <si>
    <t>CDR-000010059</t>
  </si>
  <si>
    <t>CDR-000010060</t>
  </si>
  <si>
    <t>CDR-000010061</t>
  </si>
  <si>
    <t>CDR-000010062</t>
  </si>
  <si>
    <t>CDR-000010063</t>
  </si>
  <si>
    <t>CDR-000010064</t>
  </si>
  <si>
    <t>CDR-000010065</t>
  </si>
  <si>
    <t>CDR-000010066</t>
  </si>
  <si>
    <t>CDR-000010067</t>
  </si>
  <si>
    <t>CDR-000010068</t>
  </si>
  <si>
    <t>CDR-000010069</t>
  </si>
  <si>
    <t>CDR-000010070</t>
  </si>
  <si>
    <t>CDR-000010071</t>
  </si>
  <si>
    <t>CDR-000010072</t>
  </si>
  <si>
    <t>CDR-000010073</t>
  </si>
  <si>
    <t>CDR-000010074</t>
  </si>
  <si>
    <t>CDR-000010075</t>
  </si>
  <si>
    <t>CDR-000010076</t>
  </si>
  <si>
    <t>CDR-000010077</t>
  </si>
  <si>
    <t>CDR-000010078</t>
  </si>
  <si>
    <t>CDR-000010079</t>
  </si>
  <si>
    <t>CDR-000010080</t>
  </si>
  <si>
    <t>CDR-000010081</t>
  </si>
  <si>
    <t>CDR-000010082</t>
  </si>
  <si>
    <t>CDR-000010083</t>
  </si>
  <si>
    <t>CDR-000010084</t>
  </si>
  <si>
    <t>CDR-000010085</t>
  </si>
  <si>
    <t>CDR-000010086</t>
  </si>
  <si>
    <t>CDR-000010087</t>
  </si>
  <si>
    <t>CDR-000010088</t>
  </si>
  <si>
    <t>CDR-000010089</t>
  </si>
  <si>
    <t>CDR-000010090</t>
  </si>
  <si>
    <t>CDR-000010091</t>
  </si>
  <si>
    <t>CDR-000010092</t>
  </si>
  <si>
    <t>CDR-000010093</t>
  </si>
  <si>
    <t>CDR-000010094</t>
  </si>
  <si>
    <t>CDR-000010095</t>
  </si>
  <si>
    <t>CDR-000010096</t>
  </si>
  <si>
    <t>CDR-000010097</t>
  </si>
  <si>
    <t>CDR-000010098</t>
  </si>
  <si>
    <t>CDR-000010099</t>
  </si>
  <si>
    <t>CDR-000010100</t>
  </si>
  <si>
    <t>CDR-000010101</t>
  </si>
  <si>
    <t>CDR-000010102</t>
  </si>
  <si>
    <t>CDR-000010103</t>
  </si>
  <si>
    <t>CDR-000010104</t>
  </si>
  <si>
    <t>CDR-000010105</t>
  </si>
  <si>
    <t>CDR-000010106</t>
  </si>
  <si>
    <t>CDR-000010107</t>
  </si>
  <si>
    <t>CDR-000010108</t>
  </si>
  <si>
    <t>CDR-000010109</t>
  </si>
  <si>
    <t>CDR-000010110</t>
  </si>
  <si>
    <t>CDR-000010111</t>
  </si>
  <si>
    <t>CDR-000010112</t>
  </si>
  <si>
    <t>CDR-000010113</t>
  </si>
  <si>
    <t>CDR-000010114</t>
  </si>
  <si>
    <t>CDR-000010115</t>
  </si>
  <si>
    <t>CDR-000010116</t>
  </si>
  <si>
    <t>CDR-000010117</t>
  </si>
  <si>
    <t>CDR-000010118</t>
  </si>
  <si>
    <t>CDR-000010119</t>
  </si>
  <si>
    <t>CDR-000010120</t>
  </si>
  <si>
    <t>CDR-000010121</t>
  </si>
  <si>
    <t>CDR-000010122</t>
  </si>
  <si>
    <t>CDR-000010123</t>
  </si>
  <si>
    <t>CDR-000010124</t>
  </si>
  <si>
    <t>CDR-000010125</t>
  </si>
  <si>
    <t>CDR-000010126</t>
  </si>
  <si>
    <t>CDR-000010127</t>
  </si>
  <si>
    <t>CDR-000010128</t>
  </si>
  <si>
    <t>CDR-000010129</t>
  </si>
  <si>
    <t>CDR-000010130</t>
  </si>
  <si>
    <t>CDR-000010131</t>
  </si>
  <si>
    <t>CDR-000010132</t>
  </si>
  <si>
    <t>CDR-000010133</t>
  </si>
  <si>
    <t>CDR-000010134</t>
  </si>
  <si>
    <t>CDR-000010135</t>
  </si>
  <si>
    <t>CDR-000010136</t>
  </si>
  <si>
    <t>CDR-000010137</t>
  </si>
  <si>
    <t>CDR-000010138</t>
  </si>
  <si>
    <t>CDR-000010139</t>
  </si>
  <si>
    <t>CDR-000010140</t>
  </si>
  <si>
    <t>CDR-000010141</t>
  </si>
  <si>
    <t>CDR-000010142</t>
  </si>
  <si>
    <t>CDR-000010143</t>
  </si>
  <si>
    <t>CDR-000010144</t>
  </si>
  <si>
    <t>CDR-000010145</t>
  </si>
  <si>
    <t>CDR-000010146</t>
  </si>
  <si>
    <t>CDR-000010147</t>
  </si>
  <si>
    <t>CDR-000010148</t>
  </si>
  <si>
    <t>CDR-000010149</t>
  </si>
  <si>
    <t>CDR-000010150</t>
  </si>
  <si>
    <t>CDR-000010151</t>
  </si>
  <si>
    <t>CDR-000010152</t>
  </si>
  <si>
    <t>CDR-000010153</t>
  </si>
  <si>
    <t>CDR-000010154</t>
  </si>
  <si>
    <t>CDR-000010155</t>
  </si>
  <si>
    <t>CDR-000010156</t>
  </si>
  <si>
    <t>CDR-000010157</t>
  </si>
  <si>
    <t>CDR-000010158</t>
  </si>
  <si>
    <t>CDR-000010159</t>
  </si>
  <si>
    <t>CDR-000010160</t>
  </si>
  <si>
    <t>CDR-000010161</t>
  </si>
  <si>
    <t>CDR-000010162</t>
  </si>
  <si>
    <t>CDR-000010163</t>
  </si>
  <si>
    <t>CDR-000010164</t>
  </si>
  <si>
    <t>CDR-000010165</t>
  </si>
  <si>
    <t>CDR-000010166</t>
  </si>
  <si>
    <t>CDR-000010167</t>
  </si>
  <si>
    <t>CDR-000010168</t>
  </si>
  <si>
    <t>CDR-000010169</t>
  </si>
  <si>
    <t>CDR-000010170</t>
  </si>
  <si>
    <t>CDR-000010171</t>
  </si>
  <si>
    <t>CDR-000010172</t>
  </si>
  <si>
    <t>CDR-000010173</t>
  </si>
  <si>
    <t>CDR-000010174</t>
  </si>
  <si>
    <t>CDR-000010175</t>
  </si>
  <si>
    <t>CDR-000010176</t>
  </si>
  <si>
    <t>CDR-000010177</t>
  </si>
  <si>
    <t>CDR-000010178</t>
  </si>
  <si>
    <t>CDR-000010179</t>
  </si>
  <si>
    <t>CDR-000010180</t>
  </si>
  <si>
    <t>CDR-000010181</t>
  </si>
  <si>
    <t>CDR-000010182</t>
  </si>
  <si>
    <t>CDR-000010183</t>
  </si>
  <si>
    <t>CDR-000010184</t>
  </si>
  <si>
    <t>CDR-000010185</t>
  </si>
  <si>
    <t>CDR-000010186</t>
  </si>
  <si>
    <t>CDR-000010187</t>
  </si>
  <si>
    <t>CDR-000010188</t>
  </si>
  <si>
    <t>CDR-000010189</t>
  </si>
  <si>
    <t>CDR-000010190</t>
  </si>
  <si>
    <t>CDR-000010191</t>
  </si>
  <si>
    <t>CDR-000010192</t>
  </si>
  <si>
    <t>CDR-000010193</t>
  </si>
  <si>
    <t>CDR-000010194</t>
  </si>
  <si>
    <t>CDR-000010195</t>
  </si>
  <si>
    <t>CDR-000010196</t>
  </si>
  <si>
    <t>CDR-000010197</t>
  </si>
  <si>
    <t>CDR-000010198</t>
  </si>
  <si>
    <t>CDR-000010199</t>
  </si>
  <si>
    <t>CDR-000010200</t>
  </si>
  <si>
    <t>CDR-000010201</t>
  </si>
  <si>
    <t>CDR-000010202</t>
  </si>
  <si>
    <t>CDR-000010203</t>
  </si>
  <si>
    <t>CDR-000010204</t>
  </si>
  <si>
    <t>CDR-000010205</t>
  </si>
  <si>
    <t>CDR-000010206</t>
  </si>
  <si>
    <t>CDR-000010207</t>
  </si>
  <si>
    <t>CDR-000010208</t>
  </si>
  <si>
    <t>CDR-000010209</t>
  </si>
  <si>
    <t>CDR-000010210</t>
  </si>
  <si>
    <t>CDR-000010211</t>
  </si>
  <si>
    <t>CDR-000010212</t>
  </si>
  <si>
    <t>CDR-000010213</t>
  </si>
  <si>
    <t>CDR-000010214</t>
  </si>
  <si>
    <t>CDR-000010215</t>
  </si>
  <si>
    <t>CDR-000010216</t>
  </si>
  <si>
    <t>CDR-000010217</t>
  </si>
  <si>
    <t>CDR-000010218</t>
  </si>
  <si>
    <t>CDR-000010219</t>
  </si>
  <si>
    <t>CDR-000010220</t>
  </si>
  <si>
    <t>CDR-000010221</t>
  </si>
  <si>
    <t>CDR-000010222</t>
  </si>
  <si>
    <t>CDR-000010223</t>
  </si>
  <si>
    <t>CDR-000010224</t>
  </si>
  <si>
    <t>CDR-000010225</t>
  </si>
  <si>
    <t>CDR-000010226</t>
  </si>
  <si>
    <t>CDR-000010227</t>
  </si>
  <si>
    <t>CDR-000010228</t>
  </si>
  <si>
    <t>CDR-000010229</t>
  </si>
  <si>
    <t>CDR-000010230</t>
  </si>
  <si>
    <t>CDR-000010231</t>
  </si>
  <si>
    <t>CDR-000010232</t>
  </si>
  <si>
    <t>CDR-000010233</t>
  </si>
  <si>
    <t>CDR-000010234</t>
  </si>
  <si>
    <t>CDR-000010235</t>
  </si>
  <si>
    <t>CDR-000010236</t>
  </si>
  <si>
    <t>CDR-000010237</t>
  </si>
  <si>
    <t>CDR-000010238</t>
  </si>
  <si>
    <t>CDR-000010239</t>
  </si>
  <si>
    <t>CDR-000010240</t>
  </si>
  <si>
    <t>CDR-000010241</t>
  </si>
  <si>
    <t>CDR-000010242</t>
  </si>
  <si>
    <t>CDR-000010243</t>
  </si>
  <si>
    <t>CDR-000010244</t>
  </si>
  <si>
    <t>CDR-000010245</t>
  </si>
  <si>
    <t>CDR-000010246</t>
  </si>
  <si>
    <t>CDR-000010247</t>
  </si>
  <si>
    <t>CDR-000010248</t>
  </si>
  <si>
    <t>CDR-000010249</t>
  </si>
  <si>
    <t>CDR-000010250</t>
  </si>
  <si>
    <t>CDR-000010251</t>
  </si>
  <si>
    <t>CDR-000010252</t>
  </si>
  <si>
    <t>CDR-000010253</t>
  </si>
  <si>
    <t>CDR-000010254</t>
  </si>
  <si>
    <t>CDR-000010255</t>
  </si>
  <si>
    <t>CDR-000010256</t>
  </si>
  <si>
    <t>CDR-000010257</t>
  </si>
  <si>
    <t>CDR-000010258</t>
  </si>
  <si>
    <t>CDR-000010259</t>
  </si>
  <si>
    <t>CDR-000010260</t>
  </si>
  <si>
    <t>CDR-000010261</t>
  </si>
  <si>
    <t>CDR-000010262</t>
  </si>
  <si>
    <t>CDR-000010263</t>
  </si>
  <si>
    <t>CDR-000010264</t>
  </si>
  <si>
    <t>CDR-000010265</t>
  </si>
  <si>
    <t>CDR-000010266</t>
  </si>
  <si>
    <t>CDR-000010267</t>
  </si>
  <si>
    <t>CDR-000010268</t>
  </si>
  <si>
    <t>CDR-000010269</t>
  </si>
  <si>
    <t>CDR-000010270</t>
  </si>
  <si>
    <t>CDR-000010271</t>
  </si>
  <si>
    <t>CDR-000010272</t>
  </si>
  <si>
    <t>CDR-000010273</t>
  </si>
  <si>
    <t>CDR-000010274</t>
  </si>
  <si>
    <t>CDR-000010275</t>
  </si>
  <si>
    <t>CDR-000010276</t>
  </si>
  <si>
    <t>CDR-000010277</t>
  </si>
  <si>
    <t>CDR-000010278</t>
  </si>
  <si>
    <t>CDR-000010279</t>
  </si>
  <si>
    <t>CDR-000010280</t>
  </si>
  <si>
    <t>CDR-000010281</t>
  </si>
  <si>
    <t>CDR-000010282</t>
  </si>
  <si>
    <t>CDR-000010283</t>
  </si>
  <si>
    <t>CDR-000010284</t>
  </si>
  <si>
    <t>CDR-000010285</t>
  </si>
  <si>
    <t>CDR-000010286</t>
  </si>
  <si>
    <t>CDR-000010287</t>
  </si>
  <si>
    <t>CDR-000010288</t>
  </si>
  <si>
    <t>CDR-000010289</t>
  </si>
  <si>
    <t>CDR-000010290</t>
  </si>
  <si>
    <t>CDR-000010291</t>
  </si>
  <si>
    <t>CDR-000010292</t>
  </si>
  <si>
    <t>CDR-000010293</t>
  </si>
  <si>
    <t>CDR-000010294</t>
  </si>
  <si>
    <t>CDR-000010295</t>
  </si>
  <si>
    <t>CDR-000010296</t>
  </si>
  <si>
    <t>CDR-000010297</t>
  </si>
  <si>
    <t>CDR-000010298</t>
  </si>
  <si>
    <t>CDR-000010299</t>
  </si>
  <si>
    <t>CDR-000010300</t>
  </si>
  <si>
    <t>CDR-000010301</t>
  </si>
  <si>
    <t>CDR-000010302</t>
  </si>
  <si>
    <t>CDR-000010303</t>
  </si>
  <si>
    <t>CDR-000010304</t>
  </si>
  <si>
    <t>CDR-000010305</t>
  </si>
  <si>
    <t>CDR-000010306</t>
  </si>
  <si>
    <t>CDR-000010307</t>
  </si>
  <si>
    <t>CDR-000010308</t>
  </si>
  <si>
    <t>CDR-000010309</t>
  </si>
  <si>
    <t>CDR-000010310</t>
  </si>
  <si>
    <t>CDR-000010311</t>
  </si>
  <si>
    <t>CDR-000010312</t>
  </si>
  <si>
    <t>CDR-000010313</t>
  </si>
  <si>
    <t>CDR-000010314</t>
  </si>
  <si>
    <t>CDR-000010315</t>
  </si>
  <si>
    <t>CDR-000010316</t>
  </si>
  <si>
    <t>CDR-000010317</t>
  </si>
  <si>
    <t>CDR-000010318</t>
  </si>
  <si>
    <t>CDR-000010319</t>
  </si>
  <si>
    <t>CDR-000010320</t>
  </si>
  <si>
    <t>CDR-000010321</t>
  </si>
  <si>
    <t>CDR-000010322</t>
  </si>
  <si>
    <t>CDR-000010323</t>
  </si>
  <si>
    <t>CDR-000010324</t>
  </si>
  <si>
    <t>CDR-000010325</t>
  </si>
  <si>
    <t>CDR-000010326</t>
  </si>
  <si>
    <t>CDR-000010327</t>
  </si>
  <si>
    <t>CDR-000010328</t>
  </si>
  <si>
    <t>CDR-000010329</t>
  </si>
  <si>
    <t>CDR-000010330</t>
  </si>
  <si>
    <t>CDR-000010331</t>
  </si>
  <si>
    <t>CDR-000010332</t>
  </si>
  <si>
    <t>CDR-000010333</t>
  </si>
  <si>
    <t>CDR-000010334</t>
  </si>
  <si>
    <t>CDR-000010335</t>
  </si>
  <si>
    <t>CDR-000010336</t>
  </si>
  <si>
    <t>CDR-000010337</t>
  </si>
  <si>
    <t>CDR-000010338</t>
  </si>
  <si>
    <t>CDR-000010339</t>
  </si>
  <si>
    <t>CDR-000010340</t>
  </si>
  <si>
    <t>CDR-000010341</t>
  </si>
  <si>
    <t>CDR-000010342</t>
  </si>
  <si>
    <t>CDR-000010343</t>
  </si>
  <si>
    <t>CDR-000010344</t>
  </si>
  <si>
    <t>CDR-000010345</t>
  </si>
  <si>
    <t>CDR-000010346</t>
  </si>
  <si>
    <t>CDR-000010347</t>
  </si>
  <si>
    <t>CDR-000010348</t>
  </si>
  <si>
    <t>CDR-000010349</t>
  </si>
  <si>
    <t>CDR-000010350</t>
  </si>
  <si>
    <t>CDR-000010351</t>
  </si>
  <si>
    <t>CDR-000010352</t>
  </si>
  <si>
    <t>CDR-000010353</t>
  </si>
  <si>
    <t>CDR-000010354</t>
  </si>
  <si>
    <t>CDR-000010355</t>
  </si>
  <si>
    <t>CDR-000010356</t>
  </si>
  <si>
    <t>CDR-000010357</t>
  </si>
  <si>
    <t>CDR-000010358</t>
  </si>
  <si>
    <t>CDR-000010359</t>
  </si>
  <si>
    <t>CDR-000010360</t>
  </si>
  <si>
    <t>CDR-000010361</t>
  </si>
  <si>
    <t>CDR-000010362</t>
  </si>
  <si>
    <t>CDR-000010363</t>
  </si>
  <si>
    <t>CDR-000010364</t>
  </si>
  <si>
    <t>CDR-000010365</t>
  </si>
  <si>
    <t>CDR-000010366</t>
  </si>
  <si>
    <t>CDR-000010367</t>
  </si>
  <si>
    <t>CDR-000010368</t>
  </si>
  <si>
    <t>CDR-000010369</t>
  </si>
  <si>
    <t>CDR-000010370</t>
  </si>
  <si>
    <t>CDR-000010371</t>
  </si>
  <si>
    <t>CDR-000010372</t>
  </si>
  <si>
    <t>CDR-000010373</t>
  </si>
  <si>
    <t>CDR-000010374</t>
  </si>
  <si>
    <t>CDR-000010375</t>
  </si>
  <si>
    <t>CDR-000010376</t>
  </si>
  <si>
    <t>CDR-000010377</t>
  </si>
  <si>
    <t>CDR-000010378</t>
  </si>
  <si>
    <t>CDR-000010379</t>
  </si>
  <si>
    <t>CDR-000010380</t>
  </si>
  <si>
    <t>CDR-000010381</t>
  </si>
  <si>
    <t>CDR-000010382</t>
  </si>
  <si>
    <t>CDR-000010383</t>
  </si>
  <si>
    <t>CDR-000010384</t>
  </si>
  <si>
    <t>CDR-000010385</t>
  </si>
  <si>
    <t>CDR-000010386</t>
  </si>
  <si>
    <t>CDR-000010387</t>
  </si>
  <si>
    <t>CDR-000010388</t>
  </si>
  <si>
    <t>CDR-000010389</t>
  </si>
  <si>
    <t>CDR-000010390</t>
  </si>
  <si>
    <t>CDR-000010391</t>
  </si>
  <si>
    <t>CDR-000010392</t>
  </si>
  <si>
    <t>CDR-000010393</t>
  </si>
  <si>
    <t>CDR-000010394</t>
  </si>
  <si>
    <t>CDR-000010395</t>
  </si>
  <si>
    <t>CDR-000010396</t>
  </si>
  <si>
    <t>CDR-000010397</t>
  </si>
  <si>
    <t>CDR-000010398</t>
  </si>
  <si>
    <t>CDR-000010399</t>
  </si>
  <si>
    <t>CDR-000010400</t>
  </si>
  <si>
    <t>CDR-000010401</t>
  </si>
  <si>
    <t>CDR-000010402</t>
  </si>
  <si>
    <t>CDR-000010403</t>
  </si>
  <si>
    <t>CDR-000010404</t>
  </si>
  <si>
    <t>CDR-000010405</t>
  </si>
  <si>
    <t>CDR-000010406</t>
  </si>
  <si>
    <t>CDR-000010407</t>
  </si>
  <si>
    <t>CDR-000010408</t>
  </si>
  <si>
    <t>CDR-000010409</t>
  </si>
  <si>
    <t>CDR-000010410</t>
  </si>
  <si>
    <t>CDR-000010411</t>
  </si>
  <si>
    <t>CDR-000010412</t>
  </si>
  <si>
    <t>CDR-000010413</t>
  </si>
  <si>
    <t>CDR-000010414</t>
  </si>
  <si>
    <t>CDR-000010415</t>
  </si>
  <si>
    <t>CDR-000010416</t>
  </si>
  <si>
    <t>CDR-000010417</t>
  </si>
  <si>
    <t>CDR-000010418</t>
  </si>
  <si>
    <t>CDR-000010419</t>
  </si>
  <si>
    <t>CDR-000010420</t>
  </si>
  <si>
    <t>CDR-000010421</t>
  </si>
  <si>
    <t>CDR-000010422</t>
  </si>
  <si>
    <t>CDR-000010423</t>
  </si>
  <si>
    <t>CDR-000010424</t>
  </si>
  <si>
    <t>CDR-000010425</t>
  </si>
  <si>
    <t>CDR-000010426</t>
  </si>
  <si>
    <t>CDR-000010427</t>
  </si>
  <si>
    <t>CDR-000010428</t>
  </si>
  <si>
    <t>CDR-000010429</t>
  </si>
  <si>
    <t>CDR-000010430</t>
  </si>
  <si>
    <t>CDR-000010431</t>
  </si>
  <si>
    <t>CDR-000010432</t>
  </si>
  <si>
    <t>CDR-000010433</t>
  </si>
  <si>
    <t>CDR-000010434</t>
  </si>
  <si>
    <t>CDR-000010435</t>
  </si>
  <si>
    <t>CDR-000010436</t>
  </si>
  <si>
    <t>CDR-000010437</t>
  </si>
  <si>
    <t>CDR-000010438</t>
  </si>
  <si>
    <t>CDR-000010439</t>
  </si>
  <si>
    <t>CDR-000010440</t>
  </si>
  <si>
    <t>CDR-000010441</t>
  </si>
  <si>
    <t>CDR-000010442</t>
  </si>
  <si>
    <t>CDR-000010443</t>
  </si>
  <si>
    <t>CDR-000010444</t>
  </si>
  <si>
    <t>CDR-000010445</t>
  </si>
  <si>
    <t>CDR-000010446</t>
  </si>
  <si>
    <t>CDR-000010447</t>
  </si>
  <si>
    <t>CDR-000010448</t>
  </si>
  <si>
    <t>CDR-000010449</t>
  </si>
  <si>
    <t>CDR-000010450</t>
  </si>
  <si>
    <t>CDR-000010451</t>
  </si>
  <si>
    <t>CDR-000010452</t>
  </si>
  <si>
    <t>CDR-000010453</t>
  </si>
  <si>
    <t>CDR-000010454</t>
  </si>
  <si>
    <t>CDR-000010455</t>
  </si>
  <si>
    <t>CDR-000010456</t>
  </si>
  <si>
    <t>CDR-000010457</t>
  </si>
  <si>
    <t>CDR-000010458</t>
  </si>
  <si>
    <t>CDR-000010459</t>
  </si>
  <si>
    <t>CDR-000010460</t>
  </si>
  <si>
    <t>CDR-000010461</t>
  </si>
  <si>
    <t>CDR-000010462</t>
  </si>
  <si>
    <t>CDR-000010463</t>
  </si>
  <si>
    <t>CDR-000010464</t>
  </si>
  <si>
    <t>CDR-000010465</t>
  </si>
  <si>
    <t>CDR-000010466</t>
  </si>
  <si>
    <t>CDR-000010467</t>
  </si>
  <si>
    <t>CDR-000010468</t>
  </si>
  <si>
    <t>CDR-000010469</t>
  </si>
  <si>
    <t>CDR-000010470</t>
  </si>
  <si>
    <t>CDR-000010471</t>
  </si>
  <si>
    <t>CDR-000010472</t>
  </si>
  <si>
    <t>CDR-000010473</t>
  </si>
  <si>
    <t>CDR-000010474</t>
  </si>
  <si>
    <t>CDR-000010475</t>
  </si>
  <si>
    <t>CDR-000010476</t>
  </si>
  <si>
    <t>CDR-000010477</t>
  </si>
  <si>
    <t>CDR-000010478</t>
  </si>
  <si>
    <t>CDR-000010479</t>
  </si>
  <si>
    <t>CDR-000010480</t>
  </si>
  <si>
    <t>CDR-000010481</t>
  </si>
  <si>
    <t>CDR-000010482</t>
  </si>
  <si>
    <t>CDR-000010483</t>
  </si>
  <si>
    <t>CDR-000010484</t>
  </si>
  <si>
    <t>CDR-000010485</t>
  </si>
  <si>
    <t>CDR-000010486</t>
  </si>
  <si>
    <t>CDR-000010487</t>
  </si>
  <si>
    <t>CDR-000010488</t>
  </si>
  <si>
    <t>CDR-000010489</t>
  </si>
  <si>
    <t>CDR-000010490</t>
  </si>
  <si>
    <t>CDR-000010491</t>
  </si>
  <si>
    <t>CDR-000010492</t>
  </si>
  <si>
    <t>CDR-000010493</t>
  </si>
  <si>
    <t>CDR-000010494</t>
  </si>
  <si>
    <t>CDR-000010495</t>
  </si>
  <si>
    <t>CDR-000010496</t>
  </si>
  <si>
    <t>CDR-000010497</t>
  </si>
  <si>
    <t>CDR-000010498</t>
  </si>
  <si>
    <t>CDR-000010499</t>
  </si>
  <si>
    <t>CDR-000010500</t>
  </si>
  <si>
    <t>CDR-000010501</t>
  </si>
  <si>
    <t>CDR-000010502</t>
  </si>
  <si>
    <t>CDR-000010503</t>
  </si>
  <si>
    <t>CDR-000010504</t>
  </si>
  <si>
    <t>CDR-000010505</t>
  </si>
  <si>
    <t>CDR-000010506</t>
  </si>
  <si>
    <t>CDR-000010507</t>
  </si>
  <si>
    <t>CDR-000010508</t>
  </si>
  <si>
    <t>CDR-000010509</t>
  </si>
  <si>
    <t>CDR-000010510</t>
  </si>
  <si>
    <t>CDR-000010511</t>
  </si>
  <si>
    <t>CDR-000010512</t>
  </si>
  <si>
    <t>CDR-000010513</t>
  </si>
  <si>
    <t>CDR-000010514</t>
  </si>
  <si>
    <t>CDR-000010515</t>
  </si>
  <si>
    <t>CDR-000010516</t>
  </si>
  <si>
    <t>CDR-000010517</t>
  </si>
  <si>
    <t>CDR-000010518</t>
  </si>
  <si>
    <t>CDR-000010519</t>
  </si>
  <si>
    <t>CDR-000010520</t>
  </si>
  <si>
    <t>CDR-000010521</t>
  </si>
  <si>
    <t>CDR-000010522</t>
  </si>
  <si>
    <t>CDR-000010523</t>
  </si>
  <si>
    <t>CDR-000010524</t>
  </si>
  <si>
    <t>CDR-000010525</t>
  </si>
  <si>
    <t>CDR-000010526</t>
  </si>
  <si>
    <t>CDR-000010527</t>
  </si>
  <si>
    <t>CDR-000010528</t>
  </si>
  <si>
    <t>CDR-000010529</t>
  </si>
  <si>
    <t>CDR-000010530</t>
  </si>
  <si>
    <t>CDR-000010531</t>
  </si>
  <si>
    <t>CDR-000010532</t>
  </si>
  <si>
    <t>CDR-000010533</t>
  </si>
  <si>
    <t>CDR-000010534</t>
  </si>
  <si>
    <t>CDR-000010535</t>
  </si>
  <si>
    <t>CDR-000010536</t>
  </si>
  <si>
    <t>CDR-000010537</t>
  </si>
  <si>
    <t>CDR-000010538</t>
  </si>
  <si>
    <t>CDR-000010539</t>
  </si>
  <si>
    <t>CDR-000010540</t>
  </si>
  <si>
    <t>CDR-000010541</t>
  </si>
  <si>
    <t>CDR-000010542</t>
  </si>
  <si>
    <t>CDR-000010543</t>
  </si>
  <si>
    <t>CDR-000010544</t>
  </si>
  <si>
    <t>CDR-000010545</t>
  </si>
  <si>
    <t>CDR-000010546</t>
  </si>
  <si>
    <t>CDR-000010547</t>
  </si>
  <si>
    <t>CDR-000010548</t>
  </si>
  <si>
    <t>CDR-000010549</t>
  </si>
  <si>
    <t>CDR-000010550</t>
  </si>
  <si>
    <t>CDR-000010551</t>
  </si>
  <si>
    <t>CDR-000010552</t>
  </si>
  <si>
    <t>CDR-000010553</t>
  </si>
  <si>
    <t>CDR-000010554</t>
  </si>
  <si>
    <t>CDR-000010555</t>
  </si>
  <si>
    <t>CDR-000010556</t>
  </si>
  <si>
    <t>CDR-000010557</t>
  </si>
  <si>
    <t>CDR-000010558</t>
  </si>
  <si>
    <t>CDR-000010559</t>
  </si>
  <si>
    <t>CDR-000010560</t>
  </si>
  <si>
    <t>CDR-000010561</t>
  </si>
  <si>
    <t>CDR-000010562</t>
  </si>
  <si>
    <t>CDR-000010563</t>
  </si>
  <si>
    <t>CDR-000010564</t>
  </si>
  <si>
    <t>CDR-000010565</t>
  </si>
  <si>
    <t>CDR-000010566</t>
  </si>
  <si>
    <t>CDR-000010567</t>
  </si>
  <si>
    <t>CDR-000010568</t>
  </si>
  <si>
    <t>CDR-000010569</t>
  </si>
  <si>
    <t>CDR-000010570</t>
  </si>
  <si>
    <t>CDR-000010571</t>
  </si>
  <si>
    <t>CDR-000010572</t>
  </si>
  <si>
    <t>CDR-000010573</t>
  </si>
  <si>
    <t>CDR-000010574</t>
  </si>
  <si>
    <t>CDR-000010575</t>
  </si>
  <si>
    <t>CDR-000010576</t>
  </si>
  <si>
    <t>CDR-000010577</t>
  </si>
  <si>
    <t>CDR-000010578</t>
  </si>
  <si>
    <t>CDR-000010579</t>
  </si>
  <si>
    <t>CDR-000010580</t>
  </si>
  <si>
    <t>CDR-000010581</t>
  </si>
  <si>
    <t>CDR-000010582</t>
  </si>
  <si>
    <t>CDR-000010583</t>
  </si>
  <si>
    <t>CDR-000010584</t>
  </si>
  <si>
    <t>CDR-000010585</t>
  </si>
  <si>
    <t>CDR-000010586</t>
  </si>
  <si>
    <t>CDR-000010587</t>
  </si>
  <si>
    <t>CDR-000010588</t>
  </si>
  <si>
    <t>CDR-000010589</t>
  </si>
  <si>
    <t>CDR-000010590</t>
  </si>
  <si>
    <t>CDR-000010591</t>
  </si>
  <si>
    <t>CDR-000010592</t>
  </si>
  <si>
    <t>CDR-000010593</t>
  </si>
  <si>
    <t>CDR-000010594</t>
  </si>
  <si>
    <t>CDR-000010595</t>
  </si>
  <si>
    <t>CDR-000010596</t>
  </si>
  <si>
    <t>CDR-000010597</t>
  </si>
  <si>
    <t>CDR-000010598</t>
  </si>
  <si>
    <t>CDR-000010599</t>
  </si>
  <si>
    <t>CDR-000010600</t>
  </si>
  <si>
    <t>CDR-000010601</t>
  </si>
  <si>
    <t>CDR-000010602</t>
  </si>
  <si>
    <t>CDR-000010603</t>
  </si>
  <si>
    <t>CDR-000010604</t>
  </si>
  <si>
    <t>CDR-000010605</t>
  </si>
  <si>
    <t>CDR-000010606</t>
  </si>
  <si>
    <t>CDR-000010607</t>
  </si>
  <si>
    <t>CDR-000010608</t>
  </si>
  <si>
    <t>CDR-000010609</t>
  </si>
  <si>
    <t>CDR-000010610</t>
  </si>
  <si>
    <t>CDR-000010611</t>
  </si>
  <si>
    <t>CDR-000010612</t>
  </si>
  <si>
    <t>CDR-000010613</t>
  </si>
  <si>
    <t>CDR-000010614</t>
  </si>
  <si>
    <t>CDR-000010615</t>
  </si>
  <si>
    <t>CDR-000010616</t>
  </si>
  <si>
    <t>CDR-000010617</t>
  </si>
  <si>
    <t>CDR-000010618</t>
  </si>
  <si>
    <t>CDR-000010619</t>
  </si>
  <si>
    <t>CDR-000010620</t>
  </si>
  <si>
    <t>CDR-000010621</t>
  </si>
  <si>
    <t>CDR-000010622</t>
  </si>
  <si>
    <t>CDR-000010623</t>
  </si>
  <si>
    <t>CDR-000010624</t>
  </si>
  <si>
    <t>CDR-000010625</t>
  </si>
  <si>
    <t>CDR-000010626</t>
  </si>
  <si>
    <t>CDR-000010627</t>
  </si>
  <si>
    <t>CDR-000010628</t>
  </si>
  <si>
    <t>CDR-000010629</t>
  </si>
  <si>
    <t>CDR-000010630</t>
  </si>
  <si>
    <t>CDR-000010631</t>
  </si>
  <si>
    <t>CDR-000010632</t>
  </si>
  <si>
    <t>CDR-000010633</t>
  </si>
  <si>
    <t>CDR-000010634</t>
  </si>
  <si>
    <t>CDR-000010635</t>
  </si>
  <si>
    <t>CDR-000010636</t>
  </si>
  <si>
    <t>CDR-000010637</t>
  </si>
  <si>
    <t>CDR-000010638</t>
  </si>
  <si>
    <t>CDR-000010639</t>
  </si>
  <si>
    <t>CDR-000010640</t>
  </si>
  <si>
    <t>CDR-000010641</t>
  </si>
  <si>
    <t>CDR-000010642</t>
  </si>
  <si>
    <t>CDR-000010643</t>
  </si>
  <si>
    <t>CDR-000010644</t>
  </si>
  <si>
    <t>CDR-000010645</t>
  </si>
  <si>
    <t>CDR-000010646</t>
  </si>
  <si>
    <t>CDR-000010647</t>
  </si>
  <si>
    <t>CDR-000010648</t>
  </si>
  <si>
    <t>CDR-000010649</t>
  </si>
  <si>
    <t>CDR-000010650</t>
  </si>
  <si>
    <t>CDR-000010651</t>
  </si>
  <si>
    <t>CDR-000010652</t>
  </si>
  <si>
    <t>CDR-000010653</t>
  </si>
  <si>
    <t>CDR-000010654</t>
  </si>
  <si>
    <t>CDR-000010655</t>
  </si>
  <si>
    <t>CDR-000010656</t>
  </si>
  <si>
    <t>CDR-000010657</t>
  </si>
  <si>
    <t>CDR-000010658</t>
  </si>
  <si>
    <t>CDR-000010659</t>
  </si>
  <si>
    <t>CDR-000010660</t>
  </si>
  <si>
    <t>CDR-000010661</t>
  </si>
  <si>
    <t>CDR-000010662</t>
  </si>
  <si>
    <t>CDR-000010663</t>
  </si>
  <si>
    <t>CDR-000010664</t>
  </si>
  <si>
    <t>CDR-000010665</t>
  </si>
  <si>
    <t>CDR-000010666</t>
  </si>
  <si>
    <t>CDR-000010667</t>
  </si>
  <si>
    <t>CDR-000010668</t>
  </si>
  <si>
    <t>CDR-000010669</t>
  </si>
  <si>
    <t>CDR-000010670</t>
  </si>
  <si>
    <t>CDR-000010671</t>
  </si>
  <si>
    <t>CDR-000010672</t>
  </si>
  <si>
    <t>CDR-000010673</t>
  </si>
  <si>
    <t>CDR-000010674</t>
  </si>
  <si>
    <t>CDR-000010675</t>
  </si>
  <si>
    <t>CDR-000010676</t>
  </si>
  <si>
    <t>CDR-000010677</t>
  </si>
  <si>
    <t>CDR-000010678</t>
  </si>
  <si>
    <t>CDR-000010679</t>
  </si>
  <si>
    <t>CDR-000010680</t>
  </si>
  <si>
    <t>CDR-000010681</t>
  </si>
  <si>
    <t>CDR-000010682</t>
  </si>
  <si>
    <t>CDR-000010683</t>
  </si>
  <si>
    <t>CDR-000010684</t>
  </si>
  <si>
    <t>CDR-000010685</t>
  </si>
  <si>
    <t>CDR-000010686</t>
  </si>
  <si>
    <t>CDR-000010687</t>
  </si>
  <si>
    <t>CDR-000010688</t>
  </si>
  <si>
    <t>CDR-000010689</t>
  </si>
  <si>
    <t>CDR-000010690</t>
  </si>
  <si>
    <t>CDR-000010691</t>
  </si>
  <si>
    <t>CDR-000010692</t>
  </si>
  <si>
    <t>CDR-000010693</t>
  </si>
  <si>
    <t>CDR-000010694</t>
  </si>
  <si>
    <t>CDR-000010695</t>
  </si>
  <si>
    <t>CDR-000010696</t>
  </si>
  <si>
    <t>CDR-000010697</t>
  </si>
  <si>
    <t>CDR-000010698</t>
  </si>
  <si>
    <t>CDR-000010699</t>
  </si>
  <si>
    <t>CDR-000010700</t>
  </si>
  <si>
    <t>CDR-000010701</t>
  </si>
  <si>
    <t>CDR-000010702</t>
  </si>
  <si>
    <t>CDR-000010703</t>
  </si>
  <si>
    <t>CDR-000010704</t>
  </si>
  <si>
    <t>CDR-000010705</t>
  </si>
  <si>
    <t>CDR-000010706</t>
  </si>
  <si>
    <t>CDR-000010707</t>
  </si>
  <si>
    <t>CDR-000010708</t>
  </si>
  <si>
    <t>CDR-000010709</t>
  </si>
  <si>
    <t>CDR-000010710</t>
  </si>
  <si>
    <t>CDR-000010711</t>
  </si>
  <si>
    <t>CDR-000010712</t>
  </si>
  <si>
    <t>CDR-000010713</t>
  </si>
  <si>
    <t>CDR-000010714</t>
  </si>
  <si>
    <t>CDR-000010715</t>
  </si>
  <si>
    <t>CDR-000010716</t>
  </si>
  <si>
    <t>CDR-000010717</t>
  </si>
  <si>
    <t>CDR-000010718</t>
  </si>
  <si>
    <t>CDR-000010719</t>
  </si>
  <si>
    <t>CDR-000010720</t>
  </si>
  <si>
    <t>CDR-000010721</t>
  </si>
  <si>
    <t>CDR-000010722</t>
  </si>
  <si>
    <t>CDR-000010723</t>
  </si>
  <si>
    <t>CDR-000010724</t>
  </si>
  <si>
    <t>CDR-000010725</t>
  </si>
  <si>
    <t>CDR-000010726</t>
  </si>
  <si>
    <t>CDR-000010727</t>
  </si>
  <si>
    <t>CDR-000010728</t>
  </si>
  <si>
    <t>CDR-000010729</t>
  </si>
  <si>
    <t>CDR-000010730</t>
  </si>
  <si>
    <t>CDR-000010731</t>
  </si>
  <si>
    <t>CDR-000010732</t>
  </si>
  <si>
    <t>CDR-000010733</t>
  </si>
  <si>
    <t>CDR-000010734</t>
  </si>
  <si>
    <t>CDR-000010735</t>
  </si>
  <si>
    <t>CDR-000010736</t>
  </si>
  <si>
    <t>CDR-000010737</t>
  </si>
  <si>
    <t>CDR-000010738</t>
  </si>
  <si>
    <t>CDR-000010739</t>
  </si>
  <si>
    <t>CDR-000010740</t>
  </si>
  <si>
    <t>CDR-000010741</t>
  </si>
  <si>
    <t>CDR-000010742</t>
  </si>
  <si>
    <t>CDR-000010743</t>
  </si>
  <si>
    <t>CDR-000010744</t>
  </si>
  <si>
    <t>CDR-000010745</t>
  </si>
  <si>
    <t>CDR-000010746</t>
  </si>
  <si>
    <t>CDR-000010747</t>
  </si>
  <si>
    <t>CDR-000010748</t>
  </si>
  <si>
    <t>CDR-000010749</t>
  </si>
  <si>
    <t>CDR-000010750</t>
  </si>
  <si>
    <t>CDR-000010751</t>
  </si>
  <si>
    <t>CDR-000010752</t>
  </si>
  <si>
    <t>CDR-000010753</t>
  </si>
  <si>
    <t>CDR-000010754</t>
  </si>
  <si>
    <t>CDR-000010755</t>
  </si>
  <si>
    <t>CDR-000010756</t>
  </si>
  <si>
    <t>CDR-000010757</t>
  </si>
  <si>
    <t>CDR-000010758</t>
  </si>
  <si>
    <t>CDR-000010759</t>
  </si>
  <si>
    <t>CDR-000010760</t>
  </si>
  <si>
    <t>CDR-000010761</t>
  </si>
  <si>
    <t>CDR-000010762</t>
  </si>
  <si>
    <t>CDR-000010763</t>
  </si>
  <si>
    <t>CDR-000010764</t>
  </si>
  <si>
    <t>CDR-000010765</t>
  </si>
  <si>
    <t>CDR-000010766</t>
  </si>
  <si>
    <t>CDR-000010767</t>
  </si>
  <si>
    <t>CDR-000010768</t>
  </si>
  <si>
    <t>CDR-000010769</t>
  </si>
  <si>
    <t>CDR-000010770</t>
  </si>
  <si>
    <t>CDR-000010771</t>
  </si>
  <si>
    <t>CDR-000010772</t>
  </si>
  <si>
    <t>CDR-000010773</t>
  </si>
  <si>
    <t>CDR-000010774</t>
  </si>
  <si>
    <t>CDR-000010775</t>
  </si>
  <si>
    <t>CDR-000010776</t>
  </si>
  <si>
    <t>CDR-000010777</t>
  </si>
  <si>
    <t>CDR-000010778</t>
  </si>
  <si>
    <t>CDR-000010779</t>
  </si>
  <si>
    <t>CDR-000010780</t>
  </si>
  <si>
    <t>CDR-000010781</t>
  </si>
  <si>
    <t>CDR-000010782</t>
  </si>
  <si>
    <t>CDR-000010783</t>
  </si>
  <si>
    <t>CDR-000010784</t>
  </si>
  <si>
    <t>CDR-000010785</t>
  </si>
  <si>
    <t>CDR-000010786</t>
  </si>
  <si>
    <t>CDR-000010787</t>
  </si>
  <si>
    <t>CDR-000010788</t>
  </si>
  <si>
    <t>CDR-000010789</t>
  </si>
  <si>
    <t>CDR-000010790</t>
  </si>
  <si>
    <t>CDR-000010791</t>
  </si>
  <si>
    <t>CDR-000010792</t>
  </si>
  <si>
    <t>CDR-000010793</t>
  </si>
  <si>
    <t>CDR-000010794</t>
  </si>
  <si>
    <t>CDR-000010795</t>
  </si>
  <si>
    <t>CDR-000010796</t>
  </si>
  <si>
    <t>CDR-000010797</t>
  </si>
  <si>
    <t>CDR-000010798</t>
  </si>
  <si>
    <t>CDR-000010799</t>
  </si>
  <si>
    <t>CDR-000010800</t>
  </si>
  <si>
    <t>CDR RODAMIENTOS</t>
  </si>
  <si>
    <t>PVP Competencia</t>
  </si>
  <si>
    <t>PrecioFábrica</t>
  </si>
  <si>
    <t>RD_0025689</t>
  </si>
  <si>
    <t>RD_0025690</t>
  </si>
  <si>
    <t>RD_0025691</t>
  </si>
  <si>
    <t>RD_0025692</t>
  </si>
  <si>
    <t>RD_0025693</t>
  </si>
  <si>
    <t>RD_0025694</t>
  </si>
  <si>
    <t>RD_0025695</t>
  </si>
  <si>
    <t>RD_0025696</t>
  </si>
  <si>
    <t>RD_0025697</t>
  </si>
  <si>
    <t>RD_0025698</t>
  </si>
  <si>
    <t>RD_0025699</t>
  </si>
  <si>
    <t>RD_0025700</t>
  </si>
  <si>
    <t>RD_0025701</t>
  </si>
  <si>
    <t>RD_0025702</t>
  </si>
  <si>
    <t>RD_0025703</t>
  </si>
  <si>
    <t>RD_0025704</t>
  </si>
  <si>
    <t>RD_0025705</t>
  </si>
  <si>
    <t>RD_0025706</t>
  </si>
  <si>
    <t>RD_0025707</t>
  </si>
  <si>
    <t>RD_0025708</t>
  </si>
  <si>
    <t>RD_0025709</t>
  </si>
  <si>
    <t>RD_0025710</t>
  </si>
  <si>
    <t>RD_0025711</t>
  </si>
  <si>
    <t>RD_0025712</t>
  </si>
  <si>
    <t>RD_0025713</t>
  </si>
  <si>
    <t>RD_0025714</t>
  </si>
  <si>
    <t>RD_0025715</t>
  </si>
  <si>
    <t>RD_0025716</t>
  </si>
  <si>
    <t>RD_0025717</t>
  </si>
  <si>
    <t>RD_0025718</t>
  </si>
  <si>
    <t>RD_0025719</t>
  </si>
  <si>
    <t>RD_0025720</t>
  </si>
  <si>
    <t>RD_0025721</t>
  </si>
  <si>
    <t>RD_0025722</t>
  </si>
  <si>
    <t>RD_0025723</t>
  </si>
  <si>
    <t>RD_0025724</t>
  </si>
  <si>
    <t>RD_0025725</t>
  </si>
  <si>
    <t>RD_0025726</t>
  </si>
  <si>
    <t>RD_0025727</t>
  </si>
  <si>
    <t>RD_0025728</t>
  </si>
  <si>
    <t>RD_0025729</t>
  </si>
  <si>
    <t>RD_0025730</t>
  </si>
  <si>
    <t>RD_0025731</t>
  </si>
  <si>
    <t>RD_0025732</t>
  </si>
  <si>
    <t>RD_0025733</t>
  </si>
  <si>
    <t>RD_0025734</t>
  </si>
  <si>
    <t>RD_0025735</t>
  </si>
  <si>
    <t>RD_0025736</t>
  </si>
  <si>
    <t>RD_0025737</t>
  </si>
  <si>
    <t>RD_0025738</t>
  </si>
  <si>
    <t>RD_0025739</t>
  </si>
  <si>
    <t>RD_0025740</t>
  </si>
  <si>
    <t>RD_0025741</t>
  </si>
  <si>
    <t>RD_0025742</t>
  </si>
  <si>
    <t>RD_0025743</t>
  </si>
  <si>
    <t>RD_0025744</t>
  </si>
  <si>
    <t>RD_0025745</t>
  </si>
  <si>
    <t>RD_0025747</t>
  </si>
  <si>
    <t>RD_0025748</t>
  </si>
  <si>
    <t>RD_0025749</t>
  </si>
  <si>
    <t>RD_0025750</t>
  </si>
  <si>
    <t>RD_0025751</t>
  </si>
  <si>
    <t>RD_0025752</t>
  </si>
  <si>
    <t>RD_0025753</t>
  </si>
  <si>
    <t>RD_0025754</t>
  </si>
  <si>
    <t>RD_0025755</t>
  </si>
  <si>
    <t>RD_0025756</t>
  </si>
  <si>
    <t>RD_0025757</t>
  </si>
  <si>
    <t>RD_0025758</t>
  </si>
  <si>
    <t>RD_0025759</t>
  </si>
  <si>
    <t>RD_0025760</t>
  </si>
  <si>
    <t>RD_0025761</t>
  </si>
  <si>
    <t>RD_0025762</t>
  </si>
  <si>
    <t>RD_0025763</t>
  </si>
  <si>
    <t>RD_0025764</t>
  </si>
  <si>
    <t>RD_0025765</t>
  </si>
  <si>
    <t>RD_0025766</t>
  </si>
  <si>
    <t>RD_0025767</t>
  </si>
  <si>
    <t>RD_0025768</t>
  </si>
  <si>
    <t>RD_0025769</t>
  </si>
  <si>
    <t>RD_0025770</t>
  </si>
  <si>
    <t>RD_0025771</t>
  </si>
  <si>
    <t>RD_0025772</t>
  </si>
  <si>
    <t>RD_0025773</t>
  </si>
  <si>
    <t>RD_0025774</t>
  </si>
  <si>
    <t>RD_0025775</t>
  </si>
  <si>
    <t>RD_0025776</t>
  </si>
  <si>
    <t>RD_0025777</t>
  </si>
  <si>
    <t>RD_0025778</t>
  </si>
  <si>
    <t>RD_0025779</t>
  </si>
  <si>
    <t>RD_0025780</t>
  </si>
  <si>
    <t>RD_0025781</t>
  </si>
  <si>
    <t>RD_0025782</t>
  </si>
  <si>
    <t>RD_0025783</t>
  </si>
  <si>
    <t>RD_0025784</t>
  </si>
  <si>
    <t>RD_0025785</t>
  </si>
  <si>
    <t>RD_0025786</t>
  </si>
  <si>
    <t>RD_0025787</t>
  </si>
  <si>
    <t>RD_0025788</t>
  </si>
  <si>
    <t>RD_0025789</t>
  </si>
  <si>
    <t>RD_0025790</t>
  </si>
  <si>
    <t>RD_0025791</t>
  </si>
  <si>
    <t>RD_0025792</t>
  </si>
  <si>
    <t>RD_0025793</t>
  </si>
  <si>
    <t>RD_0025794</t>
  </si>
  <si>
    <t>RD_0025795</t>
  </si>
  <si>
    <t>RD_0025796</t>
  </si>
  <si>
    <t>RD_0025797</t>
  </si>
  <si>
    <t>RD_0025798</t>
  </si>
  <si>
    <t>RD_0025799</t>
  </si>
  <si>
    <t>RD_0025800</t>
  </si>
  <si>
    <t>RD_0025801</t>
  </si>
  <si>
    <t>RD_0025802</t>
  </si>
  <si>
    <t>RD_0025803</t>
  </si>
  <si>
    <t>RD_0025804</t>
  </si>
  <si>
    <t>RD_0025805</t>
  </si>
  <si>
    <t>RD_0025806</t>
  </si>
  <si>
    <t>RD_0025807</t>
  </si>
  <si>
    <t>RD_0025808</t>
  </si>
  <si>
    <t>RD_0025809</t>
  </si>
  <si>
    <t>RD_0025810</t>
  </si>
  <si>
    <t>RD_0025811</t>
  </si>
  <si>
    <t>RD_0025812</t>
  </si>
  <si>
    <t>RD_0025813</t>
  </si>
  <si>
    <t>RD_0025814</t>
  </si>
  <si>
    <t>RD_0025815</t>
  </si>
  <si>
    <t>RD_0025816</t>
  </si>
  <si>
    <t>RD_0025817</t>
  </si>
  <si>
    <t>RD_0025818</t>
  </si>
  <si>
    <t>RD_0025819</t>
  </si>
  <si>
    <t>RD_0025820</t>
  </si>
  <si>
    <t>RD_0025821</t>
  </si>
  <si>
    <t>RD_0025822</t>
  </si>
  <si>
    <t>RD_0025823</t>
  </si>
  <si>
    <t>RD_0025824</t>
  </si>
  <si>
    <t>RD_0025825</t>
  </si>
  <si>
    <t>RD_0025826</t>
  </si>
  <si>
    <t>RD_0025827</t>
  </si>
  <si>
    <t>RD_0025828</t>
  </si>
  <si>
    <t>RD_0025829</t>
  </si>
  <si>
    <t>RD_0025830</t>
  </si>
  <si>
    <t>RD_0025831</t>
  </si>
  <si>
    <t>RD_0025832</t>
  </si>
  <si>
    <t>RD_0025833</t>
  </si>
  <si>
    <t>RD_0025834</t>
  </si>
  <si>
    <t>RD_0025835</t>
  </si>
  <si>
    <t>RD_0025836</t>
  </si>
  <si>
    <t>RD_0025837</t>
  </si>
  <si>
    <t>RD_0025838</t>
  </si>
  <si>
    <t>RD_0025839</t>
  </si>
  <si>
    <t>RD_0025840</t>
  </si>
  <si>
    <t>RD_0025841</t>
  </si>
  <si>
    <t>RD_0025842</t>
  </si>
  <si>
    <t>RD_0025843</t>
  </si>
  <si>
    <t>RD_0025844</t>
  </si>
  <si>
    <t>RD_0025845</t>
  </si>
  <si>
    <t>RD_0025846</t>
  </si>
  <si>
    <t>RD_0025847</t>
  </si>
  <si>
    <t>RD_0025848</t>
  </si>
  <si>
    <t>RD_0025849</t>
  </si>
  <si>
    <t>RD_0025850</t>
  </si>
  <si>
    <t>RD_0025851</t>
  </si>
  <si>
    <t>RD_0025852</t>
  </si>
  <si>
    <t>RD_0025853</t>
  </si>
  <si>
    <t>RD_0025854</t>
  </si>
  <si>
    <t>RD_0025855</t>
  </si>
  <si>
    <t>RD_0025856</t>
  </si>
  <si>
    <t>RD_0025857</t>
  </si>
  <si>
    <t>RD_0025858</t>
  </si>
  <si>
    <t>RD_0025859</t>
  </si>
  <si>
    <t>RD_0025860</t>
  </si>
  <si>
    <t>RD_0025861</t>
  </si>
  <si>
    <t>RD_0025862</t>
  </si>
  <si>
    <t>RD_0025863</t>
  </si>
  <si>
    <t>RD_0025864</t>
  </si>
  <si>
    <t>RD_0025865</t>
  </si>
  <si>
    <t>RD_0025866</t>
  </si>
  <si>
    <t>RD_0025867</t>
  </si>
  <si>
    <t>RD_0025868</t>
  </si>
  <si>
    <t>RD_0025869</t>
  </si>
  <si>
    <t>RD_0025870</t>
  </si>
  <si>
    <t>RD_0025871</t>
  </si>
  <si>
    <t>RD_0025872</t>
  </si>
  <si>
    <t>RD_0025873</t>
  </si>
  <si>
    <t>RD_0025874</t>
  </si>
  <si>
    <t>RD_0025875</t>
  </si>
  <si>
    <t>RD_0025876</t>
  </si>
  <si>
    <t>RD_0025877</t>
  </si>
  <si>
    <t>RD_0025878</t>
  </si>
  <si>
    <t>RD_0025879</t>
  </si>
  <si>
    <t>RD_0025880</t>
  </si>
  <si>
    <t>RD_0025881</t>
  </si>
  <si>
    <t>RD_0025882</t>
  </si>
  <si>
    <t>RD_0025883</t>
  </si>
  <si>
    <t>RD_0025884</t>
  </si>
  <si>
    <t>RD_0025885</t>
  </si>
  <si>
    <t>RD_0025886</t>
  </si>
  <si>
    <t>RD_0025887</t>
  </si>
  <si>
    <t>RD_0025888</t>
  </si>
  <si>
    <t>RD_0025889</t>
  </si>
  <si>
    <t>RD_0025890</t>
  </si>
  <si>
    <t>RD_0025891</t>
  </si>
  <si>
    <t>RD_0025892</t>
  </si>
  <si>
    <t>RD_0025893</t>
  </si>
  <si>
    <t>RD_0025894</t>
  </si>
  <si>
    <t>RD_0025895</t>
  </si>
  <si>
    <t>RD_0025896</t>
  </si>
  <si>
    <t>RD_0025897</t>
  </si>
  <si>
    <t>RD_0025898</t>
  </si>
  <si>
    <t>RD_0025899</t>
  </si>
  <si>
    <t>RD_0025900</t>
  </si>
  <si>
    <t>RD_0025901</t>
  </si>
  <si>
    <t>RD_0025902</t>
  </si>
  <si>
    <t>RD_0025903</t>
  </si>
  <si>
    <t>RD_0025904</t>
  </si>
  <si>
    <t>RD_0025905</t>
  </si>
  <si>
    <t>RD_0025906</t>
  </si>
  <si>
    <t>RD_0025907</t>
  </si>
  <si>
    <t>RD_0025908</t>
  </si>
  <si>
    <t>RD_0025909</t>
  </si>
  <si>
    <t>RD_0025910</t>
  </si>
  <si>
    <t>RD_0025911</t>
  </si>
  <si>
    <t>RD_0025912</t>
  </si>
  <si>
    <t>RD_0025913</t>
  </si>
  <si>
    <t>RD_0025914</t>
  </si>
  <si>
    <t>RD_0025915</t>
  </si>
  <si>
    <t>RD_0025916</t>
  </si>
  <si>
    <t>RD_0025917</t>
  </si>
  <si>
    <t>RD_0025918</t>
  </si>
  <si>
    <t>RD_0025919</t>
  </si>
  <si>
    <t>RD_0025920</t>
  </si>
  <si>
    <t>RD_0025921</t>
  </si>
  <si>
    <t>RD_0025922</t>
  </si>
  <si>
    <t>RD_0025923</t>
  </si>
  <si>
    <t>RD_0025924</t>
  </si>
  <si>
    <t>RD_0025925</t>
  </si>
  <si>
    <t>RD_0025926</t>
  </si>
  <si>
    <t>RD_0025927</t>
  </si>
  <si>
    <t>RD_0025928</t>
  </si>
  <si>
    <t>RD_0025929</t>
  </si>
  <si>
    <t>RD_0025930</t>
  </si>
  <si>
    <t>RD_0025931</t>
  </si>
  <si>
    <t>RD_0025932</t>
  </si>
  <si>
    <t>RD_0025933</t>
  </si>
  <si>
    <t>RD_0025934</t>
  </si>
  <si>
    <t>RD_0025935</t>
  </si>
  <si>
    <t>RD_0025936</t>
  </si>
  <si>
    <t>RD_0025937</t>
  </si>
  <si>
    <t>RD_0025938</t>
  </si>
  <si>
    <t>RD_0025939</t>
  </si>
  <si>
    <t>RD_0025940</t>
  </si>
  <si>
    <t>RD_0025941</t>
  </si>
  <si>
    <t>RD_0025942</t>
  </si>
  <si>
    <t>RD_0025943</t>
  </si>
  <si>
    <t>RD_0025944</t>
  </si>
  <si>
    <t>RD_0025945</t>
  </si>
  <si>
    <t>RD_0025946</t>
  </si>
  <si>
    <t>RD_0025947</t>
  </si>
  <si>
    <t>RD_0025948</t>
  </si>
  <si>
    <t>RD_0025949</t>
  </si>
  <si>
    <t>RD_0025950</t>
  </si>
  <si>
    <t>RD_0025951</t>
  </si>
  <si>
    <t>RD_0025952</t>
  </si>
  <si>
    <t>RD_0025953</t>
  </si>
  <si>
    <t>RD_0025954</t>
  </si>
  <si>
    <t>RD_0025955</t>
  </si>
  <si>
    <t>RD_0025956</t>
  </si>
  <si>
    <t>RD_0025957</t>
  </si>
  <si>
    <t>RD_0025958</t>
  </si>
  <si>
    <t>RD_0025959</t>
  </si>
  <si>
    <t>RD_0025960</t>
  </si>
  <si>
    <t>RD_0025961</t>
  </si>
  <si>
    <t>RD_0025962</t>
  </si>
  <si>
    <t>RD_0025963</t>
  </si>
  <si>
    <t>RD_0025964</t>
  </si>
  <si>
    <t>RD_0025965</t>
  </si>
  <si>
    <t>RD_0025966</t>
  </si>
  <si>
    <t>RD_0025967</t>
  </si>
  <si>
    <t>RD_0025968</t>
  </si>
  <si>
    <t>RD_0025969</t>
  </si>
  <si>
    <t>RD_0025970</t>
  </si>
  <si>
    <t>RD_0025971</t>
  </si>
  <si>
    <t>RD_0025972</t>
  </si>
  <si>
    <t>RD_0025973</t>
  </si>
  <si>
    <t>RD_0025974</t>
  </si>
  <si>
    <t>RD_0025975</t>
  </si>
  <si>
    <t>RD_0025976</t>
  </si>
  <si>
    <t>RD_0025977</t>
  </si>
  <si>
    <t>RD_0025978</t>
  </si>
  <si>
    <t>RD_0025979</t>
  </si>
  <si>
    <t>RD_0025980</t>
  </si>
  <si>
    <t>RD_0025981</t>
  </si>
  <si>
    <t>RD_0025982</t>
  </si>
  <si>
    <t>RD_0025983</t>
  </si>
  <si>
    <t>RD_0025984</t>
  </si>
  <si>
    <t>RD_0025985</t>
  </si>
  <si>
    <t>RD_0025986</t>
  </si>
  <si>
    <t>RD_0025987</t>
  </si>
  <si>
    <t>RD_0025988</t>
  </si>
  <si>
    <t>RD_0025989</t>
  </si>
  <si>
    <t>RD_0025990</t>
  </si>
  <si>
    <t>RD_0025991</t>
  </si>
  <si>
    <t>RD_0025992</t>
  </si>
  <si>
    <t>RD_0025993</t>
  </si>
  <si>
    <t>RD_0025994</t>
  </si>
  <si>
    <t>RD_0025995</t>
  </si>
  <si>
    <t>RD_0025996</t>
  </si>
  <si>
    <t>RD_0025997</t>
  </si>
  <si>
    <t>RD_0025998</t>
  </si>
  <si>
    <t>RD_0025999</t>
  </si>
  <si>
    <t>RD_0026000</t>
  </si>
  <si>
    <t>RD_0026001</t>
  </si>
  <si>
    <t>RD_0026002</t>
  </si>
  <si>
    <t>RD_0026003</t>
  </si>
  <si>
    <t>RD_0026004</t>
  </si>
  <si>
    <t>RD_0026005</t>
  </si>
  <si>
    <t>RD_0026006</t>
  </si>
  <si>
    <t>RD_0026007</t>
  </si>
  <si>
    <t>RD_0026008</t>
  </si>
  <si>
    <t>RD_0026009</t>
  </si>
  <si>
    <t>RD_0026010</t>
  </si>
  <si>
    <t>RD_0026011</t>
  </si>
  <si>
    <t>RD_0026012</t>
  </si>
  <si>
    <t>RD_0026013</t>
  </si>
  <si>
    <t>RD_0026014</t>
  </si>
  <si>
    <t>RD_0026015</t>
  </si>
  <si>
    <t>RD_0026016</t>
  </si>
  <si>
    <t>RD_0026017</t>
  </si>
  <si>
    <t>RD_0026018</t>
  </si>
  <si>
    <t>RD_0026019</t>
  </si>
  <si>
    <t>RD_0026020</t>
  </si>
  <si>
    <t>RD_0026021</t>
  </si>
  <si>
    <t>RD_0026022</t>
  </si>
  <si>
    <t>RD_0026023</t>
  </si>
  <si>
    <t>RD_0026024</t>
  </si>
  <si>
    <t>RD_0026025</t>
  </si>
  <si>
    <t>RD_0026026</t>
  </si>
  <si>
    <t>RD_0026027</t>
  </si>
  <si>
    <t>RD_0026028</t>
  </si>
  <si>
    <t>RD_0026029</t>
  </si>
  <si>
    <t>RD_0026030</t>
  </si>
  <si>
    <t>RD_0026031</t>
  </si>
  <si>
    <t>RD_0026032</t>
  </si>
  <si>
    <t>RD_0026033</t>
  </si>
  <si>
    <t>RD_0026034</t>
  </si>
  <si>
    <t>RD_0026035</t>
  </si>
  <si>
    <t>RD_0026036</t>
  </si>
  <si>
    <t>RD_0026037</t>
  </si>
  <si>
    <t>RD_0026038</t>
  </si>
  <si>
    <t>RD_0026039</t>
  </si>
  <si>
    <t>RD_0026040</t>
  </si>
  <si>
    <t>RD_0026041</t>
  </si>
  <si>
    <t>RD_0026042</t>
  </si>
  <si>
    <t>RD_0026043</t>
  </si>
  <si>
    <t>RD_0026044</t>
  </si>
  <si>
    <t>RD_0026045</t>
  </si>
  <si>
    <t>RD_0026046</t>
  </si>
  <si>
    <t>RD_0026047</t>
  </si>
  <si>
    <t>RD_0026048</t>
  </si>
  <si>
    <t>RD_0026049</t>
  </si>
  <si>
    <t>RD_0026050</t>
  </si>
  <si>
    <t>RD_0026051</t>
  </si>
  <si>
    <t>RD_0026052</t>
  </si>
  <si>
    <t>RD_0026053</t>
  </si>
  <si>
    <t>RD_0026054</t>
  </si>
  <si>
    <t>RD_0026055</t>
  </si>
  <si>
    <t>RD_0026056</t>
  </si>
  <si>
    <t>RD_0026057</t>
  </si>
  <si>
    <t>RD_0026058</t>
  </si>
  <si>
    <t>RD_0026059</t>
  </si>
  <si>
    <t>RD_0026060</t>
  </si>
  <si>
    <t>RD_0026061</t>
  </si>
  <si>
    <t>RD_0026062</t>
  </si>
  <si>
    <t>RD_0026063</t>
  </si>
  <si>
    <t>RD_0026064</t>
  </si>
  <si>
    <t>RD_0026065</t>
  </si>
  <si>
    <t>RD_0026066</t>
  </si>
  <si>
    <t>RD_0026067</t>
  </si>
  <si>
    <t>RD_0026068</t>
  </si>
  <si>
    <t>RD_0026069</t>
  </si>
  <si>
    <t>RD_0026070</t>
  </si>
  <si>
    <t>RD_0026071</t>
  </si>
  <si>
    <t>RD_0026072</t>
  </si>
  <si>
    <t>RD_0026073</t>
  </si>
  <si>
    <t>RD_0026074</t>
  </si>
  <si>
    <t>RD_0026075</t>
  </si>
  <si>
    <t>RD_0026076</t>
  </si>
  <si>
    <t>RD_0026077</t>
  </si>
  <si>
    <t>RD_0026078</t>
  </si>
  <si>
    <t>RD_0026079</t>
  </si>
  <si>
    <t>RD_0026080</t>
  </si>
  <si>
    <t>RD_0026081</t>
  </si>
  <si>
    <t>RD_0026082</t>
  </si>
  <si>
    <t>RD_0026083</t>
  </si>
  <si>
    <t>RD_0026084</t>
  </si>
  <si>
    <t>RD_0026085</t>
  </si>
  <si>
    <t>RD_0026086</t>
  </si>
  <si>
    <t>RD_0026087</t>
  </si>
  <si>
    <t>RD_0026088</t>
  </si>
  <si>
    <t>RD_0026089</t>
  </si>
  <si>
    <t>RD_0026090</t>
  </si>
  <si>
    <t>RD_0026091</t>
  </si>
  <si>
    <t>RD_0026092</t>
  </si>
  <si>
    <t>RD_0026093</t>
  </si>
  <si>
    <t>RD_0026094</t>
  </si>
  <si>
    <t>RD_0026095</t>
  </si>
  <si>
    <t>RD_0026096</t>
  </si>
  <si>
    <t>RD_0026097</t>
  </si>
  <si>
    <t>RD_0026098</t>
  </si>
  <si>
    <t>RD_0026099</t>
  </si>
  <si>
    <t>RD_0026100</t>
  </si>
  <si>
    <t>RD_0026101</t>
  </si>
  <si>
    <t>RD_0026102</t>
  </si>
  <si>
    <t>RD_0026103</t>
  </si>
  <si>
    <t>RD_0026104</t>
  </si>
  <si>
    <t>RD_0026105</t>
  </si>
  <si>
    <t>RD_0026106</t>
  </si>
  <si>
    <t>RD_0026107</t>
  </si>
  <si>
    <t>RD_0026108</t>
  </si>
  <si>
    <t>RD_0026109</t>
  </si>
  <si>
    <t>RD_0026110</t>
  </si>
  <si>
    <t>RD_0026111</t>
  </si>
  <si>
    <t>RD_0026112</t>
  </si>
  <si>
    <t>RD_0026113</t>
  </si>
  <si>
    <t>RD_0026114</t>
  </si>
  <si>
    <t>RD_0026115</t>
  </si>
  <si>
    <t>RD_0026116</t>
  </si>
  <si>
    <t>RD_0026117</t>
  </si>
  <si>
    <t>RD_0026118</t>
  </si>
  <si>
    <t>RD_0026119</t>
  </si>
  <si>
    <t>RD_0026120</t>
  </si>
  <si>
    <t>RD_0026121</t>
  </si>
  <si>
    <t>RD_0026122</t>
  </si>
  <si>
    <t>RD_0026123</t>
  </si>
  <si>
    <t>RD_0026124</t>
  </si>
  <si>
    <t>RD_0026125</t>
  </si>
  <si>
    <t>RD_0026126</t>
  </si>
  <si>
    <t>RD_0026127</t>
  </si>
  <si>
    <t>RD_0026128</t>
  </si>
  <si>
    <t>RD_0026129</t>
  </si>
  <si>
    <t>RD_0026130</t>
  </si>
  <si>
    <t>RD_0026131</t>
  </si>
  <si>
    <t>RD_0026132</t>
  </si>
  <si>
    <t>RD_0026133</t>
  </si>
  <si>
    <t>RD_0026134</t>
  </si>
  <si>
    <t>RD_0026135</t>
  </si>
  <si>
    <t>RD_0026136</t>
  </si>
  <si>
    <t>RD_0026137</t>
  </si>
  <si>
    <t>RD_0026138</t>
  </si>
  <si>
    <t>RD_0026139</t>
  </si>
  <si>
    <t>RD_0026140</t>
  </si>
  <si>
    <t>RD_0026141</t>
  </si>
  <si>
    <t>RD_0026142</t>
  </si>
  <si>
    <t>RD_0026143</t>
  </si>
  <si>
    <t>RD_0026144</t>
  </si>
  <si>
    <t>RD_0026145</t>
  </si>
  <si>
    <t>RD_0026146</t>
  </si>
  <si>
    <t>RD_0026147</t>
  </si>
  <si>
    <t>RD_0026148</t>
  </si>
  <si>
    <t>RD_0026149</t>
  </si>
  <si>
    <t>RD_0026150</t>
  </si>
  <si>
    <t>RD_0026151</t>
  </si>
  <si>
    <t>RD_0026152</t>
  </si>
  <si>
    <t>RD_0026153</t>
  </si>
  <si>
    <t>RD_0026154</t>
  </si>
  <si>
    <t>RD_0026155</t>
  </si>
  <si>
    <t>RD_0026156</t>
  </si>
  <si>
    <t>RD_0026157</t>
  </si>
  <si>
    <t>RD_0026158</t>
  </si>
  <si>
    <t>RD_0026159</t>
  </si>
  <si>
    <t>RD_0026160</t>
  </si>
  <si>
    <t>RD_0026161</t>
  </si>
  <si>
    <t>RD_0026162</t>
  </si>
  <si>
    <t>RD_0026163</t>
  </si>
  <si>
    <t>RD_0026164</t>
  </si>
  <si>
    <t>RD_0026165</t>
  </si>
  <si>
    <t>RD_0026166</t>
  </si>
  <si>
    <t>RD_0026167</t>
  </si>
  <si>
    <t>RD_0026168</t>
  </si>
  <si>
    <t>RD_0026169</t>
  </si>
  <si>
    <t>RD_0026170</t>
  </si>
  <si>
    <t>RD_0026171</t>
  </si>
  <si>
    <t>RD_0026172</t>
  </si>
  <si>
    <t>RD_0026173</t>
  </si>
  <si>
    <t>RD_0026174</t>
  </si>
  <si>
    <t>RD_0026175</t>
  </si>
  <si>
    <t>RD_0026176</t>
  </si>
  <si>
    <t>RD_0026177</t>
  </si>
  <si>
    <t>RD_0026178</t>
  </si>
  <si>
    <t>RD_0026179</t>
  </si>
  <si>
    <t>RD_0026180</t>
  </si>
  <si>
    <t>RD_0026181</t>
  </si>
  <si>
    <t>RD_0026182</t>
  </si>
  <si>
    <t>RD_0026183</t>
  </si>
  <si>
    <t>RD_0026184</t>
  </si>
  <si>
    <t>RD_0026185</t>
  </si>
  <si>
    <t>RD_0026186</t>
  </si>
  <si>
    <t>RD_0026187</t>
  </si>
  <si>
    <t>RD_0026188</t>
  </si>
  <si>
    <t>RD_0026189</t>
  </si>
  <si>
    <t>RD_0026190</t>
  </si>
  <si>
    <t>RD_0026191</t>
  </si>
  <si>
    <t>RD_0026192</t>
  </si>
  <si>
    <t>RD_0026193</t>
  </si>
  <si>
    <t>RD_0026194</t>
  </si>
  <si>
    <t>RD_0026195</t>
  </si>
  <si>
    <t>RD_0026196</t>
  </si>
  <si>
    <t>RD_0026197</t>
  </si>
  <si>
    <t>RD_0026198</t>
  </si>
  <si>
    <t>RD_0026199</t>
  </si>
  <si>
    <t>RD_0026200</t>
  </si>
  <si>
    <t>RD_0026201</t>
  </si>
  <si>
    <t>RD_0026202</t>
  </si>
  <si>
    <t>RD_0026203</t>
  </si>
  <si>
    <t>RD_0026204</t>
  </si>
  <si>
    <t>RD_0026205</t>
  </si>
  <si>
    <t>RD_0026206</t>
  </si>
  <si>
    <t>RD_0026207</t>
  </si>
  <si>
    <t>RD_0026208</t>
  </si>
  <si>
    <t>RD_0026209</t>
  </si>
  <si>
    <t>RD_0026210</t>
  </si>
  <si>
    <t>RD_0026211</t>
  </si>
  <si>
    <t>RD_0026212</t>
  </si>
  <si>
    <t>RD_0026213</t>
  </si>
  <si>
    <t>RD_0026214</t>
  </si>
  <si>
    <t>RD_0026215</t>
  </si>
  <si>
    <t>RD_0026216</t>
  </si>
  <si>
    <t>RD_0026217</t>
  </si>
  <si>
    <t>RD_0026218</t>
  </si>
  <si>
    <t>RD_0026219</t>
  </si>
  <si>
    <t>RD_0026220</t>
  </si>
  <si>
    <t>RD_0026221</t>
  </si>
  <si>
    <t>RD_0026222</t>
  </si>
  <si>
    <t>RD_0026223</t>
  </si>
  <si>
    <t>RD_0026224</t>
  </si>
  <si>
    <t>RD_0026225</t>
  </si>
  <si>
    <t>RD_0026226</t>
  </si>
  <si>
    <t>RD_0026227</t>
  </si>
  <si>
    <t>RD_0026228</t>
  </si>
  <si>
    <t>RD_0026229</t>
  </si>
  <si>
    <t>RD_0026230</t>
  </si>
  <si>
    <t>RD_0026231</t>
  </si>
  <si>
    <t>RD_0026232</t>
  </si>
  <si>
    <t>RD_0026233</t>
  </si>
  <si>
    <t>RD_0026234</t>
  </si>
  <si>
    <t>RD_0026235</t>
  </si>
  <si>
    <t>RD_0026236</t>
  </si>
  <si>
    <t>RD_0026237</t>
  </si>
  <si>
    <t>RD_0026238</t>
  </si>
  <si>
    <t>RD_0026239</t>
  </si>
  <si>
    <t>RD_0026240</t>
  </si>
  <si>
    <t>RD_0026241</t>
  </si>
  <si>
    <t>RD_0026242</t>
  </si>
  <si>
    <t>RD_0026243</t>
  </si>
  <si>
    <t>RD_0026244</t>
  </si>
  <si>
    <t>RD_0026245</t>
  </si>
  <si>
    <t>RD_0026246</t>
  </si>
  <si>
    <t>RD_0026247</t>
  </si>
  <si>
    <t>RD_0026248</t>
  </si>
  <si>
    <t>RD_0026249</t>
  </si>
  <si>
    <t>RD_0026250</t>
  </si>
  <si>
    <t>RD_0026251</t>
  </si>
  <si>
    <t>RD_0026252</t>
  </si>
  <si>
    <t>RD_0026253</t>
  </si>
  <si>
    <t>RD_0026254</t>
  </si>
  <si>
    <t>RD_0026255</t>
  </si>
  <si>
    <t>RD_0026256</t>
  </si>
  <si>
    <t>RD_0026257</t>
  </si>
  <si>
    <t>RD_0026258</t>
  </si>
  <si>
    <t>RD_0026259</t>
  </si>
  <si>
    <t>RD_0026260</t>
  </si>
  <si>
    <t>RD_0026261</t>
  </si>
  <si>
    <t>RD_0026262</t>
  </si>
  <si>
    <t>RD_0026263</t>
  </si>
  <si>
    <t>RD_0026264</t>
  </si>
  <si>
    <t>RD_0026265</t>
  </si>
  <si>
    <t>RD_0026266</t>
  </si>
  <si>
    <t>RD_0026267</t>
  </si>
  <si>
    <t>RD_0026268</t>
  </si>
  <si>
    <t>RD_0026269</t>
  </si>
  <si>
    <t>RD_0026270</t>
  </si>
  <si>
    <t>RD_0026271</t>
  </si>
  <si>
    <t>RD_0026272</t>
  </si>
  <si>
    <t>RD_0026273</t>
  </si>
  <si>
    <t>RD_0026274</t>
  </si>
  <si>
    <t>RD_0026275</t>
  </si>
  <si>
    <t>RD_0026276</t>
  </si>
  <si>
    <t>RD_0026277</t>
  </si>
  <si>
    <t>RD_0026278</t>
  </si>
  <si>
    <t>RD_0026279</t>
  </si>
  <si>
    <t>RD_0026280</t>
  </si>
  <si>
    <t>RD_0026281</t>
  </si>
  <si>
    <t>RD_0026282</t>
  </si>
  <si>
    <t>RD_0026283</t>
  </si>
  <si>
    <t>RD_0026284</t>
  </si>
  <si>
    <t>RD_0026285</t>
  </si>
  <si>
    <t>RD_0026286</t>
  </si>
  <si>
    <t>RD_0026287</t>
  </si>
  <si>
    <t>RD_0026288</t>
  </si>
  <si>
    <t>RD_0026289</t>
  </si>
  <si>
    <t>RD_0026290</t>
  </si>
  <si>
    <t>RD_0026291</t>
  </si>
  <si>
    <t>RD_0026292</t>
  </si>
  <si>
    <t>RD_0026293</t>
  </si>
  <si>
    <t>RD_0026294</t>
  </si>
  <si>
    <t>RD_0026295</t>
  </si>
  <si>
    <t>RD_0026296</t>
  </si>
  <si>
    <t>RD_0026297</t>
  </si>
  <si>
    <t>RD_0026298</t>
  </si>
  <si>
    <t>RD_0026299</t>
  </si>
  <si>
    <t>RD_0026300</t>
  </si>
  <si>
    <t>RD_0026301</t>
  </si>
  <si>
    <t>RD_0026302</t>
  </si>
  <si>
    <t>RD_0026303</t>
  </si>
  <si>
    <t>RD_0026304</t>
  </si>
  <si>
    <t>RD_0026305</t>
  </si>
  <si>
    <t>RD_0026306</t>
  </si>
  <si>
    <t>RD_0026307</t>
  </si>
  <si>
    <t>RD_0026308</t>
  </si>
  <si>
    <t>RD_0026309</t>
  </si>
  <si>
    <t>RD_0026310</t>
  </si>
  <si>
    <t>RD_0026311</t>
  </si>
  <si>
    <t>RD_0026312</t>
  </si>
  <si>
    <t>RD_0026313</t>
  </si>
  <si>
    <t>RD_0026314</t>
  </si>
  <si>
    <t>RD_0026315</t>
  </si>
  <si>
    <t>RD_0026316</t>
  </si>
  <si>
    <t>RD_0026317</t>
  </si>
  <si>
    <t>RD_0026318</t>
  </si>
  <si>
    <t>RD_0026319</t>
  </si>
  <si>
    <t>RD_0026320</t>
  </si>
  <si>
    <t>RD_0026321</t>
  </si>
  <si>
    <t>RD_0026322</t>
  </si>
  <si>
    <t>RD_0026323</t>
  </si>
  <si>
    <t>RD_0026324</t>
  </si>
  <si>
    <t>RD_0026325</t>
  </si>
  <si>
    <t>RD_0026326</t>
  </si>
  <si>
    <t>RD_0026327</t>
  </si>
  <si>
    <t>RD_0026328</t>
  </si>
  <si>
    <t>RD_0026329</t>
  </si>
  <si>
    <t>RD_0026330</t>
  </si>
  <si>
    <t>RD_0026331</t>
  </si>
  <si>
    <t>RD_0026332</t>
  </si>
  <si>
    <t>RD_0026333</t>
  </si>
  <si>
    <t>RD_0026334</t>
  </si>
  <si>
    <t>RD_0026335</t>
  </si>
  <si>
    <t>RD_0026336</t>
  </si>
  <si>
    <t>RD_0026337</t>
  </si>
  <si>
    <t>RD_0026338</t>
  </si>
  <si>
    <t>RD_0026339</t>
  </si>
  <si>
    <t>RD_0026340</t>
  </si>
  <si>
    <t>RD_0026341</t>
  </si>
  <si>
    <t>RD_0026342</t>
  </si>
  <si>
    <t>RD_0026343</t>
  </si>
  <si>
    <t>RD_0026344</t>
  </si>
  <si>
    <t>RD_0026345</t>
  </si>
  <si>
    <t>RD_0026346</t>
  </si>
  <si>
    <t>RD_0026347</t>
  </si>
  <si>
    <t>RD_0026348</t>
  </si>
  <si>
    <t>RD_0026349</t>
  </si>
  <si>
    <t>RD_0026350</t>
  </si>
  <si>
    <t>RD_0026351</t>
  </si>
  <si>
    <t>RD_0026352</t>
  </si>
  <si>
    <t>RD_0026353</t>
  </si>
  <si>
    <t>RD_0026354</t>
  </si>
  <si>
    <t>RD_0026355</t>
  </si>
  <si>
    <t>RD_0026356</t>
  </si>
  <si>
    <t>RD_0026357</t>
  </si>
  <si>
    <t>RD_0026358</t>
  </si>
  <si>
    <t>RD_0026359</t>
  </si>
  <si>
    <t>RD_0026360</t>
  </si>
  <si>
    <t>RD_0026361</t>
  </si>
  <si>
    <t>RD_0026362</t>
  </si>
  <si>
    <t>RD_0026363</t>
  </si>
  <si>
    <t>RD_0026364</t>
  </si>
  <si>
    <t>RD_0026365</t>
  </si>
  <si>
    <t>RD_0026366</t>
  </si>
  <si>
    <t>RD_0026367</t>
  </si>
  <si>
    <t>RD_0026368</t>
  </si>
  <si>
    <t>RD_0026369</t>
  </si>
  <si>
    <t>RD_0026370</t>
  </si>
  <si>
    <t>RD_0026371</t>
  </si>
  <si>
    <t>RD_0026372</t>
  </si>
  <si>
    <t>RD_0026373</t>
  </si>
  <si>
    <t>RD_0026374</t>
  </si>
  <si>
    <t>RD_0026375</t>
  </si>
  <si>
    <t>RD_0026376</t>
  </si>
  <si>
    <t>RD_0026377</t>
  </si>
  <si>
    <t>RD_0026378</t>
  </si>
  <si>
    <t>RD_0026379</t>
  </si>
  <si>
    <t>RD_0026380</t>
  </si>
  <si>
    <t>RD_0026381</t>
  </si>
  <si>
    <t>RD_0026382</t>
  </si>
  <si>
    <t>RD_0026383</t>
  </si>
  <si>
    <t>RD_0026384</t>
  </si>
  <si>
    <t>RD_0026385</t>
  </si>
  <si>
    <t>RD_0026386</t>
  </si>
  <si>
    <t>RD_0026387</t>
  </si>
  <si>
    <t>RD_0026388</t>
  </si>
  <si>
    <t>RD_0026389</t>
  </si>
  <si>
    <t>RD_0026390</t>
  </si>
  <si>
    <t>RD_0026391</t>
  </si>
  <si>
    <t>RD_0026392</t>
  </si>
  <si>
    <t>RD_0026393</t>
  </si>
  <si>
    <t>RD_0026394</t>
  </si>
  <si>
    <t>RD_0026395</t>
  </si>
  <si>
    <t>RD_0026396</t>
  </si>
  <si>
    <t>RD_0026397</t>
  </si>
  <si>
    <t>RD_0026398</t>
  </si>
  <si>
    <t>RD_0026399</t>
  </si>
  <si>
    <t>RD_0026400</t>
  </si>
  <si>
    <t>RD_0026401</t>
  </si>
  <si>
    <t>RD_0026402</t>
  </si>
  <si>
    <t>RD_0026403</t>
  </si>
  <si>
    <t>RD_0026404</t>
  </si>
  <si>
    <t>RD_0026405</t>
  </si>
  <si>
    <t>RD_0026406</t>
  </si>
  <si>
    <t>RD_0026407</t>
  </si>
  <si>
    <t>RD_0026408</t>
  </si>
  <si>
    <t>RD_0026409</t>
  </si>
  <si>
    <t>RD_0026410</t>
  </si>
  <si>
    <t>RD_0026411</t>
  </si>
  <si>
    <t>RD_0026412</t>
  </si>
  <si>
    <t>RD_0026413</t>
  </si>
  <si>
    <t>RD_0026414</t>
  </si>
  <si>
    <t>RD_0026415</t>
  </si>
  <si>
    <t>RD_0026416</t>
  </si>
  <si>
    <t>RD_0026417</t>
  </si>
  <si>
    <t>RD_0026418</t>
  </si>
  <si>
    <t>RD_0026419</t>
  </si>
  <si>
    <t>RD_0026420</t>
  </si>
  <si>
    <t>RD_0026421</t>
  </si>
  <si>
    <t>RD_0026422</t>
  </si>
  <si>
    <t>RD_0026423</t>
  </si>
  <si>
    <t>RD_0026424</t>
  </si>
  <si>
    <t>RD_0026425</t>
  </si>
  <si>
    <t>RD_0026426</t>
  </si>
  <si>
    <t>RD_0026427</t>
  </si>
  <si>
    <t>RD_0026428</t>
  </si>
  <si>
    <t>RD_0026429</t>
  </si>
  <si>
    <t>RD_0026430</t>
  </si>
  <si>
    <t>RD_0026431</t>
  </si>
  <si>
    <t>RD_0026432</t>
  </si>
  <si>
    <t>RD_0026433</t>
  </si>
  <si>
    <t>RD_0026434</t>
  </si>
  <si>
    <t>RD_0026435</t>
  </si>
  <si>
    <t>RD_0026436</t>
  </si>
  <si>
    <t>RD_0026437</t>
  </si>
  <si>
    <t>RD_0026438</t>
  </si>
  <si>
    <t>RD_0026439</t>
  </si>
  <si>
    <t>RD_0026440</t>
  </si>
  <si>
    <t>RD_0026441</t>
  </si>
  <si>
    <t>RD_0026442</t>
  </si>
  <si>
    <t>RD_0026443</t>
  </si>
  <si>
    <t>RD_0026444</t>
  </si>
  <si>
    <t>RD_0026445</t>
  </si>
  <si>
    <t>RD_0026446</t>
  </si>
  <si>
    <t>RD_0026447</t>
  </si>
  <si>
    <t>RD_0026448</t>
  </si>
  <si>
    <t>RD_0026449</t>
  </si>
  <si>
    <t>RD_0026450</t>
  </si>
  <si>
    <t>RD_0026451</t>
  </si>
  <si>
    <t>RD_0026452</t>
  </si>
  <si>
    <t>RD_0026453</t>
  </si>
  <si>
    <t>RD_0026454</t>
  </si>
  <si>
    <t>RD_0026455</t>
  </si>
  <si>
    <t>RD_0026456</t>
  </si>
  <si>
    <t>RD_0026457</t>
  </si>
  <si>
    <t>RD_0026458</t>
  </si>
  <si>
    <t>RD_0026459</t>
  </si>
  <si>
    <t>RD_0026460</t>
  </si>
  <si>
    <t>RD_0026461</t>
  </si>
  <si>
    <t>RD_0026462</t>
  </si>
  <si>
    <t>RD_0026463</t>
  </si>
  <si>
    <t>RD_0026464</t>
  </si>
  <si>
    <t>RD_0026465</t>
  </si>
  <si>
    <t>RD_0026466</t>
  </si>
  <si>
    <t>RD_0026467</t>
  </si>
  <si>
    <t>RD_0026468</t>
  </si>
  <si>
    <t>RD_0026469</t>
  </si>
  <si>
    <t>RD_0026470</t>
  </si>
  <si>
    <t>RD_0026471</t>
  </si>
  <si>
    <t>RD_0026472</t>
  </si>
  <si>
    <t>RD_0026473</t>
  </si>
  <si>
    <t>RD_0026474</t>
  </si>
  <si>
    <t>RD_0026475</t>
  </si>
  <si>
    <t>RD_0026476</t>
  </si>
  <si>
    <t>RD_0026477</t>
  </si>
  <si>
    <t>RD_0026478</t>
  </si>
  <si>
    <t>RD_0026479</t>
  </si>
  <si>
    <t>RD_0026480</t>
  </si>
  <si>
    <t>RD_0026482</t>
  </si>
  <si>
    <t>RD_0026483</t>
  </si>
  <si>
    <t>RD_0026484</t>
  </si>
  <si>
    <t>RD_0026485</t>
  </si>
  <si>
    <t>RD_0026487</t>
  </si>
  <si>
    <t>RD_0026488</t>
  </si>
  <si>
    <t>RD_X0025746</t>
  </si>
  <si>
    <t>RD_D0026481</t>
  </si>
  <si>
    <t>RD_X0026486</t>
  </si>
  <si>
    <t>HIV_2500101</t>
  </si>
  <si>
    <t>HIV_2500102</t>
  </si>
  <si>
    <t>HIV_2500103</t>
  </si>
  <si>
    <t>HIV_2500104</t>
  </si>
  <si>
    <t>HIV_2500105</t>
  </si>
  <si>
    <t>HIV_2500106</t>
  </si>
  <si>
    <t>HIV_2500107</t>
  </si>
  <si>
    <t>HIV_2500108</t>
  </si>
  <si>
    <t>HIV_2500109</t>
  </si>
  <si>
    <t>HIV_2500110</t>
  </si>
  <si>
    <t>HIV_2500111</t>
  </si>
  <si>
    <t>HIV_2500112</t>
  </si>
  <si>
    <t>HIV_2500113</t>
  </si>
  <si>
    <t>HIV_2500114</t>
  </si>
  <si>
    <t>HIV_2500115</t>
  </si>
  <si>
    <t>HIV_2500116</t>
  </si>
  <si>
    <t>HIV_2500117</t>
  </si>
  <si>
    <t>HIV_2500118</t>
  </si>
  <si>
    <t>HIV_2500119</t>
  </si>
  <si>
    <t>HIV_2500120</t>
  </si>
  <si>
    <t>HIV_2500121</t>
  </si>
  <si>
    <t>HIV_2500122</t>
  </si>
  <si>
    <t>HIV_2500123</t>
  </si>
  <si>
    <t>HIV_2500124</t>
  </si>
  <si>
    <t>HIV_2500125</t>
  </si>
  <si>
    <t>HIV_2500126</t>
  </si>
  <si>
    <t>HIV_2500127</t>
  </si>
  <si>
    <t>HIV_2500128</t>
  </si>
  <si>
    <t>HIV_2500129</t>
  </si>
  <si>
    <t>HIV_2500130</t>
  </si>
  <si>
    <t>HIV_2500131</t>
  </si>
  <si>
    <t>HIV_2500132</t>
  </si>
  <si>
    <t>HIV_2500133</t>
  </si>
  <si>
    <t>HIV_2500134</t>
  </si>
  <si>
    <t>HIV_2500135</t>
  </si>
  <si>
    <t>HIV_2500136</t>
  </si>
  <si>
    <t>HIV_2500137</t>
  </si>
  <si>
    <t>HIV_2500138</t>
  </si>
  <si>
    <t>HIV_2500139</t>
  </si>
  <si>
    <t>HIV_2500140</t>
  </si>
  <si>
    <t>HIV_2500141</t>
  </si>
  <si>
    <t>HIV_2500142</t>
  </si>
  <si>
    <t>HIV_2500143</t>
  </si>
  <si>
    <t>HIV_2500144</t>
  </si>
  <si>
    <t>HIV_2500145</t>
  </si>
  <si>
    <t>HIV_2500146</t>
  </si>
  <si>
    <t>HIV_2500147</t>
  </si>
  <si>
    <t>HIV_2500148</t>
  </si>
  <si>
    <t>HIV_2500149</t>
  </si>
  <si>
    <t>HIV_2500150</t>
  </si>
  <si>
    <t>HIV_2500151</t>
  </si>
  <si>
    <t>HIV_2500152</t>
  </si>
  <si>
    <t>HIV_2500153</t>
  </si>
  <si>
    <t>HIV_2500154</t>
  </si>
  <si>
    <t>HIV_2500155</t>
  </si>
  <si>
    <t>HIV_2500156</t>
  </si>
  <si>
    <t>HIV_2500157</t>
  </si>
  <si>
    <t>HIV_2500158</t>
  </si>
  <si>
    <t>HIV_2500159</t>
  </si>
  <si>
    <t>HIV_2500160</t>
  </si>
  <si>
    <t>HIV_2500161</t>
  </si>
  <si>
    <t>HIV_2500162</t>
  </si>
  <si>
    <t>HIV_2500163</t>
  </si>
  <si>
    <t>HIV_2500164</t>
  </si>
  <si>
    <t>HIV_2500165</t>
  </si>
  <si>
    <t>HIV_2500166</t>
  </si>
  <si>
    <t>HIV_2500167</t>
  </si>
  <si>
    <t>HIV_2500168</t>
  </si>
  <si>
    <t>HIV_2500169</t>
  </si>
  <si>
    <t>HIV_2500170</t>
  </si>
  <si>
    <t>HIV_2500171</t>
  </si>
  <si>
    <t>HIV_2500172</t>
  </si>
  <si>
    <t>HIV_2500173</t>
  </si>
  <si>
    <t>HIV_2500174</t>
  </si>
  <si>
    <t>HIV_2500175</t>
  </si>
  <si>
    <t>HIV_2500176</t>
  </si>
  <si>
    <t>HIV_2500177</t>
  </si>
  <si>
    <t>HIV_2500178</t>
  </si>
  <si>
    <t>HIV_2500179</t>
  </si>
  <si>
    <t>HIV_2500180</t>
  </si>
  <si>
    <t>HIV_2500181</t>
  </si>
  <si>
    <t>HIV_2500182</t>
  </si>
  <si>
    <t>HIV_2500183</t>
  </si>
  <si>
    <t>HIV_2500184</t>
  </si>
  <si>
    <t>HIV_2500185</t>
  </si>
  <si>
    <t>HIV_2500186</t>
  </si>
  <si>
    <t>HIV_2500187</t>
  </si>
  <si>
    <t>HIV_2500188</t>
  </si>
  <si>
    <t>HIV_2500189</t>
  </si>
  <si>
    <t>HIV_2500190</t>
  </si>
  <si>
    <t>HIV_2500191</t>
  </si>
  <si>
    <t>HIV_2500192</t>
  </si>
  <si>
    <t>HIV_2500193</t>
  </si>
  <si>
    <t>HIV_2500194</t>
  </si>
  <si>
    <t>HIV_2500195</t>
  </si>
  <si>
    <t>HIV_2500196</t>
  </si>
  <si>
    <t>HIV_2500197</t>
  </si>
  <si>
    <t>HIV_2500198</t>
  </si>
  <si>
    <t>HIV_2500199</t>
  </si>
  <si>
    <t>HIV_2500200</t>
  </si>
  <si>
    <t>HIV_2500201</t>
  </si>
  <si>
    <t>HIV_2500202</t>
  </si>
  <si>
    <t>HIV_2500203</t>
  </si>
  <si>
    <t>HIV_2500204</t>
  </si>
  <si>
    <t>HIV_2500205</t>
  </si>
  <si>
    <t>HIV_2500206</t>
  </si>
  <si>
    <t>HIV_2500207</t>
  </si>
  <si>
    <t>HIV_2500208</t>
  </si>
  <si>
    <t>HIV_2500209</t>
  </si>
  <si>
    <t>HIV_2500210</t>
  </si>
  <si>
    <t>HIV_2500211</t>
  </si>
  <si>
    <t>HIV_2500212</t>
  </si>
  <si>
    <t>HIV_2500213</t>
  </si>
  <si>
    <t>HIV_2500214</t>
  </si>
  <si>
    <t>HIV_2500215</t>
  </si>
  <si>
    <t>HIV_2500216</t>
  </si>
  <si>
    <t>HIV_2500217</t>
  </si>
  <si>
    <t>HIV_2500218</t>
  </si>
  <si>
    <t>HIV_2500219</t>
  </si>
  <si>
    <t>HIV_2500220</t>
  </si>
  <si>
    <t>HIV_2500221</t>
  </si>
  <si>
    <t>HIV_2500222</t>
  </si>
  <si>
    <t>HIV_2500223</t>
  </si>
  <si>
    <t>HIV_2500224</t>
  </si>
  <si>
    <t>HIV_2500225</t>
  </si>
  <si>
    <t>HIV_2500226</t>
  </si>
  <si>
    <t>HIV_2500227</t>
  </si>
  <si>
    <t>HIV_2500228</t>
  </si>
  <si>
    <t>HIV_2500229</t>
  </si>
  <si>
    <t>HIV_2500230</t>
  </si>
  <si>
    <t>HIV_2500231</t>
  </si>
  <si>
    <t>HIV_2500232</t>
  </si>
  <si>
    <t>HIV_2500233</t>
  </si>
  <si>
    <t>HIV_2500234</t>
  </si>
  <si>
    <t>HIV_2500235</t>
  </si>
  <si>
    <t>HIV_2500236</t>
  </si>
  <si>
    <t>HIV_2500237</t>
  </si>
  <si>
    <t>HIV_2500238</t>
  </si>
  <si>
    <t>HIV_2500239</t>
  </si>
  <si>
    <t>HIV_2500240</t>
  </si>
  <si>
    <t>HIV_2500241</t>
  </si>
  <si>
    <t>HIV_2500242</t>
  </si>
  <si>
    <t>HIV_2500243</t>
  </si>
  <si>
    <t>HIV_2500244</t>
  </si>
  <si>
    <t>HIV_2500245</t>
  </si>
  <si>
    <t>HIV_2500246</t>
  </si>
  <si>
    <t>HIV_2500247</t>
  </si>
  <si>
    <t>HIV_2500248</t>
  </si>
  <si>
    <t>HIV_2500249</t>
  </si>
  <si>
    <t>HIV_2500250</t>
  </si>
  <si>
    <t>HIV_2500251</t>
  </si>
  <si>
    <t>HIV_2500252</t>
  </si>
  <si>
    <t>HIV_2500253</t>
  </si>
  <si>
    <t>HIV_2500254</t>
  </si>
  <si>
    <t>HIV_2500255</t>
  </si>
  <si>
    <t>HIV_2500256</t>
  </si>
  <si>
    <t>HIV_2500257</t>
  </si>
  <si>
    <t>HIV_2500258</t>
  </si>
  <si>
    <t>HIV_2500259</t>
  </si>
  <si>
    <t>HIV_2500260</t>
  </si>
  <si>
    <t>HIV_2500261</t>
  </si>
  <si>
    <t>HIV_2500262</t>
  </si>
  <si>
    <t>HIV_2500263</t>
  </si>
  <si>
    <t>HIV_2500264</t>
  </si>
  <si>
    <t>HIV_2500265</t>
  </si>
  <si>
    <t>HIV_2500266</t>
  </si>
  <si>
    <t>HIV_2500267</t>
  </si>
  <si>
    <t>HIV_2500268</t>
  </si>
  <si>
    <t>HIV_2500269</t>
  </si>
  <si>
    <t>HIV_2500270</t>
  </si>
  <si>
    <t>HIV_2500271</t>
  </si>
  <si>
    <t>HIV_2500272</t>
  </si>
  <si>
    <t>HIV_2500273</t>
  </si>
  <si>
    <t>HIV_2500274</t>
  </si>
  <si>
    <t>HIV_2500275</t>
  </si>
  <si>
    <t>HIV_2500276</t>
  </si>
  <si>
    <t>HIV_2500277</t>
  </si>
  <si>
    <t>HIV_2500278</t>
  </si>
  <si>
    <t>HIV_2500279</t>
  </si>
  <si>
    <t>HIV_2500280</t>
  </si>
  <si>
    <t>HIV_2500281</t>
  </si>
  <si>
    <t>HIV_2500282</t>
  </si>
  <si>
    <t>HIV_2500283</t>
  </si>
  <si>
    <t>HIV_2500284</t>
  </si>
  <si>
    <t>HIV_2500285</t>
  </si>
  <si>
    <t>HIV_2500286</t>
  </si>
  <si>
    <t>HIV_2500287</t>
  </si>
  <si>
    <t>HIV_2500288</t>
  </si>
  <si>
    <t>HIV_2500289</t>
  </si>
  <si>
    <t>HIV_2500290</t>
  </si>
  <si>
    <t>HIV_2500291</t>
  </si>
  <si>
    <t>HIV_2500292</t>
  </si>
  <si>
    <t>HIV_2500293</t>
  </si>
  <si>
    <t>HIV_2500294</t>
  </si>
  <si>
    <t>HIV_2500295</t>
  </si>
  <si>
    <t>HIV_2500296</t>
  </si>
  <si>
    <t>HIV_2500297</t>
  </si>
  <si>
    <t>HIV_2500298</t>
  </si>
  <si>
    <t>HIV_2500299</t>
  </si>
  <si>
    <t>HIV_2500300</t>
  </si>
  <si>
    <t>HIV_2500301</t>
  </si>
  <si>
    <t>HIV_2500302</t>
  </si>
  <si>
    <t>HIV_2500303</t>
  </si>
  <si>
    <t>HIV_2500304</t>
  </si>
  <si>
    <t>HIV_2500305</t>
  </si>
  <si>
    <t>HIV_2500306</t>
  </si>
  <si>
    <t>HIV_2500307</t>
  </si>
  <si>
    <t>HIV_2500308</t>
  </si>
  <si>
    <t>HIV_2500309</t>
  </si>
  <si>
    <t>HIV_2500310</t>
  </si>
  <si>
    <t>HIV_2500311</t>
  </si>
  <si>
    <t>HIV_2500312</t>
  </si>
  <si>
    <t>HIV_2500313</t>
  </si>
  <si>
    <t>HIV_2500314</t>
  </si>
  <si>
    <t>HIV_2500315</t>
  </si>
  <si>
    <t>HIV_2500316</t>
  </si>
  <si>
    <t>HIV_2500317</t>
  </si>
  <si>
    <t>HIV_2500318</t>
  </si>
  <si>
    <t>HIV_2500319</t>
  </si>
  <si>
    <t>HIV_2500320</t>
  </si>
  <si>
    <t>HIV_2500321</t>
  </si>
  <si>
    <t>HIV_2500322</t>
  </si>
  <si>
    <t>HIV_2500323</t>
  </si>
  <si>
    <t>HIV_2500324</t>
  </si>
  <si>
    <t>HIV_2500325</t>
  </si>
  <si>
    <t>HIV_2500326</t>
  </si>
  <si>
    <t>HIV_2500327</t>
  </si>
  <si>
    <t>HIV_2500328</t>
  </si>
  <si>
    <t>HIV_2500329</t>
  </si>
  <si>
    <t>HIV_2500330</t>
  </si>
  <si>
    <t>HIV_2500331</t>
  </si>
  <si>
    <t>HIV_2500332</t>
  </si>
  <si>
    <t>HIV_2500333</t>
  </si>
  <si>
    <t>HIV_2500334</t>
  </si>
  <si>
    <t>HIV_2500335</t>
  </si>
  <si>
    <t>HIV_2500336</t>
  </si>
  <si>
    <t>HIV_2500337</t>
  </si>
  <si>
    <t>HIV_2500338</t>
  </si>
  <si>
    <t>HIV_2500339</t>
  </si>
  <si>
    <t>HIV_2500340</t>
  </si>
  <si>
    <t>HIV_2500341</t>
  </si>
  <si>
    <t>HIV_2500342</t>
  </si>
  <si>
    <t>HIV_2500343</t>
  </si>
  <si>
    <t>HIV_2500344</t>
  </si>
  <si>
    <t>HIV_2500345</t>
  </si>
  <si>
    <t>HIV_2500346</t>
  </si>
  <si>
    <t>HIV_2500347</t>
  </si>
  <si>
    <t>HIV_2500348</t>
  </si>
  <si>
    <t>HIV_2500349</t>
  </si>
  <si>
    <t>HIV_2500350</t>
  </si>
  <si>
    <t>HIV_2500351</t>
  </si>
  <si>
    <t>HIV_2500352</t>
  </si>
  <si>
    <t>HIV_2500353</t>
  </si>
  <si>
    <t>HIV_2500354</t>
  </si>
  <si>
    <t>HIV_2500355</t>
  </si>
  <si>
    <t>HIV_2500356</t>
  </si>
  <si>
    <t>HIV_2500357</t>
  </si>
  <si>
    <t>HIV_2500358</t>
  </si>
  <si>
    <t>HIV_2500359</t>
  </si>
  <si>
    <t>HIV_2500360</t>
  </si>
  <si>
    <t>HIV_2500361</t>
  </si>
  <si>
    <t>HIV_2500362</t>
  </si>
  <si>
    <t>HIV_2500363</t>
  </si>
  <si>
    <t>HIV_2500364</t>
  </si>
  <si>
    <t>HIV_2500365</t>
  </si>
  <si>
    <t>HIV_2500366</t>
  </si>
  <si>
    <t>HIV_2500367</t>
  </si>
  <si>
    <t>HIV_2500368</t>
  </si>
  <si>
    <t>HIV_2500369</t>
  </si>
  <si>
    <t>HIV_2500370</t>
  </si>
  <si>
    <t>HIV_2500371</t>
  </si>
  <si>
    <t>HIV_2500372</t>
  </si>
  <si>
    <t>HIV_2500373</t>
  </si>
  <si>
    <t>HIV_2500374</t>
  </si>
  <si>
    <t>HIV_2500375</t>
  </si>
  <si>
    <t>HIV_2500376</t>
  </si>
  <si>
    <t>HIV_2500377</t>
  </si>
  <si>
    <t>HIV_2500378</t>
  </si>
  <si>
    <t>HIV_2500379</t>
  </si>
  <si>
    <t>HIV_2500380</t>
  </si>
  <si>
    <t>HIV_2500381</t>
  </si>
  <si>
    <t>HIV_2500382</t>
  </si>
  <si>
    <t>HIV_2500383</t>
  </si>
  <si>
    <t>HIV_2500384</t>
  </si>
  <si>
    <t>HIV_2500385</t>
  </si>
  <si>
    <t>HIV_2500386</t>
  </si>
  <si>
    <t>HIV_2500387</t>
  </si>
  <si>
    <t>HIV_2500388</t>
  </si>
  <si>
    <t>HIV_2500389</t>
  </si>
  <si>
    <t>HIV_2500390</t>
  </si>
  <si>
    <t>HIV_2500391</t>
  </si>
  <si>
    <t>HIV_2500392</t>
  </si>
  <si>
    <t>HIV_2500393</t>
  </si>
  <si>
    <t>HIV_2500394</t>
  </si>
  <si>
    <t>HIV_2500395</t>
  </si>
  <si>
    <t>HIV_2500396</t>
  </si>
  <si>
    <t>HIV_2500397</t>
  </si>
  <si>
    <t>HIV_2500398</t>
  </si>
  <si>
    <t>HIV_2500399</t>
  </si>
  <si>
    <t>HIV_2500400</t>
  </si>
  <si>
    <t>HIV_2500401</t>
  </si>
  <si>
    <t>HIV_2500402</t>
  </si>
  <si>
    <t>HIV_2500403</t>
  </si>
  <si>
    <t>HIV_2500404</t>
  </si>
  <si>
    <t>HIV_2500405</t>
  </si>
  <si>
    <t>HIV_2500406</t>
  </si>
  <si>
    <t>HIV_2500407</t>
  </si>
  <si>
    <t>HIV_2500408</t>
  </si>
  <si>
    <t>HIV_2500409</t>
  </si>
  <si>
    <t>HIV_2500410</t>
  </si>
  <si>
    <t>HIV_2500411</t>
  </si>
  <si>
    <t>HIV_2500412</t>
  </si>
  <si>
    <t>HIV_2500413</t>
  </si>
  <si>
    <t>HIV_2500414</t>
  </si>
  <si>
    <t>HIV_2500415</t>
  </si>
  <si>
    <t>HIV_2500416</t>
  </si>
  <si>
    <t>HIV_2500417</t>
  </si>
  <si>
    <t>HIV_2500418</t>
  </si>
  <si>
    <t>HIV_2500419</t>
  </si>
  <si>
    <t>HIV_2500420</t>
  </si>
  <si>
    <t>HIV_2500421</t>
  </si>
  <si>
    <t>HIV_2500422</t>
  </si>
  <si>
    <t>HIV_2500423</t>
  </si>
  <si>
    <t>HIV_2500424</t>
  </si>
  <si>
    <t>HIV_2500425</t>
  </si>
  <si>
    <t>HIV_2500426</t>
  </si>
  <si>
    <t>HIV_2500427</t>
  </si>
  <si>
    <t>HIV_2500428</t>
  </si>
  <si>
    <t>HIV_2500429</t>
  </si>
  <si>
    <t>HIV_2500430</t>
  </si>
  <si>
    <t>HIV_2500431</t>
  </si>
  <si>
    <t>HIV_2500432</t>
  </si>
  <si>
    <t>HIV_2500433</t>
  </si>
  <si>
    <t>HIV_2500434</t>
  </si>
  <si>
    <t>HIV_2500435</t>
  </si>
  <si>
    <t>HIV_2500436</t>
  </si>
  <si>
    <t>HIV_2500437</t>
  </si>
  <si>
    <t>HIV_2500438</t>
  </si>
  <si>
    <t>HIV_2500439</t>
  </si>
  <si>
    <t>HIV_2500440</t>
  </si>
  <si>
    <t>HIV_2500441</t>
  </si>
  <si>
    <t>HIV_2500442</t>
  </si>
  <si>
    <t>HIV_2500443</t>
  </si>
  <si>
    <t>HIV_2500444</t>
  </si>
  <si>
    <t>HIV_2500445</t>
  </si>
  <si>
    <t>HIV_2500446</t>
  </si>
  <si>
    <t>HIV_2500447</t>
  </si>
  <si>
    <t>HIV_2500448</t>
  </si>
  <si>
    <t>HIV_2500449</t>
  </si>
  <si>
    <t>HIV_2500450</t>
  </si>
  <si>
    <t>HIV_2500451</t>
  </si>
  <si>
    <t>HIV_2500452</t>
  </si>
  <si>
    <t>HIV_2500453</t>
  </si>
  <si>
    <t>HIV_2500454</t>
  </si>
  <si>
    <t>HIV_2500455</t>
  </si>
  <si>
    <t>HIV_2500456</t>
  </si>
  <si>
    <t>HIV_2500457</t>
  </si>
  <si>
    <t>HIV_2500458</t>
  </si>
  <si>
    <t>HIV_2500459</t>
  </si>
  <si>
    <t>HIV_2500460</t>
  </si>
  <si>
    <t>HIV_2500461</t>
  </si>
  <si>
    <t>HIV_2500462</t>
  </si>
  <si>
    <t>HIV_2500463</t>
  </si>
  <si>
    <t>HIV_2500464</t>
  </si>
  <si>
    <t>HIV_2500465</t>
  </si>
  <si>
    <t>HIV_2500466</t>
  </si>
  <si>
    <t>HIV_2500467</t>
  </si>
  <si>
    <t>HIV_2500468</t>
  </si>
  <si>
    <t>HIV_2500469</t>
  </si>
  <si>
    <t>HIV_2500470</t>
  </si>
  <si>
    <t>HIV_2500471</t>
  </si>
  <si>
    <t>HIV_2500472</t>
  </si>
  <si>
    <t>HIV_2500473</t>
  </si>
  <si>
    <t>HIV_2500474</t>
  </si>
  <si>
    <t>HIV_2500475</t>
  </si>
  <si>
    <t>HIV_2500476</t>
  </si>
  <si>
    <t>HIV_2500477</t>
  </si>
  <si>
    <t>HIV_2500478</t>
  </si>
  <si>
    <t>HIV_2500479</t>
  </si>
  <si>
    <t>HIV_2500480</t>
  </si>
  <si>
    <t>HIV_2500481</t>
  </si>
  <si>
    <t>HIV_2500482</t>
  </si>
  <si>
    <t>HIV_2500483</t>
  </si>
  <si>
    <t>HIV_2500484</t>
  </si>
  <si>
    <t>HIV_2500485</t>
  </si>
  <si>
    <t>HIV_2500486</t>
  </si>
  <si>
    <t>HIV_2500487</t>
  </si>
  <si>
    <t>HIV_2500488</t>
  </si>
  <si>
    <t>HIV_2500489</t>
  </si>
  <si>
    <t>HIV_2500490</t>
  </si>
  <si>
    <t>HIV_2500491</t>
  </si>
  <si>
    <t>HIV_2500492</t>
  </si>
  <si>
    <t>HIV_2500493</t>
  </si>
  <si>
    <t>HIV_2500494</t>
  </si>
  <si>
    <t>HIV_2500495</t>
  </si>
  <si>
    <t>HIV_2500496</t>
  </si>
  <si>
    <t>HIV_2500497</t>
  </si>
  <si>
    <t>HIV_2500498</t>
  </si>
  <si>
    <t>HIV_2500499</t>
  </si>
  <si>
    <t>HIV_2500500</t>
  </si>
  <si>
    <t>HIV_2500501</t>
  </si>
  <si>
    <t>HIV_2500502</t>
  </si>
  <si>
    <t>HIV_2500503</t>
  </si>
  <si>
    <t>HIV_2500504</t>
  </si>
  <si>
    <t>HIV_2500505</t>
  </si>
  <si>
    <t>HIV_2500506</t>
  </si>
  <si>
    <t>HIV_2500507</t>
  </si>
  <si>
    <t>HIV_2500508</t>
  </si>
  <si>
    <t>HIV_2500509</t>
  </si>
  <si>
    <t>HIV_2500510</t>
  </si>
  <si>
    <t>HIV_2500511</t>
  </si>
  <si>
    <t>HIV_2500512</t>
  </si>
  <si>
    <t>HIV_2500513</t>
  </si>
  <si>
    <t>HIV_2500514</t>
  </si>
  <si>
    <t>HIV_2500515</t>
  </si>
  <si>
    <t>HIV_2500516</t>
  </si>
  <si>
    <t>HIV_2500517</t>
  </si>
  <si>
    <t>HIV_2500518</t>
  </si>
  <si>
    <t>HIV_2500519</t>
  </si>
  <si>
    <t>HIV_2500520</t>
  </si>
  <si>
    <t>HIV_2500521</t>
  </si>
  <si>
    <t>HIV_2500522</t>
  </si>
  <si>
    <t>HIV_2500523</t>
  </si>
  <si>
    <t>HIV_2500524</t>
  </si>
  <si>
    <t>HIV_2500525</t>
  </si>
  <si>
    <t>HIV_2500526</t>
  </si>
  <si>
    <t>HIV_2500527</t>
  </si>
  <si>
    <t>HIV_2500528</t>
  </si>
  <si>
    <t>HIV_2500529</t>
  </si>
  <si>
    <t>HIV_2500530</t>
  </si>
  <si>
    <t>HIV_2500531</t>
  </si>
  <si>
    <t>HIV_2500532</t>
  </si>
  <si>
    <t>HIV_2500533</t>
  </si>
  <si>
    <t>HIV_2500534</t>
  </si>
  <si>
    <t>HIV_2500535</t>
  </si>
  <si>
    <t>HIV_2500536</t>
  </si>
  <si>
    <t>HIV_2500537</t>
  </si>
  <si>
    <t>HIV_2500538</t>
  </si>
  <si>
    <t>HIV_2500539</t>
  </si>
  <si>
    <t>HIV_2500540</t>
  </si>
  <si>
    <t>HIV_2500541</t>
  </si>
  <si>
    <t>HIV_2500542</t>
  </si>
  <si>
    <t>HIV_2500543</t>
  </si>
  <si>
    <t>HIV_2500544</t>
  </si>
  <si>
    <t>HIV_2500545</t>
  </si>
  <si>
    <t>HIV_2500546</t>
  </si>
  <si>
    <t>HIV_2500547</t>
  </si>
  <si>
    <t>HIV_2500548</t>
  </si>
  <si>
    <t>HIV_2500549</t>
  </si>
  <si>
    <t>HIV_2500550</t>
  </si>
  <si>
    <t>HIV_2500551</t>
  </si>
  <si>
    <t>HIV_2500552</t>
  </si>
  <si>
    <t>HIV_2500553</t>
  </si>
  <si>
    <t>HIV_2500554</t>
  </si>
  <si>
    <t>HIV_2500555</t>
  </si>
  <si>
    <t>HIV_2500556</t>
  </si>
  <si>
    <t>HIV_2500557</t>
  </si>
  <si>
    <t>HIV_2500558</t>
  </si>
  <si>
    <t>HIV_2500559</t>
  </si>
  <si>
    <t>HIV_2500560</t>
  </si>
  <si>
    <t>HIV_2500561</t>
  </si>
  <si>
    <t>HIV_2500562</t>
  </si>
  <si>
    <t>HIV_2500563</t>
  </si>
  <si>
    <t>HIV_2500564</t>
  </si>
  <si>
    <t>HIV_2500565</t>
  </si>
  <si>
    <t>HIV_2500566</t>
  </si>
  <si>
    <t>HIV_2500567</t>
  </si>
  <si>
    <t>HIV_2500568</t>
  </si>
  <si>
    <t>HIV_2500569</t>
  </si>
  <si>
    <t>HIV_2500570</t>
  </si>
  <si>
    <t>HIV_2500571</t>
  </si>
  <si>
    <t>HIV_2500572</t>
  </si>
  <si>
    <t>HIV_2500573</t>
  </si>
  <si>
    <t>HIV_2500574</t>
  </si>
  <si>
    <t>HIV_2500575</t>
  </si>
  <si>
    <t>HIV_2500576</t>
  </si>
  <si>
    <t>HIV_2500577</t>
  </si>
  <si>
    <t>HIV_2500578</t>
  </si>
  <si>
    <t>HIV_2500579</t>
  </si>
  <si>
    <t>HIV_2500580</t>
  </si>
  <si>
    <t>HIV_2500581</t>
  </si>
  <si>
    <t>HIV_2500582</t>
  </si>
  <si>
    <t>HIV_2500583</t>
  </si>
  <si>
    <t>HIV_2500584</t>
  </si>
  <si>
    <t>HIV_2500585</t>
  </si>
  <si>
    <t>HIV_2500586</t>
  </si>
  <si>
    <t>HIV_2500587</t>
  </si>
  <si>
    <t>HIV_2500588</t>
  </si>
  <si>
    <t>HIV_2500589</t>
  </si>
  <si>
    <t>HIV_2500590</t>
  </si>
  <si>
    <t>HIV_2500591</t>
  </si>
  <si>
    <t>HIV_2500592</t>
  </si>
  <si>
    <t>HIV_2500593</t>
  </si>
  <si>
    <t>HIV_2500594</t>
  </si>
  <si>
    <t>HIV_2500595</t>
  </si>
  <si>
    <t>HIV_2500596</t>
  </si>
  <si>
    <t>HIV_2500597</t>
  </si>
  <si>
    <t>HIV_2500598</t>
  </si>
  <si>
    <t>HIV_2500599</t>
  </si>
  <si>
    <t>HIV_2500600</t>
  </si>
  <si>
    <t>HIV_2500601</t>
  </si>
  <si>
    <t>HIV_2500602</t>
  </si>
  <si>
    <t>HIV_2500603</t>
  </si>
  <si>
    <t>HIV_2500604</t>
  </si>
  <si>
    <t>HIV_2500605</t>
  </si>
  <si>
    <t>HIV_2500606</t>
  </si>
  <si>
    <t>HIV_2500607</t>
  </si>
  <si>
    <t>HIV_2500608</t>
  </si>
  <si>
    <t>HIV_2500609</t>
  </si>
  <si>
    <t>HIV_2500610</t>
  </si>
  <si>
    <t>HIV_2500611</t>
  </si>
  <si>
    <t>HIV_2500612</t>
  </si>
  <si>
    <t>HIV_2500613</t>
  </si>
  <si>
    <t>HIV_2500614</t>
  </si>
  <si>
    <t>HIV_2500615</t>
  </si>
  <si>
    <t>HIV_2500616</t>
  </si>
  <si>
    <t>HIV_2500617</t>
  </si>
  <si>
    <t>HIV_2500618</t>
  </si>
  <si>
    <t>HIV_2500619</t>
  </si>
  <si>
    <t>HIV_2500620</t>
  </si>
  <si>
    <t>HIV_2500621</t>
  </si>
  <si>
    <t>HIV_2500622</t>
  </si>
  <si>
    <t>HIV_2500623</t>
  </si>
  <si>
    <t>HIV_2500624</t>
  </si>
  <si>
    <t>HIV_2500625</t>
  </si>
  <si>
    <t>HIV_2500626</t>
  </si>
  <si>
    <t>HIV_2500627</t>
  </si>
  <si>
    <t>HIV_2500628</t>
  </si>
  <si>
    <t>HIV_2500629</t>
  </si>
  <si>
    <t>HIV_2500630</t>
  </si>
  <si>
    <t>HIV_2500631</t>
  </si>
  <si>
    <t>HIV_2500632</t>
  </si>
  <si>
    <t>HIV_2500633</t>
  </si>
  <si>
    <t>HIV_2500634</t>
  </si>
  <si>
    <t>HIV_2500635</t>
  </si>
  <si>
    <t>HIV_2500636</t>
  </si>
  <si>
    <t>HIV_2500637</t>
  </si>
  <si>
    <t>HIV_2500638</t>
  </si>
  <si>
    <t>HIV_2500639</t>
  </si>
  <si>
    <t>HIV_2500640</t>
  </si>
  <si>
    <t>HIV_2500641</t>
  </si>
  <si>
    <t>HIV_2500642</t>
  </si>
  <si>
    <t>HIV_2500643</t>
  </si>
  <si>
    <t>HIV_2500644</t>
  </si>
  <si>
    <t>HIV_2500645</t>
  </si>
  <si>
    <t>HIV_2500646</t>
  </si>
  <si>
    <t>HIV_2500647</t>
  </si>
  <si>
    <t>HIV_2500648</t>
  </si>
  <si>
    <t>HIV_2500649</t>
  </si>
  <si>
    <t>HIV_2500650</t>
  </si>
  <si>
    <t>HIV_325896</t>
  </si>
  <si>
    <t>HIV_325897</t>
  </si>
  <si>
    <t>HIV_325898</t>
  </si>
  <si>
    <t>HIV_325899</t>
  </si>
  <si>
    <t>HIV_325900</t>
  </si>
  <si>
    <t>HIV_325901</t>
  </si>
  <si>
    <t>HIV_325902</t>
  </si>
  <si>
    <t>HIV_325903</t>
  </si>
  <si>
    <t>HIV_325904</t>
  </si>
  <si>
    <t>HIV_325905</t>
  </si>
  <si>
    <t>HIV_325906</t>
  </si>
  <si>
    <t>HIV_325907</t>
  </si>
  <si>
    <t>HIV_325908</t>
  </si>
  <si>
    <t>HIV_325909</t>
  </si>
  <si>
    <t>HIV_325910</t>
  </si>
  <si>
    <t>HIV_325911</t>
  </si>
  <si>
    <t>HIV_325912</t>
  </si>
  <si>
    <t>HIV_325913</t>
  </si>
  <si>
    <t>HIV_325914</t>
  </si>
  <si>
    <t>HIV_987650</t>
  </si>
  <si>
    <t>HIV_987651</t>
  </si>
  <si>
    <t>HIV_987652</t>
  </si>
  <si>
    <t>HIV_987653</t>
  </si>
  <si>
    <t>HIV_987654</t>
  </si>
  <si>
    <t>HIV_987655</t>
  </si>
  <si>
    <t>HIV_987656</t>
  </si>
  <si>
    <t>HIV_987657</t>
  </si>
  <si>
    <t>HIV_987658</t>
  </si>
  <si>
    <t>HIV_987659</t>
  </si>
  <si>
    <t>HIV_987660</t>
  </si>
  <si>
    <t>HIV_987661</t>
  </si>
  <si>
    <t>HIV_987662</t>
  </si>
  <si>
    <t>HIV_987663</t>
  </si>
  <si>
    <t>HIV_987664</t>
  </si>
  <si>
    <t>HIV_987665</t>
  </si>
  <si>
    <t>HIV_987666</t>
  </si>
  <si>
    <t>HIV_987667</t>
  </si>
  <si>
    <t>HIV_987668</t>
  </si>
  <si>
    <t>HIV_987669</t>
  </si>
  <si>
    <t>HIV_987670</t>
  </si>
  <si>
    <t>HIV_987671</t>
  </si>
  <si>
    <t>HIV_987672</t>
  </si>
  <si>
    <t>HIV_987673</t>
  </si>
  <si>
    <t>HIV_987674</t>
  </si>
  <si>
    <t>HIV_987675</t>
  </si>
  <si>
    <t>HIV_987676</t>
  </si>
  <si>
    <t>HIV_987677</t>
  </si>
  <si>
    <t>HIV_987678</t>
  </si>
  <si>
    <t>HIV_987679</t>
  </si>
  <si>
    <t>HIV_987680</t>
  </si>
  <si>
    <t>HIV_987681</t>
  </si>
  <si>
    <t>HIV_987682</t>
  </si>
  <si>
    <t>HIV_987683</t>
  </si>
  <si>
    <t>HIV_987684</t>
  </si>
  <si>
    <t>HIV_987685</t>
  </si>
  <si>
    <t>HIV_987686</t>
  </si>
  <si>
    <t>HIV_987687</t>
  </si>
  <si>
    <t>HIV_987688</t>
  </si>
  <si>
    <t>HIV_987689</t>
  </si>
  <si>
    <t>HIV_987690</t>
  </si>
  <si>
    <t>HIV_987691</t>
  </si>
  <si>
    <t>HIV_987692</t>
  </si>
  <si>
    <t>HIV_987693</t>
  </si>
  <si>
    <t>HIV_987694</t>
  </si>
  <si>
    <t>HIV_987695</t>
  </si>
  <si>
    <t>HIV_987696</t>
  </si>
  <si>
    <t>HIV_987697</t>
  </si>
  <si>
    <t>HIV_987698</t>
  </si>
  <si>
    <t>HIV_987699</t>
  </si>
  <si>
    <t>HIV_987700</t>
  </si>
  <si>
    <t>HIV_987701</t>
  </si>
  <si>
    <t>HIV_987702</t>
  </si>
  <si>
    <t>HIV_987703</t>
  </si>
  <si>
    <t>HIV_987704</t>
  </si>
  <si>
    <t>HIV_987705</t>
  </si>
  <si>
    <t>HIV_987706</t>
  </si>
  <si>
    <t>HIV_987707</t>
  </si>
  <si>
    <t>HIV_987708</t>
  </si>
  <si>
    <t>HIV_987709</t>
  </si>
  <si>
    <t>HIV_987710</t>
  </si>
  <si>
    <t>HIV_987711</t>
  </si>
  <si>
    <t>HIV_987712</t>
  </si>
  <si>
    <t>HIV_987713</t>
  </si>
  <si>
    <t>HIV_987714</t>
  </si>
  <si>
    <t>HIV_987715</t>
  </si>
  <si>
    <t>HIV_987716</t>
  </si>
  <si>
    <t>HIV_987717</t>
  </si>
  <si>
    <t>HIV_987718</t>
  </si>
  <si>
    <t>HIV_987719</t>
  </si>
  <si>
    <t>HIV_987720</t>
  </si>
  <si>
    <t>HIV_987721</t>
  </si>
  <si>
    <t>HIV_987722</t>
  </si>
  <si>
    <t>HIV_987723</t>
  </si>
  <si>
    <t>HIV_987724</t>
  </si>
  <si>
    <t>HIV_987725</t>
  </si>
  <si>
    <t>HIV_987726</t>
  </si>
  <si>
    <t>HIV_987727</t>
  </si>
  <si>
    <t>HIV_987728</t>
  </si>
  <si>
    <t>HIV_987729</t>
  </si>
  <si>
    <t>HIV_987730</t>
  </si>
  <si>
    <t>HIV_987731</t>
  </si>
  <si>
    <t>HIV_987732</t>
  </si>
  <si>
    <t>HIV_987733</t>
  </si>
  <si>
    <t>HIV_987734</t>
  </si>
  <si>
    <t>HIV_987735</t>
  </si>
  <si>
    <t>HIV_987736</t>
  </si>
  <si>
    <t>HIV_987737</t>
  </si>
  <si>
    <t>HIV_987738</t>
  </si>
  <si>
    <t>HIV_987739</t>
  </si>
  <si>
    <t>HIV_987740</t>
  </si>
  <si>
    <t>HIV_987741</t>
  </si>
  <si>
    <t>HIV_987742</t>
  </si>
  <si>
    <t>HIV_987743</t>
  </si>
  <si>
    <t>HIV_987744</t>
  </si>
  <si>
    <t>HIV_987745</t>
  </si>
  <si>
    <t>HIV_987746</t>
  </si>
  <si>
    <t>HIV_987747</t>
  </si>
  <si>
    <t>HIV_987748</t>
  </si>
  <si>
    <t>HIV_987749</t>
  </si>
  <si>
    <t>HIV_987750</t>
  </si>
  <si>
    <t>HIV_987751</t>
  </si>
  <si>
    <t>HIV_987752</t>
  </si>
  <si>
    <t>HIV_987753</t>
  </si>
  <si>
    <t>HIV_987754</t>
  </si>
  <si>
    <t>HIV_987755</t>
  </si>
  <si>
    <t>HIV_987756</t>
  </si>
  <si>
    <t>HIV_987757</t>
  </si>
  <si>
    <t>HIV_987758</t>
  </si>
  <si>
    <t>HIV_987759</t>
  </si>
  <si>
    <t>HIV_987760</t>
  </si>
  <si>
    <t>HIV_987761</t>
  </si>
  <si>
    <t>HIV_987762</t>
  </si>
  <si>
    <t>HIV_987763</t>
  </si>
  <si>
    <t>HIV_987764</t>
  </si>
  <si>
    <t>HIV_987765</t>
  </si>
  <si>
    <t>HIV_987766</t>
  </si>
  <si>
    <t>HIV_987767</t>
  </si>
  <si>
    <t>HIV_987768</t>
  </si>
  <si>
    <t>HIV_987769</t>
  </si>
  <si>
    <t>HIV_987770</t>
  </si>
  <si>
    <t>HIV_987771</t>
  </si>
  <si>
    <t>HIV_987772</t>
  </si>
  <si>
    <t>HIV_987773</t>
  </si>
  <si>
    <t>HIV_987774</t>
  </si>
  <si>
    <t>HIV_987775</t>
  </si>
  <si>
    <t>HIV_987776</t>
  </si>
  <si>
    <t>HIV_987777</t>
  </si>
  <si>
    <t>HIV_987778</t>
  </si>
  <si>
    <t>HIV_987779</t>
  </si>
  <si>
    <t>HIV_987780</t>
  </si>
  <si>
    <t>HIV_987781</t>
  </si>
  <si>
    <t>HIV_987782</t>
  </si>
  <si>
    <t>HIV_987783</t>
  </si>
  <si>
    <t>HIV_987784</t>
  </si>
  <si>
    <t>HIV_987785</t>
  </si>
  <si>
    <t>HIV_987786</t>
  </si>
  <si>
    <t>HIV_987787</t>
  </si>
  <si>
    <t>HIV_987788</t>
  </si>
  <si>
    <t>HIV_987789</t>
  </si>
  <si>
    <t>HIV_987790</t>
  </si>
  <si>
    <t>HIV_987791</t>
  </si>
  <si>
    <t>HIV_987792</t>
  </si>
  <si>
    <t>HIV_987793</t>
  </si>
  <si>
    <t>HIV_987794</t>
  </si>
  <si>
    <t>HIV_987795</t>
  </si>
  <si>
    <t>HIV_0010258</t>
  </si>
  <si>
    <t>HIV_0010259</t>
  </si>
  <si>
    <t>HIV_0010260</t>
  </si>
  <si>
    <t>HIV_0010261</t>
  </si>
  <si>
    <t>HIV_0010262</t>
  </si>
  <si>
    <t>HIV_0010263</t>
  </si>
  <si>
    <t>HIV_0010264</t>
  </si>
  <si>
    <t>HIV_0010265</t>
  </si>
  <si>
    <t>HIV_0010266</t>
  </si>
  <si>
    <t>HIV_0010267</t>
  </si>
  <si>
    <t>HIV_0010268</t>
  </si>
  <si>
    <t>HIV_0010269</t>
  </si>
  <si>
    <t>HIV_0010270</t>
  </si>
  <si>
    <t>HIV_0010271</t>
  </si>
  <si>
    <t>HIV_0010272</t>
  </si>
  <si>
    <t>HIV_0010273</t>
  </si>
  <si>
    <t>HIV_0010274</t>
  </si>
  <si>
    <t>HIV_0010275</t>
  </si>
  <si>
    <t>HIV_0010276</t>
  </si>
  <si>
    <t>HIV_0010277</t>
  </si>
  <si>
    <t>HIV_0010278</t>
  </si>
  <si>
    <t>HIV_0010279</t>
  </si>
  <si>
    <t>HIV_0010280</t>
  </si>
  <si>
    <t>HIV_0010281</t>
  </si>
  <si>
    <t>HIV_0010282</t>
  </si>
  <si>
    <t>HIV_0010283</t>
  </si>
  <si>
    <t>HIV_0010284</t>
  </si>
  <si>
    <t>HIV_0010285</t>
  </si>
  <si>
    <t>HIV_0010286</t>
  </si>
  <si>
    <t>HIV_0010287</t>
  </si>
  <si>
    <t>HIV_0010288</t>
  </si>
  <si>
    <t>HIV_0010289</t>
  </si>
  <si>
    <t>HIV_0010290</t>
  </si>
  <si>
    <t>HIV_0010291</t>
  </si>
  <si>
    <t>HIV_0010292</t>
  </si>
  <si>
    <t>HIV_0010293</t>
  </si>
  <si>
    <t>HIV_0010294</t>
  </si>
  <si>
    <t>HIV_0010295</t>
  </si>
  <si>
    <t>HIV_0010296</t>
  </si>
  <si>
    <t>HIV_0010297</t>
  </si>
  <si>
    <t>HIV_0010298</t>
  </si>
  <si>
    <t>HIV_0010299</t>
  </si>
  <si>
    <t>HIV_0010300</t>
  </si>
  <si>
    <t>HIV_0010301</t>
  </si>
  <si>
    <t>HIV_0010302</t>
  </si>
  <si>
    <t>HIV_0010303</t>
  </si>
  <si>
    <t>HIV_0010304</t>
  </si>
  <si>
    <t>HIV_0010305</t>
  </si>
  <si>
    <t>HIV_0010306</t>
  </si>
  <si>
    <t>HIV_0010307</t>
  </si>
  <si>
    <t>HIV_0010308</t>
  </si>
  <si>
    <t>HIV_0010309</t>
  </si>
  <si>
    <t>HIV_0010310</t>
  </si>
  <si>
    <t>HIV_0010311</t>
  </si>
  <si>
    <t>HIV_0010312</t>
  </si>
  <si>
    <t>HIV_0010313</t>
  </si>
  <si>
    <t>HIV_0010314</t>
  </si>
  <si>
    <t>HIV_0010315</t>
  </si>
  <si>
    <t>HIV_0010316</t>
  </si>
  <si>
    <t>HIV_0010317</t>
  </si>
  <si>
    <t>HIV_0010318</t>
  </si>
  <si>
    <t>HIV_0010319</t>
  </si>
  <si>
    <t>HIV_0010320</t>
  </si>
  <si>
    <t>HIV_0010321</t>
  </si>
  <si>
    <t>HIV_0010322</t>
  </si>
  <si>
    <t>HIV_0010323</t>
  </si>
  <si>
    <t>HIV_0010324</t>
  </si>
  <si>
    <t>HIV_0010325</t>
  </si>
  <si>
    <t>HIV_0010326</t>
  </si>
  <si>
    <t>HIV_0010327</t>
  </si>
  <si>
    <t>HIV_0010328</t>
  </si>
  <si>
    <t>HIV_0010329</t>
  </si>
  <si>
    <t>HIV_0010330</t>
  </si>
  <si>
    <t>HIV_0010331</t>
  </si>
  <si>
    <t>HIV_0010332</t>
  </si>
  <si>
    <t>HIV_0010333</t>
  </si>
  <si>
    <t>HIV_0010334</t>
  </si>
  <si>
    <t>HIV_0010335</t>
  </si>
  <si>
    <t>HIV_0010336</t>
  </si>
  <si>
    <t>HIV_0010337</t>
  </si>
  <si>
    <t>HIV_0010338</t>
  </si>
  <si>
    <t>HIV_0010339</t>
  </si>
  <si>
    <t>HIV_0010340</t>
  </si>
  <si>
    <t>HIV_0010341</t>
  </si>
  <si>
    <t>HIV_0010342</t>
  </si>
  <si>
    <t>HIV RODAMIENTOS</t>
  </si>
  <si>
    <t>Precio Lista CDR</t>
  </si>
  <si>
    <t>Lista 1 (20%)</t>
  </si>
  <si>
    <t>Lista 2 (30%)</t>
  </si>
  <si>
    <t>Lista 3 (40%)</t>
  </si>
  <si>
    <t>Margen Lista Base %</t>
  </si>
  <si>
    <t>Margen Lista 1 %</t>
  </si>
  <si>
    <t>Margen Lista 2 %</t>
  </si>
  <si>
    <t>Margen Lista 3 %</t>
  </si>
  <si>
    <t xml:space="preserve"> PROMEDIOS: </t>
  </si>
  <si>
    <t>Margen Promedio Lista Base</t>
  </si>
  <si>
    <t>Margen Promedio Lista 1 (20% DSCTO)</t>
  </si>
  <si>
    <t>Margen Promedio Lista 2 (30% DSCTO)</t>
  </si>
  <si>
    <t>Margen Promedio Lista 3 (40% DSCTO)</t>
  </si>
  <si>
    <t>El portafolio general presenta una estructura de costos extraordinariamente sólida. Incluso con el mayor nivel de descuento, el promedio global supera la meta corporativa.</t>
  </si>
  <si>
    <t>Se identificó un subgrupo de artículos cuyo costo de fábrica no soporta la estructura de descuentos, rompiendo la regla del 40% de margen.</t>
  </si>
  <si>
    <t>Identificación e Impacto en los 9 artículos críticos:</t>
  </si>
  <si>
    <t>Métricas Globales de Estrategia:</t>
  </si>
  <si>
    <t>2. La pérdida de rentabilidad está aislada exclusivamente en 9 códigos de repuestos, cuyo margen colapsa hasta un mínimo del 9% al aplicar la Lista 3.</t>
  </si>
  <si>
    <t>ESTRATEGIA (Plan de Acción)</t>
  </si>
  <si>
    <t>PROBLEMA</t>
  </si>
  <si>
    <t>ESTRATEGIA</t>
  </si>
  <si>
    <t>OBSERVACIONES RELEVANTES</t>
  </si>
  <si>
    <t>Promedio</t>
  </si>
  <si>
    <t>Los productos de alta rotación "X" entran en zona de alerta desde la lista 1 de descuentos.</t>
  </si>
  <si>
    <t>1. Aplicar el descuento máximo (Lista 3) es seguro para la gran mayoría del portafolio (a excepción de los 9 productos). El catálogo general mantiene un margen promedio del 60%, superando cómodamente la meta del 40%.</t>
  </si>
  <si>
    <t>Los productos de rotación media "Y" entran en riesgo en la lista 1 y 2 de descuentos.</t>
  </si>
  <si>
    <t>Producto de Baja Rotación "Z" rompe la meta en la lista 3 de descuentos. El costo de almacenamiento es un problema</t>
  </si>
  <si>
    <r>
      <t xml:space="preserve">No podemos bloquear comercialmente los descuentos. Es </t>
    </r>
    <r>
      <rPr>
        <b/>
        <i/>
        <sz val="11"/>
        <color theme="1"/>
        <rFont val="Aptos Narrow"/>
        <scheme val="minor"/>
      </rPr>
      <t>urgente</t>
    </r>
    <r>
      <rPr>
        <b/>
        <sz val="11"/>
        <color theme="1"/>
        <rFont val="Aptos Narrow"/>
        <scheme val="minor"/>
      </rPr>
      <t xml:space="preserve"> </t>
    </r>
    <r>
      <rPr>
        <sz val="11"/>
        <color theme="1"/>
        <rFont val="Aptos Narrow"/>
        <scheme val="minor"/>
      </rPr>
      <t xml:space="preserve">renegociar una reducción del precio de fábrica (25%-30%) apalancado por el alto volumen de ventas. Si el proveedor no cede se propone una estrategia de Venta Atada, en donde solo se autorizarán descuentos si el cliente incluye en su orden productos con un margen verde (&gt;50%), asegurando que la factura tenga un margen mayor al 40%.  </t>
    </r>
  </si>
  <si>
    <t>3. El problema de estos 9 artículos críticos es que su costo de fábrica es desproporcionadamente alto frente a su precio de mercado. Arrancan con un margen base de apenas 54% (muy por debajo del 76% general), dejándolos un margen de maniobra reducido para soportar la cadena de descuentos.</t>
  </si>
  <si>
    <t xml:space="preserve">Limitar su venta a la Lista 2 garantiza el margen, pero no garantiza que se venda. Para incentivar su salida y liberar capital de trabajo, se proponen dos vías comerciales: 1. Autorizar el precio de la lista 3 pero solo si el cliente lo lleva en combo al comprar articulos de rotación "X" o si se usa como gancho para cerrar ventas por volumen; 2. Aceptar el 36% de margen en lista 3, asumiendo la meta como costo financiero de mantener el producto en la bodega. </t>
  </si>
  <si>
    <t>Precio Fábrica</t>
  </si>
  <si>
    <t>reducción del 25%</t>
  </si>
  <si>
    <t>PVP CDR</t>
  </si>
  <si>
    <t>sin reducción</t>
  </si>
  <si>
    <t>reducción del 33,33%</t>
  </si>
  <si>
    <t>Bloquear en el sistema la Lista 3 para los tres artículos. Adicionalmente, para el código RD_0025763, el tope máximo permitido por sistema también puede ser la Lista 2, si es que consideramos que la reducción del PVP de la competencia es del 1% y no del 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</si>
</sst>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Red]&quot;$&quot;\-#,##0.00"/>
    <numFmt numFmtId="44" formatCode="_ &quot;$&quot;* #,##0.00_ ;_ &quot;$&quot;* \-#,##0.00_ ;_ &quot;$&quot;* &quot;-&quot;??_ ;_ @_ "/>
    <numFmt numFmtId="164" formatCode="&quot;$&quot;#,##0.00"/>
  </numFmts>
  <fonts count="12">
    <font>
      <sz val="11"/>
      <color theme="1"/>
      <name val="Aptos Narrow"/>
      <family val="2"/>
      <scheme val="minor"/>
    </font>
    <font>
      <b/>
      <sz val="11"/>
      <color theme="1"/>
      <name val="Aptos Narrow"/>
      <family val="2"/>
      <scheme val="minor"/>
    </font>
    <font>
      <sz val="8"/>
      <name val="Aptos Narrow"/>
      <family val="2"/>
      <scheme val="minor"/>
    </font>
    <font>
      <sz val="11"/>
      <color theme="1"/>
      <name val="Aptos Narrow"/>
      <family val="2"/>
      <scheme val="minor"/>
    </font>
    <font>
      <b/>
      <sz val="11"/>
      <color theme="1"/>
      <name val="Aptos Narrow"/>
      <scheme val="minor"/>
    </font>
    <font>
      <sz val="11"/>
      <color theme="1"/>
      <name val="Aptos Narrow"/>
      <scheme val="minor"/>
    </font>
    <font>
      <b/>
      <sz val="11"/>
      <color theme="1"/>
      <name val="Arial"/>
      <family val="2"/>
    </font>
    <font>
      <u/>
      <sz val="11"/>
      <color theme="10"/>
      <name val="Aptos Narrow"/>
      <family val="2"/>
      <scheme val="minor"/>
    </font>
    <font>
      <b/>
      <i/>
      <sz val="11"/>
      <color theme="1"/>
      <name val="Aptos Narrow"/>
      <scheme val="minor"/>
    </font>
    <font>
      <sz val="11"/>
      <color rgb="FF006100"/>
      <name val="Aptos Narrow"/>
      <family val="2"/>
      <scheme val="minor"/>
    </font>
    <font>
      <sz val="11"/>
      <color rgb="FF9C0006"/>
      <name val="Aptos Narrow"/>
      <family val="2"/>
      <scheme val="minor"/>
    </font>
    <font>
      <sz val="11"/>
      <color rgb="FF9C6500"/>
      <name val="Aptos Narrow"/>
      <family val="2"/>
      <scheme val="minor"/>
    </font>
  </fonts>
  <fills count="8">
    <fill>
      <patternFill patternType="none"/>
    </fill>
    <fill>
      <patternFill patternType="gray125"/>
    </fill>
    <fill>
      <patternFill patternType="solid">
        <fgColor theme="0"/>
        <bgColor indexed="64"/>
      </patternFill>
    </fill>
    <fill>
      <patternFill patternType="solid">
        <fgColor theme="0"/>
        <bgColor theme="4" tint="0.79998168889431442"/>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rgb="FFFFFFFF"/>
        <bgColor indexed="64"/>
      </patternFill>
    </fill>
  </fills>
  <borders count="2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rgb="FF000000"/>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rgb="FFD9D9D9"/>
      </left>
      <right style="medium">
        <color rgb="FFD9D9D9"/>
      </right>
      <top style="medium">
        <color rgb="FFD9D9D9"/>
      </top>
      <bottom style="medium">
        <color rgb="FFD9D9D9"/>
      </bottom>
      <diagonal/>
    </border>
  </borders>
  <cellStyleXfs count="4">
    <xf numFmtId="0" fontId="0" fillId="0" borderId="0"/>
    <xf numFmtId="44"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cellStyleXfs>
  <cellXfs count="105">
    <xf numFmtId="0" fontId="0" fillId="0" borderId="0" xfId="0"/>
    <xf numFmtId="164" fontId="0" fillId="0" borderId="0" xfId="0" applyNumberFormat="1"/>
    <xf numFmtId="0" fontId="0" fillId="0" borderId="0" xfId="0" applyAlignment="1">
      <alignment horizontal="center"/>
    </xf>
    <xf numFmtId="164" fontId="0" fillId="0" borderId="0" xfId="0" applyNumberFormat="1" applyAlignment="1">
      <alignment horizontal="center"/>
    </xf>
    <xf numFmtId="0" fontId="0" fillId="0" borderId="0" xfId="0" applyFill="1" applyAlignment="1">
      <alignment horizontal="center"/>
    </xf>
    <xf numFmtId="164" fontId="0" fillId="0" borderId="0" xfId="0" applyNumberFormat="1" applyFill="1" applyAlignment="1">
      <alignment horizontal="center"/>
    </xf>
    <xf numFmtId="0" fontId="1" fillId="0" borderId="0" xfId="0" applyFont="1"/>
    <xf numFmtId="0" fontId="1" fillId="0" borderId="0" xfId="0" applyFont="1" applyAlignment="1">
      <alignment horizontal="center"/>
    </xf>
    <xf numFmtId="0" fontId="1" fillId="0" borderId="0" xfId="0" applyFont="1" applyFill="1" applyAlignment="1">
      <alignment horizontal="center"/>
    </xf>
    <xf numFmtId="44" fontId="4" fillId="0" borderId="0" xfId="1" applyFont="1"/>
    <xf numFmtId="44" fontId="0" fillId="0" borderId="0" xfId="1" applyFont="1"/>
    <xf numFmtId="9" fontId="4" fillId="0" borderId="0" xfId="2" applyFont="1"/>
    <xf numFmtId="9" fontId="0" fillId="0" borderId="0" xfId="2" applyFont="1"/>
    <xf numFmtId="44" fontId="5" fillId="0" borderId="0" xfId="0" applyNumberFormat="1" applyFont="1"/>
    <xf numFmtId="44" fontId="5" fillId="0" borderId="1" xfId="0" applyNumberFormat="1" applyFont="1" applyBorder="1"/>
    <xf numFmtId="9" fontId="5" fillId="0" borderId="2" xfId="0" applyNumberFormat="1" applyFont="1" applyBorder="1"/>
    <xf numFmtId="9" fontId="5" fillId="0" borderId="3" xfId="0" applyNumberFormat="1" applyFont="1" applyBorder="1"/>
    <xf numFmtId="0" fontId="0" fillId="0" borderId="0" xfId="0" applyBorder="1"/>
    <xf numFmtId="0" fontId="6" fillId="0" borderId="21" xfId="0" applyFont="1" applyBorder="1" applyAlignment="1">
      <alignment vertical="center" wrapText="1"/>
    </xf>
    <xf numFmtId="0" fontId="1" fillId="0" borderId="17" xfId="0" applyFont="1" applyBorder="1" applyAlignment="1">
      <alignment vertical="center" wrapText="1"/>
    </xf>
    <xf numFmtId="0" fontId="1" fillId="0" borderId="22" xfId="0" applyFont="1" applyBorder="1" applyAlignment="1">
      <alignment vertical="center" wrapText="1"/>
    </xf>
    <xf numFmtId="0" fontId="1" fillId="0" borderId="23" xfId="0" applyFont="1" applyBorder="1" applyAlignment="1">
      <alignment vertical="center" wrapText="1"/>
    </xf>
    <xf numFmtId="0" fontId="1" fillId="0" borderId="0" xfId="0" applyFont="1" applyFill="1" applyBorder="1" applyAlignment="1">
      <alignment vertical="center" wrapText="1"/>
    </xf>
    <xf numFmtId="0" fontId="7" fillId="0" borderId="0" xfId="3"/>
    <xf numFmtId="0" fontId="0" fillId="3" borderId="6" xfId="0" applyFont="1" applyFill="1" applyBorder="1"/>
    <xf numFmtId="9" fontId="0" fillId="3" borderId="6" xfId="2" applyNumberFormat="1" applyFont="1" applyFill="1" applyBorder="1"/>
    <xf numFmtId="9" fontId="0" fillId="3" borderId="7" xfId="2" applyNumberFormat="1" applyFont="1" applyFill="1" applyBorder="1"/>
    <xf numFmtId="0" fontId="0" fillId="2" borderId="4" xfId="0" applyFont="1" applyFill="1" applyBorder="1"/>
    <xf numFmtId="9" fontId="0" fillId="2" borderId="4" xfId="2" applyNumberFormat="1" applyFont="1" applyFill="1" applyBorder="1"/>
    <xf numFmtId="9" fontId="0" fillId="2" borderId="9" xfId="2" applyNumberFormat="1" applyFont="1" applyFill="1" applyBorder="1"/>
    <xf numFmtId="0" fontId="0" fillId="3" borderId="4" xfId="0" applyFont="1" applyFill="1" applyBorder="1"/>
    <xf numFmtId="9" fontId="0" fillId="3" borderId="4" xfId="2" applyNumberFormat="1" applyFont="1" applyFill="1" applyBorder="1"/>
    <xf numFmtId="9" fontId="0" fillId="3" borderId="9" xfId="2" applyNumberFormat="1" applyFont="1" applyFill="1" applyBorder="1"/>
    <xf numFmtId="0" fontId="7" fillId="2" borderId="8" xfId="3" applyFill="1" applyBorder="1"/>
    <xf numFmtId="0" fontId="7" fillId="2" borderId="10" xfId="3" applyFill="1" applyBorder="1"/>
    <xf numFmtId="0" fontId="7" fillId="2" borderId="5" xfId="3" applyFill="1" applyBorder="1"/>
    <xf numFmtId="0" fontId="0" fillId="0" borderId="0" xfId="0" applyBorder="1" applyAlignment="1">
      <alignment horizontal="left" wrapText="1"/>
    </xf>
    <xf numFmtId="0" fontId="4" fillId="2" borderId="24" xfId="0" applyFont="1" applyFill="1" applyBorder="1"/>
    <xf numFmtId="9" fontId="4" fillId="0" borderId="27" xfId="0" applyNumberFormat="1" applyFont="1" applyBorder="1"/>
    <xf numFmtId="0" fontId="0" fillId="3" borderId="11" xfId="0" applyFont="1" applyFill="1" applyBorder="1"/>
    <xf numFmtId="9" fontId="0" fillId="3" borderId="11" xfId="2" applyNumberFormat="1" applyFont="1" applyFill="1" applyBorder="1"/>
    <xf numFmtId="9" fontId="0" fillId="3" borderId="12" xfId="2" applyNumberFormat="1" applyFont="1" applyFill="1" applyBorder="1"/>
    <xf numFmtId="0" fontId="1" fillId="0" borderId="0" xfId="0" applyFont="1" applyAlignment="1">
      <alignment vertical="center" wrapText="1"/>
    </xf>
    <xf numFmtId="0" fontId="1" fillId="0" borderId="0" xfId="0" applyFont="1" applyAlignment="1">
      <alignment horizontal="center" vertical="center" wrapText="1"/>
    </xf>
    <xf numFmtId="44" fontId="4" fillId="0" borderId="0" xfId="1" applyFont="1" applyAlignment="1">
      <alignment vertical="center" wrapText="1"/>
    </xf>
    <xf numFmtId="9" fontId="4" fillId="0" borderId="0" xfId="2" applyFont="1" applyAlignment="1">
      <alignment vertical="center" wrapText="1"/>
    </xf>
    <xf numFmtId="9" fontId="4" fillId="0" borderId="0" xfId="2" applyFont="1" applyBorder="1" applyAlignment="1">
      <alignment vertical="center" wrapText="1"/>
    </xf>
    <xf numFmtId="44" fontId="0" fillId="0" borderId="0" xfId="0" applyNumberFormat="1" applyAlignment="1">
      <alignment horizontal="center"/>
    </xf>
    <xf numFmtId="8" fontId="0" fillId="7" borderId="28" xfId="0" applyNumberFormat="1" applyFont="1" applyFill="1" applyBorder="1" applyAlignment="1">
      <alignment vertical="center" wrapText="1"/>
    </xf>
    <xf numFmtId="9" fontId="9" fillId="4" borderId="28" xfId="0" applyNumberFormat="1" applyFont="1" applyFill="1" applyBorder="1" applyAlignment="1">
      <alignment vertical="center" wrapText="1"/>
    </xf>
    <xf numFmtId="9" fontId="11" fillId="5" borderId="28" xfId="0" applyNumberFormat="1" applyFont="1" applyFill="1" applyBorder="1" applyAlignment="1">
      <alignment vertical="center" wrapText="1"/>
    </xf>
    <xf numFmtId="9" fontId="10" fillId="6" borderId="28" xfId="0" applyNumberFormat="1" applyFont="1" applyFill="1" applyBorder="1" applyAlignment="1">
      <alignment vertical="center" wrapText="1"/>
    </xf>
    <xf numFmtId="0" fontId="4" fillId="0" borderId="0" xfId="0" applyFont="1" applyAlignment="1">
      <alignment wrapText="1"/>
    </xf>
    <xf numFmtId="0" fontId="0" fillId="0" borderId="16" xfId="0" applyBorder="1" applyAlignment="1">
      <alignment horizontal="left" wrapText="1"/>
    </xf>
    <xf numFmtId="0" fontId="0" fillId="0" borderId="17" xfId="0" applyBorder="1" applyAlignment="1">
      <alignment horizontal="left" wrapText="1"/>
    </xf>
    <xf numFmtId="0" fontId="0" fillId="0" borderId="18" xfId="0" applyBorder="1" applyAlignment="1">
      <alignment horizontal="left" wrapText="1"/>
    </xf>
    <xf numFmtId="0" fontId="0" fillId="0" borderId="19" xfId="0" applyBorder="1" applyAlignment="1">
      <alignment horizontal="left" wrapText="1"/>
    </xf>
    <xf numFmtId="0" fontId="0" fillId="0" borderId="0" xfId="0" applyBorder="1" applyAlignment="1">
      <alignment horizontal="left" wrapText="1"/>
    </xf>
    <xf numFmtId="0" fontId="0" fillId="0" borderId="20" xfId="0" applyBorder="1" applyAlignment="1">
      <alignment horizontal="left" wrapText="1"/>
    </xf>
    <xf numFmtId="0" fontId="0" fillId="0" borderId="24" xfId="0" applyBorder="1" applyAlignment="1">
      <alignment horizontal="left" wrapText="1"/>
    </xf>
    <xf numFmtId="0" fontId="0" fillId="0" borderId="25" xfId="0" applyBorder="1" applyAlignment="1">
      <alignment horizontal="left" wrapText="1"/>
    </xf>
    <xf numFmtId="0" fontId="0" fillId="0" borderId="26" xfId="0" applyBorder="1" applyAlignment="1">
      <alignment horizontal="left" wrapText="1"/>
    </xf>
    <xf numFmtId="0" fontId="5" fillId="0" borderId="16" xfId="0" applyFont="1" applyBorder="1" applyAlignment="1">
      <alignment horizontal="left" wrapText="1"/>
    </xf>
    <xf numFmtId="0" fontId="5" fillId="0" borderId="17" xfId="0" applyFont="1" applyBorder="1" applyAlignment="1">
      <alignment horizontal="left" wrapText="1"/>
    </xf>
    <xf numFmtId="0" fontId="5" fillId="0" borderId="18" xfId="0" applyFont="1" applyBorder="1" applyAlignment="1">
      <alignment horizontal="left" wrapText="1"/>
    </xf>
    <xf numFmtId="0" fontId="5" fillId="0" borderId="19" xfId="0" applyFont="1" applyBorder="1" applyAlignment="1">
      <alignment horizontal="left" wrapText="1"/>
    </xf>
    <xf numFmtId="0" fontId="5" fillId="0" borderId="0" xfId="0" applyFont="1" applyBorder="1" applyAlignment="1">
      <alignment horizontal="left" wrapText="1"/>
    </xf>
    <xf numFmtId="0" fontId="5" fillId="0" borderId="20" xfId="0" applyFont="1" applyBorder="1" applyAlignment="1">
      <alignment horizontal="left" wrapText="1"/>
    </xf>
    <xf numFmtId="0" fontId="4" fillId="0" borderId="16" xfId="0" applyFont="1" applyBorder="1" applyAlignment="1">
      <alignment horizontal="center" wrapText="1"/>
    </xf>
    <xf numFmtId="0" fontId="4" fillId="0" borderId="17" xfId="0" applyFont="1" applyBorder="1" applyAlignment="1">
      <alignment horizontal="center" wrapText="1"/>
    </xf>
    <xf numFmtId="0" fontId="4" fillId="0" borderId="18" xfId="0" applyFont="1" applyBorder="1" applyAlignment="1">
      <alignment horizontal="center" wrapText="1"/>
    </xf>
    <xf numFmtId="0" fontId="4" fillId="0" borderId="1" xfId="0" applyFont="1" applyBorder="1" applyAlignment="1">
      <alignment horizontal="center"/>
    </xf>
    <xf numFmtId="0" fontId="4" fillId="0" borderId="3" xfId="0" applyFont="1" applyBorder="1" applyAlignment="1">
      <alignment horizontal="center"/>
    </xf>
    <xf numFmtId="0" fontId="4" fillId="0" borderId="2" xfId="0" applyFont="1" applyBorder="1" applyAlignment="1">
      <alignment horizontal="center"/>
    </xf>
    <xf numFmtId="0" fontId="4" fillId="0" borderId="13" xfId="0" applyFont="1" applyBorder="1" applyAlignment="1">
      <alignment horizontal="center" wrapText="1"/>
    </xf>
    <xf numFmtId="0" fontId="4" fillId="0" borderId="14" xfId="0" applyFont="1" applyBorder="1" applyAlignment="1">
      <alignment horizontal="center" wrapText="1"/>
    </xf>
    <xf numFmtId="0" fontId="4" fillId="0" borderId="15" xfId="0" applyFont="1" applyBorder="1" applyAlignment="1">
      <alignment horizontal="center" wrapText="1"/>
    </xf>
    <xf numFmtId="0" fontId="5" fillId="0" borderId="24" xfId="0" applyFont="1" applyBorder="1" applyAlignment="1">
      <alignment horizontal="left" wrapText="1"/>
    </xf>
    <xf numFmtId="0" fontId="5" fillId="0" borderId="25" xfId="0" applyFont="1" applyBorder="1" applyAlignment="1">
      <alignment horizontal="left" wrapText="1"/>
    </xf>
    <xf numFmtId="0" fontId="5" fillId="0" borderId="26" xfId="0" applyFont="1" applyBorder="1" applyAlignment="1">
      <alignment horizontal="left" wrapText="1"/>
    </xf>
    <xf numFmtId="0" fontId="5" fillId="0" borderId="16" xfId="0" applyFont="1" applyBorder="1" applyAlignment="1">
      <alignment horizontal="center" wrapText="1"/>
    </xf>
    <xf numFmtId="0" fontId="4" fillId="0" borderId="19" xfId="0" applyFont="1" applyBorder="1" applyAlignment="1">
      <alignment horizontal="center" wrapText="1"/>
    </xf>
    <xf numFmtId="0" fontId="4" fillId="0" borderId="0" xfId="0" applyFont="1" applyBorder="1" applyAlignment="1">
      <alignment horizontal="center" wrapText="1"/>
    </xf>
    <xf numFmtId="0" fontId="4" fillId="0" borderId="20" xfId="0" applyFont="1"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0" fillId="0" borderId="8" xfId="0" applyBorder="1" applyAlignment="1">
      <alignment horizontal="center" wrapText="1"/>
    </xf>
    <xf numFmtId="0" fontId="0" fillId="0" borderId="4" xfId="0" applyBorder="1" applyAlignment="1">
      <alignment horizontal="center" wrapText="1"/>
    </xf>
    <xf numFmtId="0" fontId="0" fillId="0" borderId="10" xfId="0" applyBorder="1" applyAlignment="1">
      <alignment horizontal="center" wrapText="1"/>
    </xf>
    <xf numFmtId="0" fontId="0" fillId="0" borderId="11" xfId="0" applyBorder="1" applyAlignment="1">
      <alignment horizontal="center" wrapText="1"/>
    </xf>
    <xf numFmtId="9" fontId="0" fillId="0" borderId="6" xfId="0" applyNumberFormat="1" applyBorder="1" applyAlignment="1">
      <alignment horizontal="center" wrapText="1"/>
    </xf>
    <xf numFmtId="0" fontId="0" fillId="0" borderId="7" xfId="0" applyBorder="1" applyAlignment="1">
      <alignment horizontal="center" wrapText="1"/>
    </xf>
    <xf numFmtId="9" fontId="0" fillId="0" borderId="4" xfId="0" applyNumberFormat="1" applyBorder="1" applyAlignment="1">
      <alignment horizontal="center" wrapText="1"/>
    </xf>
    <xf numFmtId="0" fontId="0" fillId="0" borderId="9" xfId="0" applyBorder="1" applyAlignment="1">
      <alignment horizontal="center" wrapText="1"/>
    </xf>
    <xf numFmtId="9" fontId="0" fillId="0" borderId="11" xfId="0" applyNumberFormat="1" applyBorder="1" applyAlignment="1">
      <alignment horizontal="center" wrapText="1"/>
    </xf>
    <xf numFmtId="0" fontId="0" fillId="0" borderId="12" xfId="0" applyBorder="1" applyAlignment="1">
      <alignment horizont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0" xfId="0" applyBorder="1" applyAlignment="1">
      <alignment horizontal="center" vertical="center" wrapText="1"/>
    </xf>
    <xf numFmtId="0" fontId="0" fillId="0" borderId="20"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cellXfs>
  <cellStyles count="4">
    <cellStyle name="Hipervínculo" xfId="3" builtinId="8"/>
    <cellStyle name="Moneda" xfId="1" builtinId="4"/>
    <cellStyle name="Normal" xfId="0" builtinId="0"/>
    <cellStyle name="Porcentaje" xfId="2" builtinId="5"/>
  </cellStyles>
  <dxfs count="32">
    <dxf>
      <font>
        <b val="0"/>
        <i val="0"/>
        <strike val="0"/>
        <condense val="0"/>
        <extend val="0"/>
        <outline val="0"/>
        <shadow val="0"/>
        <u val="none"/>
        <vertAlign val="baseline"/>
        <sz val="11"/>
        <color theme="1"/>
        <name val="Aptos Narrow"/>
        <scheme val="minor"/>
      </font>
      <numFmt numFmtId="13" formatCode="0%"/>
      <border diagonalUp="0" diagonalDown="0" outline="0">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Aptos Narrow"/>
        <scheme val="minor"/>
      </font>
      <numFmt numFmtId="13" formatCode="0%"/>
      <border diagonalUp="0" diagonalDown="0" outline="0">
        <left/>
        <right/>
        <top style="medium">
          <color indexed="64"/>
        </top>
        <bottom style="medium">
          <color indexed="64"/>
        </bottom>
      </border>
    </dxf>
    <dxf>
      <font>
        <b val="0"/>
        <i val="0"/>
        <strike val="0"/>
        <condense val="0"/>
        <extend val="0"/>
        <outline val="0"/>
        <shadow val="0"/>
        <u val="none"/>
        <vertAlign val="baseline"/>
        <sz val="11"/>
        <color theme="1"/>
        <name val="Aptos Narrow"/>
        <scheme val="minor"/>
      </font>
      <numFmt numFmtId="13" formatCode="0%"/>
      <border diagonalUp="0" diagonalDown="0" outline="0">
        <left/>
        <right/>
        <top style="medium">
          <color indexed="64"/>
        </top>
        <bottom style="medium">
          <color indexed="64"/>
        </bottom>
      </border>
    </dxf>
    <dxf>
      <font>
        <b val="0"/>
        <i val="0"/>
        <strike val="0"/>
        <condense val="0"/>
        <extend val="0"/>
        <outline val="0"/>
        <shadow val="0"/>
        <u val="none"/>
        <vertAlign val="baseline"/>
        <sz val="11"/>
        <color theme="1"/>
        <name val="Aptos Narrow"/>
        <scheme val="minor"/>
      </font>
      <numFmt numFmtId="13" formatCode="0%"/>
      <border diagonalUp="0" diagonalDown="0" outline="0">
        <left/>
        <right/>
        <top style="medium">
          <color indexed="64"/>
        </top>
        <bottom style="medium">
          <color indexed="64"/>
        </bottom>
      </border>
    </dxf>
    <dxf>
      <font>
        <b val="0"/>
        <i val="0"/>
        <strike val="0"/>
        <condense val="0"/>
        <extend val="0"/>
        <outline val="0"/>
        <shadow val="0"/>
        <u val="none"/>
        <vertAlign val="baseline"/>
        <sz val="11"/>
        <color theme="1"/>
        <name val="Aptos Narrow"/>
        <scheme val="minor"/>
      </font>
      <numFmt numFmtId="34" formatCode="_ &quot;$&quot;* #,##0.00_ ;_ &quot;$&quot;* \-#,##0.00_ ;_ &quot;$&quot;* &quot;-&quot;??_ ;_ @_ "/>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1"/>
        <color theme="1"/>
        <name val="Aptos Narrow"/>
        <scheme val="minor"/>
      </font>
      <numFmt numFmtId="34" formatCode="_ &quot;$&quot;* #,##0.00_ ;_ &quot;$&quot;* \-#,##0.00_ ;_ &quot;$&quot;* &quot;-&quot;??_ ;_ @_ "/>
    </dxf>
    <dxf>
      <font>
        <b val="0"/>
        <i val="0"/>
        <strike val="0"/>
        <condense val="0"/>
        <extend val="0"/>
        <outline val="0"/>
        <shadow val="0"/>
        <u val="none"/>
        <vertAlign val="baseline"/>
        <sz val="11"/>
        <color theme="1"/>
        <name val="Aptos Narrow"/>
        <scheme val="minor"/>
      </font>
      <numFmt numFmtId="34" formatCode="_ &quot;$&quot;* #,##0.00_ ;_ &quot;$&quot;* \-#,##0.00_ ;_ &quot;$&quot;* &quot;-&quot;??_ ;_ @_ "/>
    </dxf>
    <dxf>
      <font>
        <b val="0"/>
        <i val="0"/>
        <strike val="0"/>
        <condense val="0"/>
        <extend val="0"/>
        <outline val="0"/>
        <shadow val="0"/>
        <u val="none"/>
        <vertAlign val="baseline"/>
        <sz val="11"/>
        <color theme="1"/>
        <name val="Aptos Narrow"/>
        <scheme val="minor"/>
      </font>
      <numFmt numFmtId="34" formatCode="_ &quot;$&quot;* #,##0.00_ ;_ &quot;$&quot;* \-#,##0.00_ ;_ &quot;$&quot;* &quot;-&quot;??_ ;_ @_ "/>
    </dxf>
    <dxf>
      <font>
        <b val="0"/>
        <i val="0"/>
        <strike val="0"/>
        <condense val="0"/>
        <extend val="0"/>
        <outline val="0"/>
        <shadow val="0"/>
        <u val="none"/>
        <vertAlign val="baseline"/>
        <sz val="11"/>
        <color theme="1"/>
        <name val="Aptos Narrow"/>
        <scheme val="minor"/>
      </font>
      <numFmt numFmtId="34" formatCode="_ &quot;$&quot;* #,##0.00_ ;_ &quot;$&quot;* \-#,##0.00_ ;_ &quot;$&quot;* &quot;-&quot;??_ ;_ @_ "/>
    </dxf>
    <dxf>
      <numFmt numFmtId="164" formatCode="&quot;$&quot;#,##0.00"/>
      <alignment horizontal="center" vertical="bottom" textRotation="0" wrapText="0" indent="0" justifyLastLine="0" shrinkToFit="0" readingOrder="0"/>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34" formatCode="_ &quot;$&quot;* #,##0.00_ ;_ &quot;$&quot;* \-#,##0.00_ ;_ &quot;$&quot;* &quot;-&quot;??_ ;_ @_ "/>
    </dxf>
    <dxf>
      <numFmt numFmtId="34" formatCode="_ &quot;$&quot;* #,##0.00_ ;_ &quot;$&quot;* \-#,##0.00_ ;_ &quot;$&quot;* &quot;-&quot;??_ ;_ @_ "/>
    </dxf>
    <dxf>
      <numFmt numFmtId="164" formatCode="&quot;$&quot;#,##0.00"/>
      <alignment horizontal="center" vertical="bottom" textRotation="0" wrapText="0" indent="0" justifyLastLine="0" shrinkToFit="0" readingOrder="0"/>
    </dxf>
    <dxf>
      <font>
        <b/>
        <i val="0"/>
        <strike val="0"/>
        <condense val="0"/>
        <extend val="0"/>
        <outline val="0"/>
        <shadow val="0"/>
        <u val="none"/>
        <vertAlign val="baseline"/>
        <sz val="11"/>
        <color theme="1"/>
        <name val="Aptos Narrow"/>
        <scheme val="minor"/>
      </font>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id="1" name="Tabla1" displayName="Tabla1" ref="A1:O802" totalsRowCount="1" headerRowDxfId="26">
  <autoFilter ref="A1:O801"/>
  <tableColumns count="15">
    <tableColumn id="1" name="Frecuencia"/>
    <tableColumn id="2" name="Código de artículo"/>
    <tableColumn id="3" name="Código Unificador"/>
    <tableColumn id="4" name="Marca"/>
    <tableColumn id="5" name="Categoria Principal"/>
    <tableColumn id="6" name="PrecioFábrica" dataDxfId="25" totalsRowDxfId="9"/>
    <tableColumn id="7" name="PVP Competencia" totalsRowDxfId="8" dataCellStyle="Moneda">
      <calculatedColumnFormula>VLOOKUP(Tabla1[[#This Row],[Código Unificador]],PRECIOS_COMPETENCIA!B:D,3,FALSE)</calculatedColumnFormula>
    </tableColumn>
    <tableColumn id="8" name="Precio Lista CDR" dataDxfId="24" totalsRowDxfId="7" dataCellStyle="Moneda">
      <calculatedColumnFormula>Tabla1[[#This Row],[PVP Competencia]]*0.98</calculatedColumnFormula>
    </tableColumn>
    <tableColumn id="9" name="Lista 1 (20%)" totalsRowDxfId="6" dataCellStyle="Moneda">
      <calculatedColumnFormula>Tabla1[[#This Row],[Precio Lista CDR]]*0.8</calculatedColumnFormula>
    </tableColumn>
    <tableColumn id="10" name="Lista 2 (30%)" dataDxfId="23" totalsRowDxfId="5" dataCellStyle="Moneda">
      <calculatedColumnFormula>Tabla1[[#This Row],[Precio Lista CDR]]*0.7</calculatedColumnFormula>
    </tableColumn>
    <tableColumn id="11" name="Lista 3 (40%)" totalsRowLabel=" PROMEDIOS: " totalsRowDxfId="4" dataCellStyle="Moneda">
      <calculatedColumnFormula>Tabla1[[#This Row],[Precio Lista CDR]]*0.6</calculatedColumnFormula>
    </tableColumn>
    <tableColumn id="12" name="Margen Lista Base %" totalsRowFunction="average" totalsRowDxfId="3" dataCellStyle="Porcentaje">
      <calculatedColumnFormula>(Tabla1[[#This Row],[Precio Lista CDR]]-Tabla1[[#This Row],[PrecioFábrica]])/Tabla1[[#This Row],[Precio Lista CDR]]</calculatedColumnFormula>
    </tableColumn>
    <tableColumn id="13" name="Margen Lista 1 %" totalsRowFunction="average" totalsRowDxfId="2" dataCellStyle="Porcentaje">
      <calculatedColumnFormula>(Tabla1[[#This Row],[Lista 1 (20%)]]-Tabla1[[#This Row],[PrecioFábrica]])/Tabla1[[#This Row],[Lista 1 (20%)]]</calculatedColumnFormula>
    </tableColumn>
    <tableColumn id="14" name="Margen Lista 2 %" totalsRowFunction="average" totalsRowDxfId="1" dataCellStyle="Porcentaje">
      <calculatedColumnFormula>(Tabla1[[#This Row],[Lista 2 (30%)]]-Tabla1[[#This Row],[PrecioFábrica]])/Tabla1[[#This Row],[Lista 2 (30%)]]</calculatedColumnFormula>
    </tableColumn>
    <tableColumn id="15" name="Margen Lista 3 %" totalsRowFunction="average" totalsRowDxfId="0" dataCellStyle="Porcentaje">
      <calculatedColumnFormula>(Tabla1[[#This Row],[Lista 3 (40%)]]-Tabla1[[#This Row],[PrecioFábrica]])/Tabla1[[#This Row],[Lista 3 (40%)]]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65"/>
  <sheetViews>
    <sheetView tabSelected="1" topLeftCell="A7" workbookViewId="0">
      <selection activeCell="B15" sqref="B15"/>
    </sheetView>
  </sheetViews>
  <sheetFormatPr baseColWidth="10" defaultRowHeight="13.8"/>
  <cols>
    <col min="2" max="2" width="14.3984375" bestFit="1" customWidth="1"/>
    <col min="3" max="3" width="10.59765625" bestFit="1" customWidth="1"/>
    <col min="4" max="4" width="12.09765625" customWidth="1"/>
    <col min="5" max="5" width="8.796875" customWidth="1"/>
    <col min="6" max="7" width="8.796875" bestFit="1" customWidth="1"/>
  </cols>
  <sheetData>
    <row r="1" spans="2:8" ht="14.4" thickBot="1"/>
    <row r="2" spans="2:8" ht="14.4" thickBot="1">
      <c r="B2" s="74" t="s">
        <v>2431</v>
      </c>
      <c r="C2" s="75"/>
      <c r="D2" s="75"/>
      <c r="E2" s="75"/>
      <c r="F2" s="75"/>
      <c r="G2" s="76"/>
    </row>
    <row r="3" spans="2:8">
      <c r="B3" s="80" t="s">
        <v>2428</v>
      </c>
      <c r="C3" s="69"/>
      <c r="D3" s="69"/>
      <c r="E3" s="69"/>
      <c r="F3" s="69"/>
      <c r="G3" s="70"/>
    </row>
    <row r="4" spans="2:8" ht="27" customHeight="1" thickBot="1">
      <c r="B4" s="81"/>
      <c r="C4" s="82"/>
      <c r="D4" s="82"/>
      <c r="E4" s="82"/>
      <c r="F4" s="82"/>
      <c r="G4" s="83"/>
    </row>
    <row r="5" spans="2:8">
      <c r="B5" s="84" t="s">
        <v>2424</v>
      </c>
      <c r="C5" s="85"/>
      <c r="D5" s="85"/>
      <c r="E5" s="90">
        <f>AVERAGE(ANÁLISIS_ESTRATÉGICO!L2:L801)</f>
        <v>0.75799181025800055</v>
      </c>
      <c r="F5" s="85"/>
      <c r="G5" s="91"/>
    </row>
    <row r="6" spans="2:8">
      <c r="B6" s="86" t="s">
        <v>2425</v>
      </c>
      <c r="C6" s="87"/>
      <c r="D6" s="87"/>
      <c r="E6" s="92">
        <f>AVERAGE(ANÁLISIS_ESTRATÉGICO!M2:M801)</f>
        <v>0.69748976282249975</v>
      </c>
      <c r="F6" s="87"/>
      <c r="G6" s="93"/>
    </row>
    <row r="7" spans="2:8">
      <c r="B7" s="86" t="s">
        <v>2426</v>
      </c>
      <c r="C7" s="87"/>
      <c r="D7" s="87"/>
      <c r="E7" s="92">
        <f>AVERAGE(ANÁLISIS_ESTRATÉGICO!N2:N801)</f>
        <v>0.65427401465428603</v>
      </c>
      <c r="F7" s="87"/>
      <c r="G7" s="93"/>
    </row>
    <row r="8" spans="2:8" ht="14.4" thickBot="1">
      <c r="B8" s="88" t="s">
        <v>2427</v>
      </c>
      <c r="C8" s="89"/>
      <c r="D8" s="89"/>
      <c r="E8" s="94">
        <f>AVERAGE(ANÁLISIS_ESTRATÉGICO!O2:O801)</f>
        <v>0.59665301709666696</v>
      </c>
      <c r="F8" s="89"/>
      <c r="G8" s="95"/>
    </row>
    <row r="10" spans="2:8" ht="14.4" thickBot="1"/>
    <row r="11" spans="2:8" ht="14.4" thickBot="1">
      <c r="B11" s="74" t="s">
        <v>2430</v>
      </c>
      <c r="C11" s="75"/>
      <c r="D11" s="75"/>
      <c r="E11" s="75"/>
      <c r="F11" s="75"/>
      <c r="G11" s="76"/>
    </row>
    <row r="12" spans="2:8">
      <c r="B12" s="80" t="s">
        <v>2429</v>
      </c>
      <c r="C12" s="69"/>
      <c r="D12" s="69"/>
      <c r="E12" s="69"/>
      <c r="F12" s="69"/>
      <c r="G12" s="70"/>
    </row>
    <row r="13" spans="2:8" ht="14.4" thickBot="1">
      <c r="B13" s="81"/>
      <c r="C13" s="82"/>
      <c r="D13" s="82"/>
      <c r="E13" s="82"/>
      <c r="F13" s="82"/>
      <c r="G13" s="83"/>
    </row>
    <row r="14" spans="2:8" ht="29.4" customHeight="1" thickBot="1">
      <c r="B14" s="18" t="s">
        <v>2</v>
      </c>
      <c r="C14" s="19" t="s">
        <v>0</v>
      </c>
      <c r="D14" s="20" t="s">
        <v>2419</v>
      </c>
      <c r="E14" s="19" t="s">
        <v>2420</v>
      </c>
      <c r="F14" s="19" t="s">
        <v>2421</v>
      </c>
      <c r="G14" s="21" t="s">
        <v>2422</v>
      </c>
      <c r="H14" s="22"/>
    </row>
    <row r="15" spans="2:8">
      <c r="B15" s="35" t="str">
        <f>HYPERLINK("#'ANÁLISIS_ESTRATÉGICO'!C" &amp; MATCH("RD_0025767", ANÁLISIS_ESTRATÉGICO!C:C, 0), "RD_0025767")</f>
        <v>RD_0025767</v>
      </c>
      <c r="C15" s="24" t="s">
        <v>6</v>
      </c>
      <c r="D15" s="25">
        <v>0.47900035435049448</v>
      </c>
      <c r="E15" s="25">
        <v>0.34875044293811813</v>
      </c>
      <c r="F15" s="25">
        <v>0.25571479192927771</v>
      </c>
      <c r="G15" s="26">
        <v>0.13166725725082412</v>
      </c>
      <c r="H15" s="17"/>
    </row>
    <row r="16" spans="2:8">
      <c r="B16" s="33" t="str">
        <f>HYPERLINK("#'ANÁLISIS_ESTRATÉGICO'!C" &amp; MATCH("RD_0025771", ANÁLISIS_ESTRATÉGICO!C:C, 0), "RD_0025771")</f>
        <v>RD_0025771</v>
      </c>
      <c r="C16" s="27" t="s">
        <v>6</v>
      </c>
      <c r="D16" s="28">
        <v>0.53791021232669767</v>
      </c>
      <c r="E16" s="28">
        <v>0.42238776540837203</v>
      </c>
      <c r="F16" s="28">
        <v>0.33987173189528225</v>
      </c>
      <c r="G16" s="29">
        <v>0.22985035387782937</v>
      </c>
      <c r="H16" s="17"/>
    </row>
    <row r="17" spans="2:8">
      <c r="B17" s="33" t="str">
        <f>HYPERLINK("#'ANÁLISIS_ESTRATÉGICO'!C" &amp; MATCH("RD_0026436", ANÁLISIS_ESTRATÉGICO!C:C, 0), "RD_0026436")</f>
        <v>RD_0026436</v>
      </c>
      <c r="C17" s="30" t="s">
        <v>6</v>
      </c>
      <c r="D17" s="31">
        <v>0.45274862054008191</v>
      </c>
      <c r="E17" s="31">
        <v>0.31593577567510245</v>
      </c>
      <c r="F17" s="31">
        <v>0.21821231505725983</v>
      </c>
      <c r="G17" s="32">
        <v>8.7914367566803153E-2</v>
      </c>
      <c r="H17" s="17"/>
    </row>
    <row r="18" spans="2:8">
      <c r="B18" s="33" t="str">
        <f>HYPERLINK("#'ANÁLISIS_ESTRATÉGICO'!C" &amp; MATCH("RD_0026439", ANÁLISIS_ESTRATÉGICO!C:C, 0), "RD_0026439")</f>
        <v>RD_0026439</v>
      </c>
      <c r="C18" s="27" t="s">
        <v>6</v>
      </c>
      <c r="D18" s="28">
        <v>0.5017818670639167</v>
      </c>
      <c r="E18" s="28">
        <v>0.37722733382989604</v>
      </c>
      <c r="F18" s="28">
        <v>0.28825981009130963</v>
      </c>
      <c r="G18" s="29">
        <v>0.16963644510652784</v>
      </c>
      <c r="H18" s="17"/>
    </row>
    <row r="19" spans="2:8">
      <c r="B19" s="33" t="str">
        <f>HYPERLINK("#'ANÁLISIS_ESTRATÉGICO'!C" &amp; MATCH("RD_0026440", ANÁLISIS_ESTRATÉGICO!C:C, 0), "RD_0026440")</f>
        <v>RD_0026440</v>
      </c>
      <c r="C19" s="30" t="s">
        <v>6</v>
      </c>
      <c r="D19" s="31">
        <v>0.51562120118009147</v>
      </c>
      <c r="E19" s="31">
        <v>0.39452650147511431</v>
      </c>
      <c r="F19" s="31">
        <v>0.30803028740013061</v>
      </c>
      <c r="G19" s="32">
        <v>0.19270200196681914</v>
      </c>
      <c r="H19" s="17"/>
    </row>
    <row r="20" spans="2:8">
      <c r="B20" s="33" t="str">
        <f>HYPERLINK("#'ANÁLISIS_ESTRATÉGICO'!C" &amp; MATCH("RD_0025694", ANÁLISIS_ESTRATÉGICO!C:C, 0), "RD_0025694")</f>
        <v>RD_0025694</v>
      </c>
      <c r="C20" s="30" t="s">
        <v>7</v>
      </c>
      <c r="D20" s="31">
        <v>0.58593573881794425</v>
      </c>
      <c r="E20" s="31">
        <v>0.48241967352243043</v>
      </c>
      <c r="F20" s="31">
        <v>0.4084796268827775</v>
      </c>
      <c r="G20" s="32">
        <v>0.3098928980299071</v>
      </c>
      <c r="H20" s="17"/>
    </row>
    <row r="21" spans="2:8">
      <c r="B21" s="33" t="str">
        <f>HYPERLINK("#'ANÁLISIS_ESTRATÉGICO'!C" &amp; MATCH("RD_0025763", ANÁLISIS_ESTRATÉGICO!C:C, 0), "RD_0025763")</f>
        <v>RD_0025763</v>
      </c>
      <c r="C21" s="27" t="s">
        <v>7</v>
      </c>
      <c r="D21" s="28">
        <v>0.57249725054615852</v>
      </c>
      <c r="E21" s="28">
        <v>0.46562156318269815</v>
      </c>
      <c r="F21" s="28">
        <v>0.38928178649451206</v>
      </c>
      <c r="G21" s="29">
        <v>0.28749541757693087</v>
      </c>
      <c r="H21" s="17"/>
    </row>
    <row r="22" spans="2:8">
      <c r="B22" s="33" t="str">
        <f>HYPERLINK("#'ANÁLISIS_ESTRATÉGICO'!C" &amp; MATCH("RD_0026344", ANÁLISIS_ESTRATÉGICO!C:C, 0), "RD_0026344")</f>
        <v>RD_0026344</v>
      </c>
      <c r="C22" s="27" t="s">
        <v>7</v>
      </c>
      <c r="D22" s="28">
        <v>0.61312857130610132</v>
      </c>
      <c r="E22" s="28">
        <v>0.51641071413262674</v>
      </c>
      <c r="F22" s="28">
        <v>0.4473265304372876</v>
      </c>
      <c r="G22" s="29">
        <v>0.35521428551016887</v>
      </c>
      <c r="H22" s="17"/>
    </row>
    <row r="23" spans="2:8" ht="14.4" thickBot="1">
      <c r="B23" s="34" t="str">
        <f>HYPERLINK("#'ANÁLISIS_ESTRATÉGICO'!C" &amp; MATCH("RD_0026100", ANÁLISIS_ESTRATÉGICO!C:C, 0), "RD_0026100")</f>
        <v>RD_0026100</v>
      </c>
      <c r="C23" s="39" t="s">
        <v>9</v>
      </c>
      <c r="D23" s="40">
        <v>0.61304975446988685</v>
      </c>
      <c r="E23" s="40">
        <v>0.51631219308735865</v>
      </c>
      <c r="F23" s="40">
        <v>0.44721393495698114</v>
      </c>
      <c r="G23" s="41">
        <v>0.35508292411647807</v>
      </c>
    </row>
    <row r="24" spans="2:8" ht="14.4" thickBot="1">
      <c r="C24" s="37" t="s">
        <v>2437</v>
      </c>
      <c r="D24" s="38">
        <f>AVERAGE(D15:D23)</f>
        <v>0.5412970634001526</v>
      </c>
      <c r="E24" s="38">
        <f>AVERAGE(E15:E23)</f>
        <v>0.42662132925019081</v>
      </c>
      <c r="F24" s="38">
        <f>AVERAGE(F15:F23)</f>
        <v>0.34471009057164648</v>
      </c>
      <c r="G24" s="38">
        <f t="shared" ref="G24" si="0">AVERAGE(G15:G23)</f>
        <v>0.23549510566692092</v>
      </c>
    </row>
    <row r="25" spans="2:8" ht="14.4" thickBot="1">
      <c r="B25" s="23"/>
    </row>
    <row r="26" spans="2:8" ht="14.4" thickBot="1">
      <c r="B26" s="74" t="s">
        <v>2436</v>
      </c>
      <c r="C26" s="75"/>
      <c r="D26" s="75"/>
      <c r="E26" s="75"/>
      <c r="F26" s="75"/>
      <c r="G26" s="76"/>
    </row>
    <row r="27" spans="2:8" ht="13.8" customHeight="1">
      <c r="B27" s="62" t="s">
        <v>2439</v>
      </c>
      <c r="C27" s="63"/>
      <c r="D27" s="63"/>
      <c r="E27" s="63"/>
      <c r="F27" s="63"/>
      <c r="G27" s="64"/>
    </row>
    <row r="28" spans="2:8">
      <c r="B28" s="65"/>
      <c r="C28" s="66"/>
      <c r="D28" s="66"/>
      <c r="E28" s="66"/>
      <c r="F28" s="66"/>
      <c r="G28" s="67"/>
    </row>
    <row r="29" spans="2:8" ht="14.4" thickBot="1">
      <c r="B29" s="77"/>
      <c r="C29" s="78"/>
      <c r="D29" s="78"/>
      <c r="E29" s="78"/>
      <c r="F29" s="78"/>
      <c r="G29" s="79"/>
    </row>
    <row r="30" spans="2:8" ht="13.8" customHeight="1">
      <c r="B30" s="62" t="s">
        <v>2432</v>
      </c>
      <c r="C30" s="63"/>
      <c r="D30" s="63"/>
      <c r="E30" s="63"/>
      <c r="F30" s="63"/>
      <c r="G30" s="64"/>
    </row>
    <row r="31" spans="2:8" ht="14.4" thickBot="1">
      <c r="B31" s="65"/>
      <c r="C31" s="66"/>
      <c r="D31" s="66"/>
      <c r="E31" s="66"/>
      <c r="F31" s="66"/>
      <c r="G31" s="67"/>
    </row>
    <row r="32" spans="2:8" ht="13.8" customHeight="1">
      <c r="B32" s="53" t="s">
        <v>2443</v>
      </c>
      <c r="C32" s="54"/>
      <c r="D32" s="54"/>
      <c r="E32" s="54"/>
      <c r="F32" s="54"/>
      <c r="G32" s="55"/>
    </row>
    <row r="33" spans="2:7">
      <c r="B33" s="56"/>
      <c r="C33" s="57"/>
      <c r="D33" s="57"/>
      <c r="E33" s="57"/>
      <c r="F33" s="57"/>
      <c r="G33" s="58"/>
    </row>
    <row r="34" spans="2:7" ht="13.8" customHeight="1">
      <c r="B34" s="56"/>
      <c r="C34" s="57"/>
      <c r="D34" s="57"/>
      <c r="E34" s="57"/>
      <c r="F34" s="57"/>
      <c r="G34" s="58"/>
    </row>
    <row r="35" spans="2:7" ht="14.4" thickBot="1">
      <c r="B35" s="59"/>
      <c r="C35" s="60"/>
      <c r="D35" s="60"/>
      <c r="E35" s="60"/>
      <c r="F35" s="60"/>
      <c r="G35" s="61"/>
    </row>
    <row r="36" spans="2:7" ht="14.4" thickBot="1">
      <c r="B36" s="36"/>
      <c r="C36" s="36"/>
      <c r="D36" s="36"/>
      <c r="E36" s="36"/>
      <c r="F36" s="36"/>
      <c r="G36" s="36"/>
    </row>
    <row r="37" spans="2:7" ht="14.4" thickBot="1">
      <c r="B37" s="68" t="s">
        <v>2433</v>
      </c>
      <c r="C37" s="69"/>
      <c r="D37" s="69"/>
      <c r="E37" s="69"/>
      <c r="F37" s="69"/>
      <c r="G37" s="70"/>
    </row>
    <row r="38" spans="2:7" ht="14.4" thickBot="1">
      <c r="B38" s="71" t="s">
        <v>2434</v>
      </c>
      <c r="C38" s="72"/>
      <c r="D38" s="73" t="s">
        <v>2435</v>
      </c>
      <c r="E38" s="73"/>
      <c r="F38" s="73"/>
      <c r="G38" s="72"/>
    </row>
    <row r="39" spans="2:7">
      <c r="B39" s="96" t="s">
        <v>2438</v>
      </c>
      <c r="C39" s="98"/>
      <c r="D39" s="96" t="s">
        <v>2442</v>
      </c>
      <c r="E39" s="97"/>
      <c r="F39" s="97"/>
      <c r="G39" s="98"/>
    </row>
    <row r="40" spans="2:7">
      <c r="B40" s="99"/>
      <c r="C40" s="101"/>
      <c r="D40" s="99"/>
      <c r="E40" s="100"/>
      <c r="F40" s="100"/>
      <c r="G40" s="101"/>
    </row>
    <row r="41" spans="2:7">
      <c r="B41" s="99"/>
      <c r="C41" s="101"/>
      <c r="D41" s="99"/>
      <c r="E41" s="100"/>
      <c r="F41" s="100"/>
      <c r="G41" s="101"/>
    </row>
    <row r="42" spans="2:7">
      <c r="B42" s="99"/>
      <c r="C42" s="101"/>
      <c r="D42" s="99"/>
      <c r="E42" s="100"/>
      <c r="F42" s="100"/>
      <c r="G42" s="101"/>
    </row>
    <row r="43" spans="2:7" ht="13.8" customHeight="1">
      <c r="B43" s="99"/>
      <c r="C43" s="101"/>
      <c r="D43" s="99"/>
      <c r="E43" s="100"/>
      <c r="F43" s="100"/>
      <c r="G43" s="101"/>
    </row>
    <row r="44" spans="2:7">
      <c r="B44" s="99"/>
      <c r="C44" s="101"/>
      <c r="D44" s="99"/>
      <c r="E44" s="100"/>
      <c r="F44" s="100"/>
      <c r="G44" s="101"/>
    </row>
    <row r="45" spans="2:7">
      <c r="B45" s="99"/>
      <c r="C45" s="101"/>
      <c r="D45" s="99"/>
      <c r="E45" s="100"/>
      <c r="F45" s="100"/>
      <c r="G45" s="101"/>
    </row>
    <row r="46" spans="2:7">
      <c r="B46" s="99"/>
      <c r="C46" s="101"/>
      <c r="D46" s="99"/>
      <c r="E46" s="100"/>
      <c r="F46" s="100"/>
      <c r="G46" s="101"/>
    </row>
    <row r="47" spans="2:7" ht="27" customHeight="1" thickBot="1">
      <c r="B47" s="102"/>
      <c r="C47" s="104"/>
      <c r="D47" s="102"/>
      <c r="E47" s="103"/>
      <c r="F47" s="103"/>
      <c r="G47" s="104"/>
    </row>
    <row r="48" spans="2:7" ht="13.8" customHeight="1">
      <c r="B48" s="96" t="s">
        <v>2440</v>
      </c>
      <c r="C48" s="98"/>
      <c r="D48" s="96" t="s">
        <v>2450</v>
      </c>
      <c r="E48" s="97"/>
      <c r="F48" s="97"/>
      <c r="G48" s="98"/>
    </row>
    <row r="49" spans="2:7">
      <c r="B49" s="99"/>
      <c r="C49" s="101"/>
      <c r="D49" s="99"/>
      <c r="E49" s="100"/>
      <c r="F49" s="100"/>
      <c r="G49" s="101"/>
    </row>
    <row r="50" spans="2:7">
      <c r="B50" s="99"/>
      <c r="C50" s="101"/>
      <c r="D50" s="99"/>
      <c r="E50" s="100"/>
      <c r="F50" s="100"/>
      <c r="G50" s="101"/>
    </row>
    <row r="51" spans="2:7">
      <c r="B51" s="99"/>
      <c r="C51" s="101"/>
      <c r="D51" s="99"/>
      <c r="E51" s="100"/>
      <c r="F51" s="100"/>
      <c r="G51" s="101"/>
    </row>
    <row r="52" spans="2:7">
      <c r="B52" s="99"/>
      <c r="C52" s="101"/>
      <c r="D52" s="99"/>
      <c r="E52" s="100"/>
      <c r="F52" s="100"/>
      <c r="G52" s="101"/>
    </row>
    <row r="53" spans="2:7">
      <c r="B53" s="99"/>
      <c r="C53" s="101"/>
      <c r="D53" s="99"/>
      <c r="E53" s="100"/>
      <c r="F53" s="100"/>
      <c r="G53" s="101"/>
    </row>
    <row r="54" spans="2:7" ht="14.4" thickBot="1">
      <c r="B54" s="102"/>
      <c r="C54" s="104"/>
      <c r="D54" s="102"/>
      <c r="E54" s="103"/>
      <c r="F54" s="103"/>
      <c r="G54" s="104"/>
    </row>
    <row r="55" spans="2:7" ht="13.8" customHeight="1">
      <c r="B55" s="96" t="s">
        <v>2441</v>
      </c>
      <c r="C55" s="98"/>
      <c r="D55" s="96" t="s">
        <v>2444</v>
      </c>
      <c r="E55" s="97"/>
      <c r="F55" s="97"/>
      <c r="G55" s="98"/>
    </row>
    <row r="56" spans="2:7">
      <c r="B56" s="99"/>
      <c r="C56" s="101"/>
      <c r="D56" s="99"/>
      <c r="E56" s="100"/>
      <c r="F56" s="100"/>
      <c r="G56" s="101"/>
    </row>
    <row r="57" spans="2:7">
      <c r="B57" s="99"/>
      <c r="C57" s="101"/>
      <c r="D57" s="99"/>
      <c r="E57" s="100"/>
      <c r="F57" s="100"/>
      <c r="G57" s="101"/>
    </row>
    <row r="58" spans="2:7">
      <c r="B58" s="99"/>
      <c r="C58" s="101"/>
      <c r="D58" s="99"/>
      <c r="E58" s="100"/>
      <c r="F58" s="100"/>
      <c r="G58" s="101"/>
    </row>
    <row r="59" spans="2:7">
      <c r="B59" s="99"/>
      <c r="C59" s="101"/>
      <c r="D59" s="99"/>
      <c r="E59" s="100"/>
      <c r="F59" s="100"/>
      <c r="G59" s="101"/>
    </row>
    <row r="60" spans="2:7">
      <c r="B60" s="99"/>
      <c r="C60" s="101"/>
      <c r="D60" s="99"/>
      <c r="E60" s="100"/>
      <c r="F60" s="100"/>
      <c r="G60" s="101"/>
    </row>
    <row r="61" spans="2:7">
      <c r="B61" s="99"/>
      <c r="C61" s="101"/>
      <c r="D61" s="99"/>
      <c r="E61" s="100"/>
      <c r="F61" s="100"/>
      <c r="G61" s="101"/>
    </row>
    <row r="62" spans="2:7">
      <c r="B62" s="99"/>
      <c r="C62" s="101"/>
      <c r="D62" s="99"/>
      <c r="E62" s="100"/>
      <c r="F62" s="100"/>
      <c r="G62" s="101"/>
    </row>
    <row r="63" spans="2:7">
      <c r="B63" s="99"/>
      <c r="C63" s="101"/>
      <c r="D63" s="99"/>
      <c r="E63" s="100"/>
      <c r="F63" s="100"/>
      <c r="G63" s="101"/>
    </row>
    <row r="64" spans="2:7">
      <c r="B64" s="99"/>
      <c r="C64" s="101"/>
      <c r="D64" s="99"/>
      <c r="E64" s="100"/>
      <c r="F64" s="100"/>
      <c r="G64" s="101"/>
    </row>
    <row r="65" spans="2:7" ht="14.4" thickBot="1">
      <c r="B65" s="102"/>
      <c r="C65" s="104"/>
      <c r="D65" s="102"/>
      <c r="E65" s="103"/>
      <c r="F65" s="103"/>
      <c r="G65" s="104"/>
    </row>
  </sheetData>
  <mergeCells count="25">
    <mergeCell ref="D55:G65"/>
    <mergeCell ref="B55:C65"/>
    <mergeCell ref="D39:G47"/>
    <mergeCell ref="B39:C47"/>
    <mergeCell ref="D48:G54"/>
    <mergeCell ref="B48:C54"/>
    <mergeCell ref="B26:G26"/>
    <mergeCell ref="B27:G29"/>
    <mergeCell ref="B11:G11"/>
    <mergeCell ref="B12:G13"/>
    <mergeCell ref="B2:G2"/>
    <mergeCell ref="B5:D5"/>
    <mergeCell ref="B6:D6"/>
    <mergeCell ref="B7:D7"/>
    <mergeCell ref="B8:D8"/>
    <mergeCell ref="E5:G5"/>
    <mergeCell ref="E6:G6"/>
    <mergeCell ref="E7:G7"/>
    <mergeCell ref="E8:G8"/>
    <mergeCell ref="B3:G4"/>
    <mergeCell ref="B32:G35"/>
    <mergeCell ref="B30:G31"/>
    <mergeCell ref="B37:G37"/>
    <mergeCell ref="B38:C38"/>
    <mergeCell ref="D38:G38"/>
  </mergeCells>
  <conditionalFormatting sqref="E5:G8">
    <cfRule type="cellIs" dxfId="31" priority="11" operator="greaterThan">
      <formula>0.4</formula>
    </cfRule>
  </conditionalFormatting>
  <conditionalFormatting sqref="D15:G24">
    <cfRule type="cellIs" dxfId="30" priority="1" operator="lessThan">
      <formula>0.4</formula>
    </cfRule>
    <cfRule type="cellIs" dxfId="29" priority="3" operator="greaterThan">
      <formula>0.5</formula>
    </cfRule>
    <cfRule type="cellIs" dxfId="28" priority="4" operator="between">
      <formula>40%</formula>
      <formula>0.5</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15"/>
  <sheetViews>
    <sheetView topLeftCell="C29" zoomScaleNormal="100" workbookViewId="0">
      <selection activeCell="H29" sqref="H29"/>
    </sheetView>
  </sheetViews>
  <sheetFormatPr baseColWidth="10" defaultRowHeight="13.8"/>
  <cols>
    <col min="1" max="1" width="12.296875" customWidth="1"/>
    <col min="2" max="3" width="19.19921875" customWidth="1"/>
    <col min="4" max="4" width="17.19921875" bestFit="1" customWidth="1"/>
    <col min="5" max="5" width="26.796875" bestFit="1" customWidth="1"/>
    <col min="6" max="6" width="16.796875" style="2" bestFit="1" customWidth="1"/>
    <col min="7" max="10" width="11.19921875" style="10"/>
    <col min="11" max="11" width="13.8984375" style="10" customWidth="1"/>
    <col min="12" max="15" width="11.19921875" style="12"/>
  </cols>
  <sheetData>
    <row r="1" spans="1:15">
      <c r="A1" s="6" t="s">
        <v>0</v>
      </c>
      <c r="B1" s="6" t="s">
        <v>1</v>
      </c>
      <c r="C1" s="6" t="s">
        <v>2</v>
      </c>
      <c r="D1" s="6" t="s">
        <v>3</v>
      </c>
      <c r="E1" s="6" t="s">
        <v>4</v>
      </c>
      <c r="F1" s="7" t="s">
        <v>813</v>
      </c>
      <c r="G1" s="9" t="s">
        <v>812</v>
      </c>
      <c r="H1" s="9" t="s">
        <v>2415</v>
      </c>
      <c r="I1" s="9" t="s">
        <v>2416</v>
      </c>
      <c r="J1" s="9" t="s">
        <v>2417</v>
      </c>
      <c r="K1" s="9" t="s">
        <v>2418</v>
      </c>
      <c r="L1" s="11" t="s">
        <v>2419</v>
      </c>
      <c r="M1" s="11" t="s">
        <v>2420</v>
      </c>
      <c r="N1" s="11" t="s">
        <v>2421</v>
      </c>
      <c r="O1" s="11" t="s">
        <v>2422</v>
      </c>
    </row>
    <row r="2" spans="1:15">
      <c r="A2" t="s">
        <v>6</v>
      </c>
      <c r="B2" t="s">
        <v>11</v>
      </c>
      <c r="C2" t="s">
        <v>814</v>
      </c>
      <c r="D2" t="s">
        <v>811</v>
      </c>
      <c r="E2" t="s">
        <v>5</v>
      </c>
      <c r="F2" s="3">
        <v>5.5083333333333337</v>
      </c>
      <c r="G2" s="10">
        <f>VLOOKUP(Tabla1[[#This Row],[Código Unificador]],PRECIOS_COMPETENCIA!B:D,3,FALSE)</f>
        <v>23.252100000000002</v>
      </c>
      <c r="H2" s="10">
        <f>Tabla1[[#This Row],[PVP Competencia]]*0.98</f>
        <v>22.787058000000002</v>
      </c>
      <c r="I2" s="10">
        <f>Tabla1[[#This Row],[Precio Lista CDR]]*0.8</f>
        <v>18.229646400000004</v>
      </c>
      <c r="J2" s="10">
        <f>Tabla1[[#This Row],[Precio Lista CDR]]*0.7</f>
        <v>15.950940600000001</v>
      </c>
      <c r="K2" s="10">
        <f>Tabla1[[#This Row],[Precio Lista CDR]]*0.6</f>
        <v>13.6722348</v>
      </c>
      <c r="L2" s="12">
        <f>(Tabla1[[#This Row],[Precio Lista CDR]]-Tabla1[[#This Row],[PrecioFábrica]])/Tabla1[[#This Row],[Precio Lista CDR]]</f>
        <v>0.75826921872348185</v>
      </c>
      <c r="M2" s="12">
        <f>(Tabla1[[#This Row],[Lista 1 (20%)]]-Tabla1[[#This Row],[PrecioFábrica]])/Tabla1[[#This Row],[Lista 1 (20%)]]</f>
        <v>0.69783652340435243</v>
      </c>
      <c r="N2" s="12">
        <f>(Tabla1[[#This Row],[Lista 2 (30%)]]-Tabla1[[#This Row],[PrecioFábrica]])/Tabla1[[#This Row],[Lista 2 (30%)]]</f>
        <v>0.65467031246211682</v>
      </c>
      <c r="O2" s="12">
        <f>(Tabla1[[#This Row],[Lista 3 (40%)]]-Tabla1[[#This Row],[PrecioFábrica]])/Tabla1[[#This Row],[Lista 3 (40%)]]</f>
        <v>0.59711536453913627</v>
      </c>
    </row>
    <row r="3" spans="1:15">
      <c r="A3" t="s">
        <v>6</v>
      </c>
      <c r="B3" t="s">
        <v>12</v>
      </c>
      <c r="C3" t="s">
        <v>815</v>
      </c>
      <c r="D3" t="s">
        <v>811</v>
      </c>
      <c r="E3" t="s">
        <v>5</v>
      </c>
      <c r="F3" s="3">
        <v>4.3500000000000005</v>
      </c>
      <c r="G3" s="10">
        <f>VLOOKUP(Tabla1[[#This Row],[Código Unificador]],PRECIOS_COMPETENCIA!B:D,3,FALSE)</f>
        <v>16.993450000000003</v>
      </c>
      <c r="H3" s="10">
        <f>Tabla1[[#This Row],[PVP Competencia]]*0.98</f>
        <v>16.653581000000003</v>
      </c>
      <c r="I3" s="10">
        <f>Tabla1[[#This Row],[Precio Lista CDR]]*0.8</f>
        <v>13.322864800000003</v>
      </c>
      <c r="J3" s="10">
        <f>Tabla1[[#This Row],[Precio Lista CDR]]*0.7</f>
        <v>11.657506700000001</v>
      </c>
      <c r="K3" s="10">
        <f>Tabla1[[#This Row],[Precio Lista CDR]]*0.6</f>
        <v>9.9921486000000019</v>
      </c>
      <c r="L3" s="12">
        <f>(Tabla1[[#This Row],[Precio Lista CDR]]-Tabla1[[#This Row],[PrecioFábrica]])/Tabla1[[#This Row],[Precio Lista CDR]]</f>
        <v>0.73879491744147996</v>
      </c>
      <c r="M3" s="12">
        <f>(Tabla1[[#This Row],[Lista 1 (20%)]]-Tabla1[[#This Row],[PrecioFábrica]])/Tabla1[[#This Row],[Lista 1 (20%)]]</f>
        <v>0.67349364680185009</v>
      </c>
      <c r="N3" s="12">
        <f>(Tabla1[[#This Row],[Lista 2 (30%)]]-Tabla1[[#This Row],[PrecioFábrica]])/Tabla1[[#This Row],[Lista 2 (30%)]]</f>
        <v>0.62684988205925718</v>
      </c>
      <c r="O3" s="12">
        <f>(Tabla1[[#This Row],[Lista 3 (40%)]]-Tabla1[[#This Row],[PrecioFábrica]])/Tabla1[[#This Row],[Lista 3 (40%)]]</f>
        <v>0.56465819573580001</v>
      </c>
    </row>
    <row r="4" spans="1:15">
      <c r="A4" t="s">
        <v>6</v>
      </c>
      <c r="B4" t="s">
        <v>13</v>
      </c>
      <c r="C4" t="s">
        <v>816</v>
      </c>
      <c r="D4" t="s">
        <v>811</v>
      </c>
      <c r="E4" t="s">
        <v>5</v>
      </c>
      <c r="F4" s="3">
        <v>7.5666666666666673</v>
      </c>
      <c r="G4" s="10">
        <f>VLOOKUP(Tabla1[[#This Row],[Código Unificador]],PRECIOS_COMPETENCIA!B:D,3,FALSE)</f>
        <v>29.98</v>
      </c>
      <c r="H4" s="10">
        <f>Tabla1[[#This Row],[PVP Competencia]]*0.98</f>
        <v>29.380400000000002</v>
      </c>
      <c r="I4" s="10">
        <f>Tabla1[[#This Row],[Precio Lista CDR]]*0.8</f>
        <v>23.504320000000003</v>
      </c>
      <c r="J4" s="10">
        <f>Tabla1[[#This Row],[Precio Lista CDR]]*0.7</f>
        <v>20.566279999999999</v>
      </c>
      <c r="K4" s="10">
        <f>Tabla1[[#This Row],[Precio Lista CDR]]*0.6</f>
        <v>17.628240000000002</v>
      </c>
      <c r="L4" s="12">
        <f>(Tabla1[[#This Row],[Precio Lista CDR]]-Tabla1[[#This Row],[PrecioFábrica]])/Tabla1[[#This Row],[Precio Lista CDR]]</f>
        <v>0.74245869128171615</v>
      </c>
      <c r="M4" s="12">
        <f>(Tabla1[[#This Row],[Lista 1 (20%)]]-Tabla1[[#This Row],[PrecioFábrica]])/Tabla1[[#This Row],[Lista 1 (20%)]]</f>
        <v>0.67807336410214525</v>
      </c>
      <c r="N4" s="12">
        <f>(Tabla1[[#This Row],[Lista 2 (30%)]]-Tabla1[[#This Row],[PrecioFábrica]])/Tabla1[[#This Row],[Lista 2 (30%)]]</f>
        <v>0.63208384468816592</v>
      </c>
      <c r="O4" s="12">
        <f>(Tabla1[[#This Row],[Lista 3 (40%)]]-Tabla1[[#This Row],[PrecioFábrica]])/Tabla1[[#This Row],[Lista 3 (40%)]]</f>
        <v>0.57076448546952696</v>
      </c>
    </row>
    <row r="5" spans="1:15">
      <c r="A5" t="s">
        <v>9</v>
      </c>
      <c r="B5" t="s">
        <v>14</v>
      </c>
      <c r="C5" t="s">
        <v>817</v>
      </c>
      <c r="D5" t="s">
        <v>811</v>
      </c>
      <c r="E5" t="s">
        <v>5</v>
      </c>
      <c r="F5" s="3">
        <v>5.7833333333333341</v>
      </c>
      <c r="G5" s="10">
        <f>VLOOKUP(Tabla1[[#This Row],[Código Unificador]],PRECIOS_COMPETENCIA!B:D,3,FALSE)</f>
        <v>21.777966666666671</v>
      </c>
      <c r="H5" s="10">
        <f>Tabla1[[#This Row],[PVP Competencia]]*0.98</f>
        <v>21.342407333333338</v>
      </c>
      <c r="I5" s="10">
        <f>Tabla1[[#This Row],[Precio Lista CDR]]*0.8</f>
        <v>17.07392586666667</v>
      </c>
      <c r="J5" s="10">
        <f>Tabla1[[#This Row],[Precio Lista CDR]]*0.7</f>
        <v>14.939685133333334</v>
      </c>
      <c r="K5" s="10">
        <f>Tabla1[[#This Row],[Precio Lista CDR]]*0.6</f>
        <v>12.805444400000003</v>
      </c>
      <c r="L5" s="12">
        <f>(Tabla1[[#This Row],[Precio Lista CDR]]-Tabla1[[#This Row],[PrecioFábrica]])/Tabla1[[#This Row],[Precio Lista CDR]]</f>
        <v>0.72902150900752805</v>
      </c>
      <c r="M5" s="12">
        <f>(Tabla1[[#This Row],[Lista 1 (20%)]]-Tabla1[[#This Row],[PrecioFábrica]])/Tabla1[[#This Row],[Lista 1 (20%)]]</f>
        <v>0.66127688625941006</v>
      </c>
      <c r="N5" s="12">
        <f>(Tabla1[[#This Row],[Lista 2 (30%)]]-Tabla1[[#This Row],[PrecioFábrica]])/Tabla1[[#This Row],[Lista 2 (30%)]]</f>
        <v>0.61288787001075429</v>
      </c>
      <c r="O5" s="12">
        <f>(Tabla1[[#This Row],[Lista 3 (40%)]]-Tabla1[[#This Row],[PrecioFábrica]])/Tabla1[[#This Row],[Lista 3 (40%)]]</f>
        <v>0.54836918167921345</v>
      </c>
    </row>
    <row r="6" spans="1:15">
      <c r="A6" t="s">
        <v>9</v>
      </c>
      <c r="B6" t="s">
        <v>15</v>
      </c>
      <c r="C6" t="s">
        <v>818</v>
      </c>
      <c r="D6" t="s">
        <v>811</v>
      </c>
      <c r="E6" t="s">
        <v>5</v>
      </c>
      <c r="F6" s="3">
        <v>13.541666666666668</v>
      </c>
      <c r="G6" s="10">
        <f>VLOOKUP(Tabla1[[#This Row],[Código Unificador]],PRECIOS_COMPETENCIA!B:D,3,FALSE)</f>
        <v>46.412500000000009</v>
      </c>
      <c r="H6" s="10">
        <f>Tabla1[[#This Row],[PVP Competencia]]*0.98</f>
        <v>45.48425000000001</v>
      </c>
      <c r="I6" s="10">
        <f>Tabla1[[#This Row],[Precio Lista CDR]]*0.8</f>
        <v>36.387400000000007</v>
      </c>
      <c r="J6" s="10">
        <f>Tabla1[[#This Row],[Precio Lista CDR]]*0.7</f>
        <v>31.838975000000005</v>
      </c>
      <c r="K6" s="10">
        <f>Tabla1[[#This Row],[Precio Lista CDR]]*0.6</f>
        <v>27.290550000000007</v>
      </c>
      <c r="L6" s="12">
        <f>(Tabla1[[#This Row],[Precio Lista CDR]]-Tabla1[[#This Row],[PrecioFábrica]])/Tabla1[[#This Row],[Precio Lista CDR]]</f>
        <v>0.70227789472912794</v>
      </c>
      <c r="M6" s="12">
        <f>(Tabla1[[#This Row],[Lista 1 (20%)]]-Tabla1[[#This Row],[PrecioFábrica]])/Tabla1[[#This Row],[Lista 1 (20%)]]</f>
        <v>0.62784736841140987</v>
      </c>
      <c r="N6" s="12">
        <f>(Tabla1[[#This Row],[Lista 2 (30%)]]-Tabla1[[#This Row],[PrecioFábrica]])/Tabla1[[#This Row],[Lista 2 (30%)]]</f>
        <v>0.57468270675589694</v>
      </c>
      <c r="O6" s="12">
        <f>(Tabla1[[#This Row],[Lista 3 (40%)]]-Tabla1[[#This Row],[PrecioFábrica]])/Tabla1[[#This Row],[Lista 3 (40%)]]</f>
        <v>0.50379649121521319</v>
      </c>
    </row>
    <row r="7" spans="1:15">
      <c r="A7" t="s">
        <v>7</v>
      </c>
      <c r="B7" t="s">
        <v>16</v>
      </c>
      <c r="C7" t="s">
        <v>819</v>
      </c>
      <c r="D7" t="s">
        <v>811</v>
      </c>
      <c r="E7" t="s">
        <v>5</v>
      </c>
      <c r="F7" s="3">
        <v>20.816666666666666</v>
      </c>
      <c r="G7" s="10">
        <f>VLOOKUP(Tabla1[[#This Row],[Código Unificador]],PRECIOS_COMPETENCIA!B:D,3,FALSE)</f>
        <v>51.3</v>
      </c>
      <c r="H7" s="10">
        <f>Tabla1[[#This Row],[PVP Competencia]]*0.98</f>
        <v>50.273999999999994</v>
      </c>
      <c r="I7" s="10">
        <f>Tabla1[[#This Row],[Precio Lista CDR]]*0.8</f>
        <v>40.219200000000001</v>
      </c>
      <c r="J7" s="10">
        <f>Tabla1[[#This Row],[Precio Lista CDR]]*0.7</f>
        <v>35.191799999999994</v>
      </c>
      <c r="K7" s="10">
        <f>Tabla1[[#This Row],[Precio Lista CDR]]*0.6</f>
        <v>30.164399999999993</v>
      </c>
      <c r="L7" s="12">
        <f>(Tabla1[[#This Row],[Precio Lista CDR]]-Tabla1[[#This Row],[PrecioFábrica]])/Tabla1[[#This Row],[Precio Lista CDR]]</f>
        <v>0.58593573881794425</v>
      </c>
      <c r="M7" s="12">
        <f>(Tabla1[[#This Row],[Lista 1 (20%)]]-Tabla1[[#This Row],[PrecioFábrica]])/Tabla1[[#This Row],[Lista 1 (20%)]]</f>
        <v>0.48241967352243043</v>
      </c>
      <c r="N7" s="12">
        <f>(Tabla1[[#This Row],[Lista 2 (30%)]]-Tabla1[[#This Row],[PrecioFábrica]])/Tabla1[[#This Row],[Lista 2 (30%)]]</f>
        <v>0.4084796268827775</v>
      </c>
      <c r="O7" s="12">
        <f>(Tabla1[[#This Row],[Lista 3 (40%)]]-Tabla1[[#This Row],[PrecioFábrica]])/Tabla1[[#This Row],[Lista 3 (40%)]]</f>
        <v>0.3098928980299071</v>
      </c>
    </row>
    <row r="8" spans="1:15">
      <c r="A8" t="s">
        <v>6</v>
      </c>
      <c r="B8" t="s">
        <v>17</v>
      </c>
      <c r="C8" t="s">
        <v>820</v>
      </c>
      <c r="D8" t="s">
        <v>811</v>
      </c>
      <c r="E8" t="s">
        <v>5</v>
      </c>
      <c r="F8" s="3">
        <v>11.016666666666667</v>
      </c>
      <c r="G8" s="10">
        <f>VLOOKUP(Tabla1[[#This Row],[Código Unificador]],PRECIOS_COMPETENCIA!B:D,3,FALSE)</f>
        <v>43.226266666666668</v>
      </c>
      <c r="H8" s="10">
        <f>Tabla1[[#This Row],[PVP Competencia]]*0.98</f>
        <v>42.361741333333335</v>
      </c>
      <c r="I8" s="10">
        <f>Tabla1[[#This Row],[Precio Lista CDR]]*0.8</f>
        <v>33.889393066666671</v>
      </c>
      <c r="J8" s="10">
        <f>Tabla1[[#This Row],[Precio Lista CDR]]*0.7</f>
        <v>29.653218933333331</v>
      </c>
      <c r="K8" s="10">
        <f>Tabla1[[#This Row],[Precio Lista CDR]]*0.6</f>
        <v>25.417044799999999</v>
      </c>
      <c r="L8" s="12">
        <f>(Tabla1[[#This Row],[Precio Lista CDR]]-Tabla1[[#This Row],[PrecioFábrica]])/Tabla1[[#This Row],[Precio Lista CDR]]</f>
        <v>0.73993829526554566</v>
      </c>
      <c r="M8" s="12">
        <f>(Tabla1[[#This Row],[Lista 1 (20%)]]-Tabla1[[#This Row],[PrecioFábrica]])/Tabla1[[#This Row],[Lista 1 (20%)]]</f>
        <v>0.674922869081932</v>
      </c>
      <c r="N8" s="12">
        <f>(Tabla1[[#This Row],[Lista 2 (30%)]]-Tabla1[[#This Row],[PrecioFábrica]])/Tabla1[[#This Row],[Lista 2 (30%)]]</f>
        <v>0.62848327895077927</v>
      </c>
      <c r="O8" s="12">
        <f>(Tabla1[[#This Row],[Lista 3 (40%)]]-Tabla1[[#This Row],[PrecioFábrica]])/Tabla1[[#This Row],[Lista 3 (40%)]]</f>
        <v>0.56656382544257589</v>
      </c>
    </row>
    <row r="9" spans="1:15">
      <c r="A9" t="s">
        <v>6</v>
      </c>
      <c r="B9" t="s">
        <v>18</v>
      </c>
      <c r="C9" t="s">
        <v>821</v>
      </c>
      <c r="D9" t="s">
        <v>811</v>
      </c>
      <c r="E9" t="s">
        <v>5</v>
      </c>
      <c r="F9" s="3">
        <v>11.433333333333334</v>
      </c>
      <c r="G9" s="10">
        <f>VLOOKUP(Tabla1[[#This Row],[Código Unificador]],PRECIOS_COMPETENCIA!B:D,3,FALSE)</f>
        <v>44.482933333333342</v>
      </c>
      <c r="H9" s="10">
        <f>Tabla1[[#This Row],[PVP Competencia]]*0.98</f>
        <v>43.593274666666673</v>
      </c>
      <c r="I9" s="10">
        <f>Tabla1[[#This Row],[Precio Lista CDR]]*0.8</f>
        <v>34.87461973333334</v>
      </c>
      <c r="J9" s="10">
        <f>Tabla1[[#This Row],[Precio Lista CDR]]*0.7</f>
        <v>30.51529226666667</v>
      </c>
      <c r="K9" s="10">
        <f>Tabla1[[#This Row],[Precio Lista CDR]]*0.6</f>
        <v>26.155964800000003</v>
      </c>
      <c r="L9" s="12">
        <f>(Tabla1[[#This Row],[Precio Lista CDR]]-Tabla1[[#This Row],[PrecioFábrica]])/Tabla1[[#This Row],[Precio Lista CDR]]</f>
        <v>0.73772712830688614</v>
      </c>
      <c r="M9" s="12">
        <f>(Tabla1[[#This Row],[Lista 1 (20%)]]-Tabla1[[#This Row],[PrecioFábrica]])/Tabla1[[#This Row],[Lista 1 (20%)]]</f>
        <v>0.67215891038360787</v>
      </c>
      <c r="N9" s="12">
        <f>(Tabla1[[#This Row],[Lista 2 (30%)]]-Tabla1[[#This Row],[PrecioFábrica]])/Tabla1[[#This Row],[Lista 2 (30%)]]</f>
        <v>0.62532446900983751</v>
      </c>
      <c r="O9" s="12">
        <f>(Tabla1[[#This Row],[Lista 3 (40%)]]-Tabla1[[#This Row],[PrecioFábrica]])/Tabla1[[#This Row],[Lista 3 (40%)]]</f>
        <v>0.56287854717814378</v>
      </c>
    </row>
    <row r="10" spans="1:15">
      <c r="A10" t="s">
        <v>6</v>
      </c>
      <c r="B10" t="s">
        <v>19</v>
      </c>
      <c r="C10" t="s">
        <v>822</v>
      </c>
      <c r="D10" t="s">
        <v>811</v>
      </c>
      <c r="E10" t="s">
        <v>5</v>
      </c>
      <c r="F10" s="3">
        <v>10.175000000000001</v>
      </c>
      <c r="G10" s="10">
        <f>VLOOKUP(Tabla1[[#This Row],[Código Unificador]],PRECIOS_COMPETENCIA!B:D,3,FALSE)</f>
        <v>40.687800000000003</v>
      </c>
      <c r="H10" s="10">
        <f>Tabla1[[#This Row],[PVP Competencia]]*0.98</f>
        <v>39.874044000000005</v>
      </c>
      <c r="I10" s="10">
        <f>Tabla1[[#This Row],[Precio Lista CDR]]*0.8</f>
        <v>31.899235200000007</v>
      </c>
      <c r="J10" s="10">
        <f>Tabla1[[#This Row],[Precio Lista CDR]]*0.7</f>
        <v>27.911830800000001</v>
      </c>
      <c r="K10" s="10">
        <f>Tabla1[[#This Row],[Precio Lista CDR]]*0.6</f>
        <v>23.924426400000002</v>
      </c>
      <c r="L10" s="12">
        <f>(Tabla1[[#This Row],[Precio Lista CDR]]-Tabla1[[#This Row],[PrecioFábrica]])/Tabla1[[#This Row],[Precio Lista CDR]]</f>
        <v>0.7448214683215979</v>
      </c>
      <c r="M10" s="12">
        <f>(Tabla1[[#This Row],[Lista 1 (20%)]]-Tabla1[[#This Row],[PrecioFábrica]])/Tabla1[[#This Row],[Lista 1 (20%)]]</f>
        <v>0.68102683540199738</v>
      </c>
      <c r="N10" s="12">
        <f>(Tabla1[[#This Row],[Lista 2 (30%)]]-Tabla1[[#This Row],[PrecioFábrica]])/Tabla1[[#This Row],[Lista 2 (30%)]]</f>
        <v>0.63545924045942548</v>
      </c>
      <c r="O10" s="12">
        <f>(Tabla1[[#This Row],[Lista 3 (40%)]]-Tabla1[[#This Row],[PrecioFábrica]])/Tabla1[[#This Row],[Lista 3 (40%)]]</f>
        <v>0.57470244720266317</v>
      </c>
    </row>
    <row r="11" spans="1:15">
      <c r="A11" t="s">
        <v>6</v>
      </c>
      <c r="B11" t="s">
        <v>20</v>
      </c>
      <c r="C11" t="s">
        <v>823</v>
      </c>
      <c r="D11" t="s">
        <v>811</v>
      </c>
      <c r="E11" t="s">
        <v>5</v>
      </c>
      <c r="F11" s="3">
        <v>8.8666666666666671</v>
      </c>
      <c r="G11" s="10">
        <f>VLOOKUP(Tabla1[[#This Row],[Código Unificador]],PRECIOS_COMPETENCIA!B:D,3,FALSE)</f>
        <v>36.999000000000002</v>
      </c>
      <c r="H11" s="10">
        <f>Tabla1[[#This Row],[PVP Competencia]]*0.98</f>
        <v>36.25902</v>
      </c>
      <c r="I11" s="10">
        <f>Tabla1[[#This Row],[Precio Lista CDR]]*0.8</f>
        <v>29.007216</v>
      </c>
      <c r="J11" s="10">
        <f>Tabla1[[#This Row],[Precio Lista CDR]]*0.7</f>
        <v>25.381314</v>
      </c>
      <c r="K11" s="10">
        <f>Tabla1[[#This Row],[Precio Lista CDR]]*0.6</f>
        <v>21.755412</v>
      </c>
      <c r="L11" s="12">
        <f>(Tabla1[[#This Row],[Precio Lista CDR]]-Tabla1[[#This Row],[PrecioFábrica]])/Tabla1[[#This Row],[Precio Lista CDR]]</f>
        <v>0.75546314636560319</v>
      </c>
      <c r="M11" s="12">
        <f>(Tabla1[[#This Row],[Lista 1 (20%)]]-Tabla1[[#This Row],[PrecioFábrica]])/Tabla1[[#This Row],[Lista 1 (20%)]]</f>
        <v>0.69432893295700393</v>
      </c>
      <c r="N11" s="12">
        <f>(Tabla1[[#This Row],[Lista 2 (30%)]]-Tabla1[[#This Row],[PrecioFábrica]])/Tabla1[[#This Row],[Lista 2 (30%)]]</f>
        <v>0.6506616376651474</v>
      </c>
      <c r="O11" s="12">
        <f>(Tabla1[[#This Row],[Lista 3 (40%)]]-Tabla1[[#This Row],[PrecioFábrica]])/Tabla1[[#This Row],[Lista 3 (40%)]]</f>
        <v>0.59243857727600524</v>
      </c>
    </row>
    <row r="12" spans="1:15">
      <c r="A12" t="s">
        <v>6</v>
      </c>
      <c r="B12" t="s">
        <v>21</v>
      </c>
      <c r="C12" t="s">
        <v>824</v>
      </c>
      <c r="D12" t="s">
        <v>811</v>
      </c>
      <c r="E12" t="s">
        <v>5</v>
      </c>
      <c r="F12" s="3">
        <v>8.0500000000000007</v>
      </c>
      <c r="G12" s="10">
        <f>VLOOKUP(Tabla1[[#This Row],[Código Unificador]],PRECIOS_COMPETENCIA!B:D,3,FALSE)</f>
        <v>35.212600000000002</v>
      </c>
      <c r="H12" s="10">
        <f>Tabla1[[#This Row],[PVP Competencia]]*0.98</f>
        <v>34.508347999999998</v>
      </c>
      <c r="I12" s="10">
        <f>Tabla1[[#This Row],[Precio Lista CDR]]*0.8</f>
        <v>27.6066784</v>
      </c>
      <c r="J12" s="10">
        <f>Tabla1[[#This Row],[Precio Lista CDR]]*0.7</f>
        <v>24.155843599999997</v>
      </c>
      <c r="K12" s="10">
        <f>Tabla1[[#This Row],[Precio Lista CDR]]*0.6</f>
        <v>20.705008799999998</v>
      </c>
      <c r="L12" s="12">
        <f>(Tabla1[[#This Row],[Precio Lista CDR]]-Tabla1[[#This Row],[PrecioFábrica]])/Tabla1[[#This Row],[Precio Lista CDR]]</f>
        <v>0.76672311291169315</v>
      </c>
      <c r="M12" s="12">
        <f>(Tabla1[[#This Row],[Lista 1 (20%)]]-Tabla1[[#This Row],[PrecioFábrica]])/Tabla1[[#This Row],[Lista 1 (20%)]]</f>
        <v>0.70840389113961644</v>
      </c>
      <c r="N12" s="12">
        <f>(Tabla1[[#This Row],[Lista 2 (30%)]]-Tabla1[[#This Row],[PrecioFábrica]])/Tabla1[[#This Row],[Lista 2 (30%)]]</f>
        <v>0.66674730415956152</v>
      </c>
      <c r="O12" s="12">
        <f>(Tabla1[[#This Row],[Lista 3 (40%)]]-Tabla1[[#This Row],[PrecioFábrica]])/Tabla1[[#This Row],[Lista 3 (40%)]]</f>
        <v>0.6112051881861551</v>
      </c>
    </row>
    <row r="13" spans="1:15">
      <c r="A13" t="s">
        <v>9</v>
      </c>
      <c r="B13" t="s">
        <v>22</v>
      </c>
      <c r="C13" t="s">
        <v>825</v>
      </c>
      <c r="D13" t="s">
        <v>811</v>
      </c>
      <c r="E13" t="s">
        <v>5</v>
      </c>
      <c r="F13" s="3">
        <v>12.766666666666667</v>
      </c>
      <c r="G13" s="10">
        <f>VLOOKUP(Tabla1[[#This Row],[Código Unificador]],PRECIOS_COMPETENCIA!B:D,3,FALSE)</f>
        <v>48.874500000000005</v>
      </c>
      <c r="H13" s="10">
        <f>Tabla1[[#This Row],[PVP Competencia]]*0.98</f>
        <v>47.897010000000002</v>
      </c>
      <c r="I13" s="10">
        <f>Tabla1[[#This Row],[Precio Lista CDR]]*0.8</f>
        <v>38.317608</v>
      </c>
      <c r="J13" s="10">
        <f>Tabla1[[#This Row],[Precio Lista CDR]]*0.7</f>
        <v>33.527906999999999</v>
      </c>
      <c r="K13" s="10">
        <f>Tabla1[[#This Row],[Precio Lista CDR]]*0.6</f>
        <v>28.738206000000002</v>
      </c>
      <c r="L13" s="12">
        <f>(Tabla1[[#This Row],[Precio Lista CDR]]-Tabla1[[#This Row],[PrecioFábrica]])/Tabla1[[#This Row],[Precio Lista CDR]]</f>
        <v>0.73345587403750956</v>
      </c>
      <c r="M13" s="12">
        <f>(Tabla1[[#This Row],[Lista 1 (20%)]]-Tabla1[[#This Row],[PrecioFábrica]])/Tabla1[[#This Row],[Lista 1 (20%)]]</f>
        <v>0.66681984254688687</v>
      </c>
      <c r="N13" s="12">
        <f>(Tabla1[[#This Row],[Lista 2 (30%)]]-Tabla1[[#This Row],[PrecioFábrica]])/Tabla1[[#This Row],[Lista 2 (30%)]]</f>
        <v>0.61922267719644219</v>
      </c>
      <c r="O13" s="12">
        <f>(Tabla1[[#This Row],[Lista 3 (40%)]]-Tabla1[[#This Row],[PrecioFábrica]])/Tabla1[[#This Row],[Lista 3 (40%)]]</f>
        <v>0.55575979006251586</v>
      </c>
    </row>
    <row r="14" spans="1:15">
      <c r="A14" t="s">
        <v>6</v>
      </c>
      <c r="B14" t="s">
        <v>23</v>
      </c>
      <c r="C14" t="s">
        <v>826</v>
      </c>
      <c r="D14" t="s">
        <v>811</v>
      </c>
      <c r="E14" t="s">
        <v>5</v>
      </c>
      <c r="F14" s="3">
        <v>10.075000000000001</v>
      </c>
      <c r="G14" s="10">
        <f>VLOOKUP(Tabla1[[#This Row],[Código Unificador]],PRECIOS_COMPETENCIA!B:D,3,FALSE)</f>
        <v>39.801850000000009</v>
      </c>
      <c r="H14" s="10">
        <f>Tabla1[[#This Row],[PVP Competencia]]*0.98</f>
        <v>39.005813000000011</v>
      </c>
      <c r="I14" s="10">
        <f>Tabla1[[#This Row],[Precio Lista CDR]]*0.8</f>
        <v>31.204650400000009</v>
      </c>
      <c r="J14" s="10">
        <f>Tabla1[[#This Row],[Precio Lista CDR]]*0.7</f>
        <v>27.304069100000007</v>
      </c>
      <c r="K14" s="10">
        <f>Tabla1[[#This Row],[Precio Lista CDR]]*0.6</f>
        <v>23.403487800000004</v>
      </c>
      <c r="L14" s="12">
        <f>(Tabla1[[#This Row],[Precio Lista CDR]]-Tabla1[[#This Row],[PrecioFábrica]])/Tabla1[[#This Row],[Precio Lista CDR]]</f>
        <v>0.74170516584284496</v>
      </c>
      <c r="M14" s="12">
        <f>(Tabla1[[#This Row],[Lista 1 (20%)]]-Tabla1[[#This Row],[PrecioFábrica]])/Tabla1[[#This Row],[Lista 1 (20%)]]</f>
        <v>0.67713145730355639</v>
      </c>
      <c r="N14" s="12">
        <f>(Tabla1[[#This Row],[Lista 2 (30%)]]-Tabla1[[#This Row],[PrecioFábrica]])/Tabla1[[#This Row],[Lista 2 (30%)]]</f>
        <v>0.63100737977549282</v>
      </c>
      <c r="O14" s="12">
        <f>(Tabla1[[#This Row],[Lista 3 (40%)]]-Tabla1[[#This Row],[PrecioFábrica]])/Tabla1[[#This Row],[Lista 3 (40%)]]</f>
        <v>0.56950860973807504</v>
      </c>
    </row>
    <row r="15" spans="1:15">
      <c r="A15" t="s">
        <v>7</v>
      </c>
      <c r="B15" t="s">
        <v>24</v>
      </c>
      <c r="C15" t="s">
        <v>827</v>
      </c>
      <c r="D15" t="s">
        <v>811</v>
      </c>
      <c r="E15" t="s">
        <v>5</v>
      </c>
      <c r="F15" s="3">
        <v>13.191666666666666</v>
      </c>
      <c r="G15" s="10">
        <f>VLOOKUP(Tabla1[[#This Row],[Código Unificador]],PRECIOS_COMPETENCIA!B:D,3,FALSE)</f>
        <v>49.78606666666667</v>
      </c>
      <c r="H15" s="10">
        <f>Tabla1[[#This Row],[PVP Competencia]]*0.98</f>
        <v>48.790345333333335</v>
      </c>
      <c r="I15" s="10">
        <f>Tabla1[[#This Row],[Precio Lista CDR]]*0.8</f>
        <v>39.03227626666667</v>
      </c>
      <c r="J15" s="10">
        <f>Tabla1[[#This Row],[Precio Lista CDR]]*0.7</f>
        <v>34.153241733333331</v>
      </c>
      <c r="K15" s="10">
        <f>Tabla1[[#This Row],[Precio Lista CDR]]*0.6</f>
        <v>29.274207199999999</v>
      </c>
      <c r="L15" s="12">
        <f>(Tabla1[[#This Row],[Precio Lista CDR]]-Tabla1[[#This Row],[PrecioFábrica]])/Tabla1[[#This Row],[Precio Lista CDR]]</f>
        <v>0.72962547043801762</v>
      </c>
      <c r="M15" s="12">
        <f>(Tabla1[[#This Row],[Lista 1 (20%)]]-Tabla1[[#This Row],[PrecioFábrica]])/Tabla1[[#This Row],[Lista 1 (20%)]]</f>
        <v>0.66203183804752197</v>
      </c>
      <c r="N15" s="12">
        <f>(Tabla1[[#This Row],[Lista 2 (30%)]]-Tabla1[[#This Row],[PrecioFábrica]])/Tabla1[[#This Row],[Lista 2 (30%)]]</f>
        <v>0.61375067205431078</v>
      </c>
      <c r="O15" s="12">
        <f>(Tabla1[[#This Row],[Lista 3 (40%)]]-Tabla1[[#This Row],[PrecioFábrica]])/Tabla1[[#This Row],[Lista 3 (40%)]]</f>
        <v>0.54937578406336252</v>
      </c>
    </row>
    <row r="16" spans="1:15">
      <c r="A16" t="s">
        <v>6</v>
      </c>
      <c r="B16" t="s">
        <v>25</v>
      </c>
      <c r="C16" t="s">
        <v>828</v>
      </c>
      <c r="D16" t="s">
        <v>811</v>
      </c>
      <c r="E16" t="s">
        <v>5</v>
      </c>
      <c r="F16" s="3">
        <v>8.9250000000000007</v>
      </c>
      <c r="G16" s="10">
        <f>VLOOKUP(Tabla1[[#This Row],[Código Unificador]],PRECIOS_COMPETENCIA!B:D,3,FALSE)</f>
        <v>37.435450000000003</v>
      </c>
      <c r="H16" s="10">
        <f>Tabla1[[#This Row],[PVP Competencia]]*0.98</f>
        <v>36.686741000000005</v>
      </c>
      <c r="I16" s="10">
        <f>Tabla1[[#This Row],[Precio Lista CDR]]*0.8</f>
        <v>29.349392800000004</v>
      </c>
      <c r="J16" s="10">
        <f>Tabla1[[#This Row],[Precio Lista CDR]]*0.7</f>
        <v>25.680718700000003</v>
      </c>
      <c r="K16" s="10">
        <f>Tabla1[[#This Row],[Precio Lista CDR]]*0.6</f>
        <v>22.012044600000003</v>
      </c>
      <c r="L16" s="12">
        <f>(Tabla1[[#This Row],[Precio Lista CDR]]-Tabla1[[#This Row],[PrecioFábrica]])/Tabla1[[#This Row],[Precio Lista CDR]]</f>
        <v>0.75672409822393327</v>
      </c>
      <c r="M16" s="12">
        <f>(Tabla1[[#This Row],[Lista 1 (20%)]]-Tabla1[[#This Row],[PrecioFábrica]])/Tabla1[[#This Row],[Lista 1 (20%)]]</f>
        <v>0.69590512277991656</v>
      </c>
      <c r="N16" s="12">
        <f>(Tabla1[[#This Row],[Lista 2 (30%)]]-Tabla1[[#This Row],[PrecioFábrica]])/Tabla1[[#This Row],[Lista 2 (30%)]]</f>
        <v>0.65246299746276182</v>
      </c>
      <c r="O16" s="12">
        <f>(Tabla1[[#This Row],[Lista 3 (40%)]]-Tabla1[[#This Row],[PrecioFábrica]])/Tabla1[[#This Row],[Lista 3 (40%)]]</f>
        <v>0.59454016370655549</v>
      </c>
    </row>
    <row r="17" spans="1:15">
      <c r="A17" t="s">
        <v>6</v>
      </c>
      <c r="B17" t="s">
        <v>26</v>
      </c>
      <c r="C17" t="s">
        <v>829</v>
      </c>
      <c r="D17" t="s">
        <v>811</v>
      </c>
      <c r="E17" t="s">
        <v>5</v>
      </c>
      <c r="F17" s="3">
        <v>18.966666666666669</v>
      </c>
      <c r="G17" s="10">
        <f>VLOOKUP(Tabla1[[#This Row],[Código Unificador]],PRECIOS_COMPETENCIA!B:D,3,FALSE)</f>
        <v>65.2</v>
      </c>
      <c r="H17" s="10">
        <f>Tabla1[[#This Row],[PVP Competencia]]*0.98</f>
        <v>63.896000000000001</v>
      </c>
      <c r="I17" s="10">
        <f>Tabla1[[#This Row],[Precio Lista CDR]]*0.8</f>
        <v>51.116800000000005</v>
      </c>
      <c r="J17" s="10">
        <f>Tabla1[[#This Row],[Precio Lista CDR]]*0.7</f>
        <v>44.727199999999996</v>
      </c>
      <c r="K17" s="10">
        <f>Tabla1[[#This Row],[Precio Lista CDR]]*0.6</f>
        <v>38.337600000000002</v>
      </c>
      <c r="L17" s="12">
        <f>(Tabla1[[#This Row],[Precio Lista CDR]]-Tabla1[[#This Row],[PrecioFábrica]])/Tabla1[[#This Row],[Precio Lista CDR]]</f>
        <v>0.7031634739785485</v>
      </c>
      <c r="M17" s="12">
        <f>(Tabla1[[#This Row],[Lista 1 (20%)]]-Tabla1[[#This Row],[PrecioFábrica]])/Tabla1[[#This Row],[Lista 1 (20%)]]</f>
        <v>0.6289543424731856</v>
      </c>
      <c r="N17" s="12">
        <f>(Tabla1[[#This Row],[Lista 2 (30%)]]-Tabla1[[#This Row],[PrecioFábrica]])/Tabla1[[#This Row],[Lista 2 (30%)]]</f>
        <v>0.57594781996935485</v>
      </c>
      <c r="O17" s="12">
        <f>(Tabla1[[#This Row],[Lista 3 (40%)]]-Tabla1[[#This Row],[PrecioFábrica]])/Tabla1[[#This Row],[Lista 3 (40%)]]</f>
        <v>0.50527245663091414</v>
      </c>
    </row>
    <row r="18" spans="1:15">
      <c r="A18" t="s">
        <v>6</v>
      </c>
      <c r="B18" t="s">
        <v>27</v>
      </c>
      <c r="C18" t="s">
        <v>830</v>
      </c>
      <c r="D18" t="s">
        <v>811</v>
      </c>
      <c r="E18" t="s">
        <v>5</v>
      </c>
      <c r="F18" s="3">
        <v>4.5333333333333332</v>
      </c>
      <c r="G18" s="10">
        <f>VLOOKUP(Tabla1[[#This Row],[Código Unificador]],PRECIOS_COMPETENCIA!B:D,3,FALSE)</f>
        <v>24.198399999999999</v>
      </c>
      <c r="H18" s="10">
        <f>Tabla1[[#This Row],[PVP Competencia]]*0.98</f>
        <v>23.714431999999999</v>
      </c>
      <c r="I18" s="10">
        <f>Tabla1[[#This Row],[Precio Lista CDR]]*0.8</f>
        <v>18.971545599999999</v>
      </c>
      <c r="J18" s="10">
        <f>Tabla1[[#This Row],[Precio Lista CDR]]*0.7</f>
        <v>16.600102399999997</v>
      </c>
      <c r="K18" s="10">
        <f>Tabla1[[#This Row],[Precio Lista CDR]]*0.6</f>
        <v>14.228659199999999</v>
      </c>
      <c r="L18" s="12">
        <f>(Tabla1[[#This Row],[Precio Lista CDR]]-Tabla1[[#This Row],[PrecioFábrica]])/Tabla1[[#This Row],[Precio Lista CDR]]</f>
        <v>0.80883652059078048</v>
      </c>
      <c r="M18" s="12">
        <f>(Tabla1[[#This Row],[Lista 1 (20%)]]-Tabla1[[#This Row],[PrecioFábrica]])/Tabla1[[#This Row],[Lista 1 (20%)]]</f>
        <v>0.76104565073847574</v>
      </c>
      <c r="N18" s="12">
        <f>(Tabla1[[#This Row],[Lista 2 (30%)]]-Tabla1[[#This Row],[PrecioFábrica]])/Tabla1[[#This Row],[Lista 2 (30%)]]</f>
        <v>0.7269093151296866</v>
      </c>
      <c r="O18" s="12">
        <f>(Tabla1[[#This Row],[Lista 3 (40%)]]-Tabla1[[#This Row],[PrecioFábrica]])/Tabla1[[#This Row],[Lista 3 (40%)]]</f>
        <v>0.68139420098463432</v>
      </c>
    </row>
    <row r="19" spans="1:15">
      <c r="A19" t="s">
        <v>6</v>
      </c>
      <c r="B19" t="s">
        <v>28</v>
      </c>
      <c r="C19" t="s">
        <v>831</v>
      </c>
      <c r="D19" t="s">
        <v>811</v>
      </c>
      <c r="E19" t="s">
        <v>5</v>
      </c>
      <c r="F19" s="3">
        <v>13.549999999999999</v>
      </c>
      <c r="G19" s="10">
        <f>VLOOKUP(Tabla1[[#This Row],[Código Unificador]],PRECIOS_COMPETENCIA!B:D,3,FALSE)</f>
        <v>52.045649999999995</v>
      </c>
      <c r="H19" s="10">
        <f>Tabla1[[#This Row],[PVP Competencia]]*0.98</f>
        <v>51.004736999999992</v>
      </c>
      <c r="I19" s="10">
        <f>Tabla1[[#This Row],[Precio Lista CDR]]*0.8</f>
        <v>40.803789599999995</v>
      </c>
      <c r="J19" s="10">
        <f>Tabla1[[#This Row],[Precio Lista CDR]]*0.7</f>
        <v>35.703315899999993</v>
      </c>
      <c r="K19" s="10">
        <f>Tabla1[[#This Row],[Precio Lista CDR]]*0.6</f>
        <v>30.602842199999994</v>
      </c>
      <c r="L19" s="12">
        <f>(Tabla1[[#This Row],[Precio Lista CDR]]-Tabla1[[#This Row],[PrecioFábrica]])/Tabla1[[#This Row],[Precio Lista CDR]]</f>
        <v>0.7343384007646192</v>
      </c>
      <c r="M19" s="12">
        <f>(Tabla1[[#This Row],[Lista 1 (20%)]]-Tabla1[[#This Row],[PrecioFábrica]])/Tabla1[[#This Row],[Lista 1 (20%)]]</f>
        <v>0.66792300095577395</v>
      </c>
      <c r="N19" s="12">
        <f>(Tabla1[[#This Row],[Lista 2 (30%)]]-Tabla1[[#This Row],[PrecioFábrica]])/Tabla1[[#This Row],[Lista 2 (30%)]]</f>
        <v>0.6204834296637417</v>
      </c>
      <c r="O19" s="12">
        <f>(Tabla1[[#This Row],[Lista 3 (40%)]]-Tabla1[[#This Row],[PrecioFábrica]])/Tabla1[[#This Row],[Lista 3 (40%)]]</f>
        <v>0.55723066794103182</v>
      </c>
    </row>
    <row r="20" spans="1:15">
      <c r="A20" t="s">
        <v>9</v>
      </c>
      <c r="B20" t="s">
        <v>29</v>
      </c>
      <c r="C20" t="s">
        <v>832</v>
      </c>
      <c r="D20" t="s">
        <v>811</v>
      </c>
      <c r="E20" t="s">
        <v>5</v>
      </c>
      <c r="F20" s="3">
        <v>11.441666666666668</v>
      </c>
      <c r="G20" s="10">
        <f>VLOOKUP(Tabla1[[#This Row],[Código Unificador]],PRECIOS_COMPETENCIA!B:D,3,FALSE)</f>
        <v>44.176258333333344</v>
      </c>
      <c r="H20" s="10">
        <f>Tabla1[[#This Row],[PVP Competencia]]*0.98</f>
        <v>43.292733166666679</v>
      </c>
      <c r="I20" s="10">
        <f>Tabla1[[#This Row],[Precio Lista CDR]]*0.8</f>
        <v>34.634186533333342</v>
      </c>
      <c r="J20" s="10">
        <f>Tabla1[[#This Row],[Precio Lista CDR]]*0.7</f>
        <v>30.304913216666673</v>
      </c>
      <c r="K20" s="10">
        <f>Tabla1[[#This Row],[Precio Lista CDR]]*0.6</f>
        <v>25.975639900000008</v>
      </c>
      <c r="L20" s="12">
        <f>(Tabla1[[#This Row],[Precio Lista CDR]]-Tabla1[[#This Row],[PrecioFábrica]])/Tabla1[[#This Row],[Precio Lista CDR]]</f>
        <v>0.73571392171940297</v>
      </c>
      <c r="M20" s="12">
        <f>(Tabla1[[#This Row],[Lista 1 (20%)]]-Tabla1[[#This Row],[PrecioFábrica]])/Tabla1[[#This Row],[Lista 1 (20%)]]</f>
        <v>0.66964240214925363</v>
      </c>
      <c r="N20" s="12">
        <f>(Tabla1[[#This Row],[Lista 2 (30%)]]-Tabla1[[#This Row],[PrecioFábrica]])/Tabla1[[#This Row],[Lista 2 (30%)]]</f>
        <v>0.62244845959914719</v>
      </c>
      <c r="O20" s="12">
        <f>(Tabla1[[#This Row],[Lista 3 (40%)]]-Tabla1[[#This Row],[PrecioFábrica]])/Tabla1[[#This Row],[Lista 3 (40%)]]</f>
        <v>0.5595232028656717</v>
      </c>
    </row>
    <row r="21" spans="1:15">
      <c r="A21" t="s">
        <v>6</v>
      </c>
      <c r="B21" t="s">
        <v>30</v>
      </c>
      <c r="C21" t="s">
        <v>833</v>
      </c>
      <c r="D21" t="s">
        <v>811</v>
      </c>
      <c r="E21" t="s">
        <v>5</v>
      </c>
      <c r="F21" s="3">
        <v>7.3416666666666659</v>
      </c>
      <c r="G21" s="10">
        <f>VLOOKUP(Tabla1[[#This Row],[Código Unificador]],PRECIOS_COMPETENCIA!B:D,3,FALSE)</f>
        <v>31.929558333333333</v>
      </c>
      <c r="H21" s="10">
        <f>Tabla1[[#This Row],[PVP Competencia]]*0.98</f>
        <v>31.290967166666665</v>
      </c>
      <c r="I21" s="10">
        <f>Tabla1[[#This Row],[Precio Lista CDR]]*0.8</f>
        <v>25.032773733333332</v>
      </c>
      <c r="J21" s="10">
        <f>Tabla1[[#This Row],[Precio Lista CDR]]*0.7</f>
        <v>21.903677016666663</v>
      </c>
      <c r="K21" s="10">
        <f>Tabla1[[#This Row],[Precio Lista CDR]]*0.6</f>
        <v>18.774580299999997</v>
      </c>
      <c r="L21" s="12">
        <f>(Tabla1[[#This Row],[Precio Lista CDR]]-Tabla1[[#This Row],[PrecioFábrica]])/Tabla1[[#This Row],[Precio Lista CDR]]</f>
        <v>0.76537424913834162</v>
      </c>
      <c r="M21" s="12">
        <f>(Tabla1[[#This Row],[Lista 1 (20%)]]-Tabla1[[#This Row],[PrecioFábrica]])/Tabla1[[#This Row],[Lista 1 (20%)]]</f>
        <v>0.706717811422927</v>
      </c>
      <c r="N21" s="12">
        <f>(Tabla1[[#This Row],[Lista 2 (30%)]]-Tabla1[[#This Row],[PrecioFábrica]])/Tabla1[[#This Row],[Lista 2 (30%)]]</f>
        <v>0.66482035591191657</v>
      </c>
      <c r="O21" s="12">
        <f>(Tabla1[[#This Row],[Lista 3 (40%)]]-Tabla1[[#This Row],[PrecioFábrica]])/Tabla1[[#This Row],[Lista 3 (40%)]]</f>
        <v>0.60895708189723596</v>
      </c>
    </row>
    <row r="22" spans="1:15">
      <c r="A22" t="s">
        <v>7</v>
      </c>
      <c r="B22" t="s">
        <v>31</v>
      </c>
      <c r="C22" t="s">
        <v>834</v>
      </c>
      <c r="D22" t="s">
        <v>811</v>
      </c>
      <c r="E22" t="s">
        <v>5</v>
      </c>
      <c r="F22" s="3">
        <v>14.799999999999999</v>
      </c>
      <c r="G22" s="10">
        <f>VLOOKUP(Tabla1[[#This Row],[Código Unificador]],PRECIOS_COMPETENCIA!B:D,3,FALSE)</f>
        <v>53.778399999999998</v>
      </c>
      <c r="H22" s="10">
        <f>Tabla1[[#This Row],[PVP Competencia]]*0.98</f>
        <v>52.702831999999994</v>
      </c>
      <c r="I22" s="10">
        <f>Tabla1[[#This Row],[Precio Lista CDR]]*0.8</f>
        <v>42.162265599999998</v>
      </c>
      <c r="J22" s="10">
        <f>Tabla1[[#This Row],[Precio Lista CDR]]*0.7</f>
        <v>36.891982399999996</v>
      </c>
      <c r="K22" s="10">
        <f>Tabla1[[#This Row],[Precio Lista CDR]]*0.6</f>
        <v>31.621699199999995</v>
      </c>
      <c r="L22" s="12">
        <f>(Tabla1[[#This Row],[Precio Lista CDR]]-Tabla1[[#This Row],[PrecioFábrica]])/Tabla1[[#This Row],[Precio Lista CDR]]</f>
        <v>0.71918017612412177</v>
      </c>
      <c r="M22" s="12">
        <f>(Tabla1[[#This Row],[Lista 1 (20%)]]-Tabla1[[#This Row],[PrecioFábrica]])/Tabla1[[#This Row],[Lista 1 (20%)]]</f>
        <v>0.64897522015515219</v>
      </c>
      <c r="N22" s="12">
        <f>(Tabla1[[#This Row],[Lista 2 (30%)]]-Tabla1[[#This Row],[PrecioFábrica]])/Tabla1[[#This Row],[Lista 2 (30%)]]</f>
        <v>0.59882882303445972</v>
      </c>
      <c r="O22" s="12">
        <f>(Tabla1[[#This Row],[Lista 3 (40%)]]-Tabla1[[#This Row],[PrecioFábrica]])/Tabla1[[#This Row],[Lista 3 (40%)]]</f>
        <v>0.53196696020686962</v>
      </c>
    </row>
    <row r="23" spans="1:15">
      <c r="A23" t="s">
        <v>6</v>
      </c>
      <c r="B23" t="s">
        <v>32</v>
      </c>
      <c r="C23" t="s">
        <v>835</v>
      </c>
      <c r="D23" t="s">
        <v>811</v>
      </c>
      <c r="E23" t="s">
        <v>5</v>
      </c>
      <c r="F23" s="3">
        <v>4.5666666666666673</v>
      </c>
      <c r="G23" s="10">
        <f>VLOOKUP(Tabla1[[#This Row],[Código Unificador]],PRECIOS_COMPETENCIA!B:D,3,FALSE)</f>
        <v>24.302800000000001</v>
      </c>
      <c r="H23" s="10">
        <f>Tabla1[[#This Row],[PVP Competencia]]*0.98</f>
        <v>23.816744</v>
      </c>
      <c r="I23" s="10">
        <f>Tabla1[[#This Row],[Precio Lista CDR]]*0.8</f>
        <v>19.053395200000001</v>
      </c>
      <c r="J23" s="10">
        <f>Tabla1[[#This Row],[Precio Lista CDR]]*0.7</f>
        <v>16.671720799999999</v>
      </c>
      <c r="K23" s="10">
        <f>Tabla1[[#This Row],[Precio Lista CDR]]*0.6</f>
        <v>14.2900464</v>
      </c>
      <c r="L23" s="12">
        <f>(Tabla1[[#This Row],[Precio Lista CDR]]-Tabla1[[#This Row],[PrecioFábrica]])/Tabla1[[#This Row],[Precio Lista CDR]]</f>
        <v>0.8082581453339438</v>
      </c>
      <c r="M23" s="12">
        <f>(Tabla1[[#This Row],[Lista 1 (20%)]]-Tabla1[[#This Row],[PrecioFábrica]])/Tabla1[[#This Row],[Lista 1 (20%)]]</f>
        <v>0.76032268166742978</v>
      </c>
      <c r="N23" s="12">
        <f>(Tabla1[[#This Row],[Lista 2 (30%)]]-Tabla1[[#This Row],[PrecioFábrica]])/Tabla1[[#This Row],[Lista 2 (30%)]]</f>
        <v>0.72608306476277684</v>
      </c>
      <c r="O23" s="12">
        <f>(Tabla1[[#This Row],[Lista 3 (40%)]]-Tabla1[[#This Row],[PrecioFábrica]])/Tabla1[[#This Row],[Lista 3 (40%)]]</f>
        <v>0.68043024222323956</v>
      </c>
    </row>
    <row r="24" spans="1:15">
      <c r="A24" t="s">
        <v>6</v>
      </c>
      <c r="B24" t="s">
        <v>33</v>
      </c>
      <c r="C24" t="s">
        <v>836</v>
      </c>
      <c r="D24" t="s">
        <v>811</v>
      </c>
      <c r="E24" t="s">
        <v>5</v>
      </c>
      <c r="F24" s="3">
        <v>5.166666666666667</v>
      </c>
      <c r="G24" s="10">
        <f>VLOOKUP(Tabla1[[#This Row],[Código Unificador]],PRECIOS_COMPETENCIA!B:D,3,FALSE)</f>
        <v>26.032166666666669</v>
      </c>
      <c r="H24" s="10">
        <f>Tabla1[[#This Row],[PVP Competencia]]*0.98</f>
        <v>25.511523333333336</v>
      </c>
      <c r="I24" s="10">
        <f>Tabla1[[#This Row],[Precio Lista CDR]]*0.8</f>
        <v>20.409218666666671</v>
      </c>
      <c r="J24" s="10">
        <f>Tabla1[[#This Row],[Precio Lista CDR]]*0.7</f>
        <v>17.858066333333333</v>
      </c>
      <c r="K24" s="10">
        <f>Tabla1[[#This Row],[Precio Lista CDR]]*0.6</f>
        <v>15.306914000000001</v>
      </c>
      <c r="L24" s="12">
        <f>(Tabla1[[#This Row],[Precio Lista CDR]]-Tabla1[[#This Row],[PrecioFábrica]])/Tabla1[[#This Row],[Precio Lista CDR]]</f>
        <v>0.79747714006886039</v>
      </c>
      <c r="M24" s="12">
        <f>(Tabla1[[#This Row],[Lista 1 (20%)]]-Tabla1[[#This Row],[PrecioFábrica]])/Tabla1[[#This Row],[Lista 1 (20%)]]</f>
        <v>0.74684642508607546</v>
      </c>
      <c r="N24" s="12">
        <f>(Tabla1[[#This Row],[Lista 2 (30%)]]-Tabla1[[#This Row],[PrecioFábrica]])/Tabla1[[#This Row],[Lista 2 (30%)]]</f>
        <v>0.71068162866980045</v>
      </c>
      <c r="O24" s="12">
        <f>(Tabla1[[#This Row],[Lista 3 (40%)]]-Tabla1[[#This Row],[PrecioFábrica]])/Tabla1[[#This Row],[Lista 3 (40%)]]</f>
        <v>0.66246190011476735</v>
      </c>
    </row>
    <row r="25" spans="1:15">
      <c r="A25" t="s">
        <v>6</v>
      </c>
      <c r="B25" t="s">
        <v>34</v>
      </c>
      <c r="C25" t="s">
        <v>837</v>
      </c>
      <c r="D25" t="s">
        <v>811</v>
      </c>
      <c r="E25" t="s">
        <v>5</v>
      </c>
      <c r="F25" s="3">
        <v>5.7250000000000005</v>
      </c>
      <c r="G25" s="10">
        <f>VLOOKUP(Tabla1[[#This Row],[Código Unificador]],PRECIOS_COMPETENCIA!B:D,3,FALSE)</f>
        <v>27.930700000000005</v>
      </c>
      <c r="H25" s="10">
        <f>Tabla1[[#This Row],[PVP Competencia]]*0.98</f>
        <v>27.372086000000003</v>
      </c>
      <c r="I25" s="10">
        <f>Tabla1[[#This Row],[Precio Lista CDR]]*0.8</f>
        <v>21.897668800000005</v>
      </c>
      <c r="J25" s="10">
        <f>Tabla1[[#This Row],[Precio Lista CDR]]*0.7</f>
        <v>19.160460199999999</v>
      </c>
      <c r="K25" s="10">
        <f>Tabla1[[#This Row],[Precio Lista CDR]]*0.6</f>
        <v>16.4232516</v>
      </c>
      <c r="L25" s="12">
        <f>(Tabla1[[#This Row],[Precio Lista CDR]]-Tabla1[[#This Row],[PrecioFábrica]])/Tabla1[[#This Row],[Precio Lista CDR]]</f>
        <v>0.79084531591782958</v>
      </c>
      <c r="M25" s="12">
        <f>(Tabla1[[#This Row],[Lista 1 (20%)]]-Tabla1[[#This Row],[PrecioFábrica]])/Tabla1[[#This Row],[Lista 1 (20%)]]</f>
        <v>0.73855664489728701</v>
      </c>
      <c r="N25" s="12">
        <f>(Tabla1[[#This Row],[Lista 2 (30%)]]-Tabla1[[#This Row],[PrecioFábrica]])/Tabla1[[#This Row],[Lista 2 (30%)]]</f>
        <v>0.7012075941683279</v>
      </c>
      <c r="O25" s="12">
        <f>(Tabla1[[#This Row],[Lista 3 (40%)]]-Tabla1[[#This Row],[PrecioFábrica]])/Tabla1[[#This Row],[Lista 3 (40%)]]</f>
        <v>0.65140885986304919</v>
      </c>
    </row>
    <row r="26" spans="1:15">
      <c r="A26" t="s">
        <v>6</v>
      </c>
      <c r="B26" t="s">
        <v>35</v>
      </c>
      <c r="C26" t="s">
        <v>838</v>
      </c>
      <c r="D26" t="s">
        <v>811</v>
      </c>
      <c r="E26" t="s">
        <v>5</v>
      </c>
      <c r="F26" s="3">
        <v>5.4916666666666671</v>
      </c>
      <c r="G26" s="10">
        <f>VLOOKUP(Tabla1[[#This Row],[Código Unificador]],PRECIOS_COMPETENCIA!B:D,3,FALSE)</f>
        <v>26.881383333333336</v>
      </c>
      <c r="H26" s="10">
        <f>Tabla1[[#This Row],[PVP Competencia]]*0.98</f>
        <v>26.34375566666667</v>
      </c>
      <c r="I26" s="10">
        <f>Tabla1[[#This Row],[Precio Lista CDR]]*0.8</f>
        <v>21.075004533333338</v>
      </c>
      <c r="J26" s="10">
        <f>Tabla1[[#This Row],[Precio Lista CDR]]*0.7</f>
        <v>18.440628966666669</v>
      </c>
      <c r="K26" s="10">
        <f>Tabla1[[#This Row],[Precio Lista CDR]]*0.6</f>
        <v>15.806253400000001</v>
      </c>
      <c r="L26" s="12">
        <f>(Tabla1[[#This Row],[Precio Lista CDR]]-Tabla1[[#This Row],[PrecioFábrica]])/Tabla1[[#This Row],[Precio Lista CDR]]</f>
        <v>0.79153820221558635</v>
      </c>
      <c r="M26" s="12">
        <f>(Tabla1[[#This Row],[Lista 1 (20%)]]-Tabla1[[#This Row],[PrecioFábrica]])/Tabla1[[#This Row],[Lista 1 (20%)]]</f>
        <v>0.73942275276948299</v>
      </c>
      <c r="N26" s="12">
        <f>(Tabla1[[#This Row],[Lista 2 (30%)]]-Tabla1[[#This Row],[PrecioFábrica]])/Tabla1[[#This Row],[Lista 2 (30%)]]</f>
        <v>0.70219743173655202</v>
      </c>
      <c r="O26" s="12">
        <f>(Tabla1[[#This Row],[Lista 3 (40%)]]-Tabla1[[#This Row],[PrecioFábrica]])/Tabla1[[#This Row],[Lista 3 (40%)]]</f>
        <v>0.65256367035931062</v>
      </c>
    </row>
    <row r="27" spans="1:15">
      <c r="A27" t="s">
        <v>6</v>
      </c>
      <c r="B27" t="s">
        <v>36</v>
      </c>
      <c r="C27" t="s">
        <v>839</v>
      </c>
      <c r="D27" t="s">
        <v>811</v>
      </c>
      <c r="E27" t="s">
        <v>5</v>
      </c>
      <c r="F27" s="3">
        <v>6.8250000000000011</v>
      </c>
      <c r="G27" s="10">
        <f>VLOOKUP(Tabla1[[#This Row],[Código Unificador]],PRECIOS_COMPETENCIA!B:D,3,FALSE)</f>
        <v>31.375900000000001</v>
      </c>
      <c r="H27" s="10">
        <f>Tabla1[[#This Row],[PVP Competencia]]*0.98</f>
        <v>30.748381999999999</v>
      </c>
      <c r="I27" s="10">
        <f>Tabla1[[#This Row],[Precio Lista CDR]]*0.8</f>
        <v>24.598705600000002</v>
      </c>
      <c r="J27" s="10">
        <f>Tabla1[[#This Row],[Precio Lista CDR]]*0.7</f>
        <v>21.523867399999997</v>
      </c>
      <c r="K27" s="10">
        <f>Tabla1[[#This Row],[Precio Lista CDR]]*0.6</f>
        <v>18.449029199999998</v>
      </c>
      <c r="L27" s="12">
        <f>(Tabla1[[#This Row],[Precio Lista CDR]]-Tabla1[[#This Row],[PrecioFábrica]])/Tabla1[[#This Row],[Precio Lista CDR]]</f>
        <v>0.7780371012692634</v>
      </c>
      <c r="M27" s="12">
        <f>(Tabla1[[#This Row],[Lista 1 (20%)]]-Tabla1[[#This Row],[PrecioFábrica]])/Tabla1[[#This Row],[Lista 1 (20%)]]</f>
        <v>0.72254637658657928</v>
      </c>
      <c r="N27" s="12">
        <f>(Tabla1[[#This Row],[Lista 2 (30%)]]-Tabla1[[#This Row],[PrecioFábrica]])/Tabla1[[#This Row],[Lista 2 (30%)]]</f>
        <v>0.68291014467037636</v>
      </c>
      <c r="O27" s="12">
        <f>(Tabla1[[#This Row],[Lista 3 (40%)]]-Tabla1[[#This Row],[PrecioFábrica]])/Tabla1[[#This Row],[Lista 3 (40%)]]</f>
        <v>0.63006183544877248</v>
      </c>
    </row>
    <row r="28" spans="1:15">
      <c r="A28" t="s">
        <v>6</v>
      </c>
      <c r="B28" t="s">
        <v>37</v>
      </c>
      <c r="C28" t="s">
        <v>840</v>
      </c>
      <c r="D28" t="s">
        <v>811</v>
      </c>
      <c r="E28" t="s">
        <v>5</v>
      </c>
      <c r="F28" s="3">
        <v>6.5500000000000007</v>
      </c>
      <c r="G28" s="10">
        <f>VLOOKUP(Tabla1[[#This Row],[Código Unificador]],PRECIOS_COMPETENCIA!B:D,3,FALSE)</f>
        <v>30.514600000000005</v>
      </c>
      <c r="H28" s="10">
        <f>Tabla1[[#This Row],[PVP Competencia]]*0.98</f>
        <v>29.904308000000004</v>
      </c>
      <c r="I28" s="10">
        <f>Tabla1[[#This Row],[Precio Lista CDR]]*0.8</f>
        <v>23.923446400000003</v>
      </c>
      <c r="J28" s="10">
        <f>Tabla1[[#This Row],[Precio Lista CDR]]*0.7</f>
        <v>20.933015600000001</v>
      </c>
      <c r="K28" s="10">
        <f>Tabla1[[#This Row],[Precio Lista CDR]]*0.6</f>
        <v>17.942584800000002</v>
      </c>
      <c r="L28" s="12">
        <f>(Tabla1[[#This Row],[Precio Lista CDR]]-Tabla1[[#This Row],[PrecioFábrica]])/Tabla1[[#This Row],[Precio Lista CDR]]</f>
        <v>0.78096801303678387</v>
      </c>
      <c r="M28" s="12">
        <f>(Tabla1[[#This Row],[Lista 1 (20%)]]-Tabla1[[#This Row],[PrecioFábrica]])/Tabla1[[#This Row],[Lista 1 (20%)]]</f>
        <v>0.72621001629597981</v>
      </c>
      <c r="N28" s="12">
        <f>(Tabla1[[#This Row],[Lista 2 (30%)]]-Tabla1[[#This Row],[PrecioFábrica]])/Tabla1[[#This Row],[Lista 2 (30%)]]</f>
        <v>0.68709716148111977</v>
      </c>
      <c r="O28" s="12">
        <f>(Tabla1[[#This Row],[Lista 3 (40%)]]-Tabla1[[#This Row],[PrecioFábrica]])/Tabla1[[#This Row],[Lista 3 (40%)]]</f>
        <v>0.63494668839463975</v>
      </c>
    </row>
    <row r="29" spans="1:15">
      <c r="A29" t="s">
        <v>6</v>
      </c>
      <c r="B29" t="s">
        <v>38</v>
      </c>
      <c r="C29" t="s">
        <v>841</v>
      </c>
      <c r="D29" t="s">
        <v>811</v>
      </c>
      <c r="E29" t="s">
        <v>5</v>
      </c>
      <c r="F29" s="3">
        <v>7.6166666666666671</v>
      </c>
      <c r="G29" s="10">
        <f>VLOOKUP(Tabla1[[#This Row],[Código Unificador]],PRECIOS_COMPETENCIA!B:D,3,FALSE)</f>
        <v>32.750983333333338</v>
      </c>
      <c r="H29" s="10">
        <f>Tabla1[[#This Row],[PVP Competencia]]*0.98</f>
        <v>32.09596366666667</v>
      </c>
      <c r="I29" s="10">
        <f>Tabla1[[#This Row],[Precio Lista CDR]]*0.8</f>
        <v>25.676770933333337</v>
      </c>
      <c r="J29" s="10">
        <f>Tabla1[[#This Row],[Precio Lista CDR]]*0.7</f>
        <v>22.467174566666667</v>
      </c>
      <c r="K29" s="10">
        <f>Tabla1[[#This Row],[Precio Lista CDR]]*0.6</f>
        <v>19.257578200000001</v>
      </c>
      <c r="L29" s="12">
        <f>(Tabla1[[#This Row],[Precio Lista CDR]]-Tabla1[[#This Row],[PrecioFábrica]])/Tabla1[[#This Row],[Precio Lista CDR]]</f>
        <v>0.76269082474763106</v>
      </c>
      <c r="M29" s="12">
        <f>(Tabla1[[#This Row],[Lista 1 (20%)]]-Tabla1[[#This Row],[PrecioFábrica]])/Tabla1[[#This Row],[Lista 1 (20%)]]</f>
        <v>0.70336353093453885</v>
      </c>
      <c r="N29" s="12">
        <f>(Tabla1[[#This Row],[Lista 2 (30%)]]-Tabla1[[#This Row],[PrecioFábrica]])/Tabla1[[#This Row],[Lista 2 (30%)]]</f>
        <v>0.6609868924966158</v>
      </c>
      <c r="O29" s="12">
        <f>(Tabla1[[#This Row],[Lista 3 (40%)]]-Tabla1[[#This Row],[PrecioFábrica]])/Tabla1[[#This Row],[Lista 3 (40%)]]</f>
        <v>0.60448470791271836</v>
      </c>
    </row>
    <row r="30" spans="1:15">
      <c r="A30" t="s">
        <v>6</v>
      </c>
      <c r="B30" t="s">
        <v>39</v>
      </c>
      <c r="C30" t="s">
        <v>842</v>
      </c>
      <c r="D30" t="s">
        <v>811</v>
      </c>
      <c r="E30" t="s">
        <v>5</v>
      </c>
      <c r="F30" s="3">
        <v>8.1833333333333336</v>
      </c>
      <c r="G30" s="10">
        <f>VLOOKUP(Tabla1[[#This Row],[Código Unificador]],PRECIOS_COMPETENCIA!B:D,3,FALSE)</f>
        <v>35.155566666666672</v>
      </c>
      <c r="H30" s="10">
        <f>Tabla1[[#This Row],[PVP Competencia]]*0.98</f>
        <v>34.45245533333334</v>
      </c>
      <c r="I30" s="10">
        <f>Tabla1[[#This Row],[Precio Lista CDR]]*0.8</f>
        <v>27.561964266666674</v>
      </c>
      <c r="J30" s="10">
        <f>Tabla1[[#This Row],[Precio Lista CDR]]*0.7</f>
        <v>24.116718733333336</v>
      </c>
      <c r="K30" s="10">
        <f>Tabla1[[#This Row],[Precio Lista CDR]]*0.6</f>
        <v>20.671473200000005</v>
      </c>
      <c r="L30" s="12">
        <f>(Tabla1[[#This Row],[Precio Lista CDR]]-Tabla1[[#This Row],[PrecioFábrica]])/Tabla1[[#This Row],[Precio Lista CDR]]</f>
        <v>0.76247459711773236</v>
      </c>
      <c r="M30" s="12">
        <f>(Tabla1[[#This Row],[Lista 1 (20%)]]-Tabla1[[#This Row],[PrecioFábrica]])/Tabla1[[#This Row],[Lista 1 (20%)]]</f>
        <v>0.70309324639716542</v>
      </c>
      <c r="N30" s="12">
        <f>(Tabla1[[#This Row],[Lista 2 (30%)]]-Tabla1[[#This Row],[PrecioFábrica]])/Tabla1[[#This Row],[Lista 2 (30%)]]</f>
        <v>0.66067799588247467</v>
      </c>
      <c r="O30" s="12">
        <f>(Tabla1[[#This Row],[Lista 3 (40%)]]-Tabla1[[#This Row],[PrecioFábrica]])/Tabla1[[#This Row],[Lista 3 (40%)]]</f>
        <v>0.60412432852955389</v>
      </c>
    </row>
    <row r="31" spans="1:15">
      <c r="A31" t="s">
        <v>6</v>
      </c>
      <c r="B31" t="s">
        <v>40</v>
      </c>
      <c r="C31" t="s">
        <v>843</v>
      </c>
      <c r="D31" t="s">
        <v>811</v>
      </c>
      <c r="E31" t="s">
        <v>5</v>
      </c>
      <c r="F31" s="3">
        <v>9.0166666666666675</v>
      </c>
      <c r="G31" s="10">
        <f>VLOOKUP(Tabla1[[#This Row],[Código Unificador]],PRECIOS_COMPETENCIA!B:D,3,FALSE)</f>
        <v>37.455750000000002</v>
      </c>
      <c r="H31" s="10">
        <f>Tabla1[[#This Row],[PVP Competencia]]*0.98</f>
        <v>36.706634999999999</v>
      </c>
      <c r="I31" s="10">
        <f>Tabla1[[#This Row],[Precio Lista CDR]]*0.8</f>
        <v>29.365307999999999</v>
      </c>
      <c r="J31" s="10">
        <f>Tabla1[[#This Row],[Precio Lista CDR]]*0.7</f>
        <v>25.694644499999999</v>
      </c>
      <c r="K31" s="10">
        <f>Tabla1[[#This Row],[Precio Lista CDR]]*0.6</f>
        <v>22.023980999999999</v>
      </c>
      <c r="L31" s="12">
        <f>(Tabla1[[#This Row],[Precio Lista CDR]]-Tabla1[[#This Row],[PrecioFábrica]])/Tabla1[[#This Row],[Precio Lista CDR]]</f>
        <v>0.75435866930687967</v>
      </c>
      <c r="M31" s="12">
        <f>(Tabla1[[#This Row],[Lista 1 (20%)]]-Tabla1[[#This Row],[PrecioFábrica]])/Tabla1[[#This Row],[Lista 1 (20%)]]</f>
        <v>0.69294833663359956</v>
      </c>
      <c r="N31" s="12">
        <f>(Tabla1[[#This Row],[Lista 2 (30%)]]-Tabla1[[#This Row],[PrecioFábrica]])/Tabla1[[#This Row],[Lista 2 (30%)]]</f>
        <v>0.64908381329554221</v>
      </c>
      <c r="O31" s="12">
        <f>(Tabla1[[#This Row],[Lista 3 (40%)]]-Tabla1[[#This Row],[PrecioFábrica]])/Tabla1[[#This Row],[Lista 3 (40%)]]</f>
        <v>0.59059778217813264</v>
      </c>
    </row>
    <row r="32" spans="1:15">
      <c r="A32" t="s">
        <v>6</v>
      </c>
      <c r="B32" t="s">
        <v>41</v>
      </c>
      <c r="C32" t="s">
        <v>844</v>
      </c>
      <c r="D32" t="s">
        <v>811</v>
      </c>
      <c r="E32" t="s">
        <v>5</v>
      </c>
      <c r="F32" s="3">
        <v>11.775</v>
      </c>
      <c r="G32" s="10">
        <f>VLOOKUP(Tabla1[[#This Row],[Código Unificador]],PRECIOS_COMPETENCIA!B:D,3,FALSE)</f>
        <v>46.19635000000001</v>
      </c>
      <c r="H32" s="10">
        <f>Tabla1[[#This Row],[PVP Competencia]]*0.98</f>
        <v>45.272423000000011</v>
      </c>
      <c r="I32" s="10">
        <f>Tabla1[[#This Row],[Precio Lista CDR]]*0.8</f>
        <v>36.217938400000008</v>
      </c>
      <c r="J32" s="10">
        <f>Tabla1[[#This Row],[Precio Lista CDR]]*0.7</f>
        <v>31.690696100000004</v>
      </c>
      <c r="K32" s="10">
        <f>Tabla1[[#This Row],[Precio Lista CDR]]*0.6</f>
        <v>27.163453800000006</v>
      </c>
      <c r="L32" s="12">
        <f>(Tabla1[[#This Row],[Precio Lista CDR]]-Tabla1[[#This Row],[PrecioFábrica]])/Tabla1[[#This Row],[Precio Lista CDR]]</f>
        <v>0.73990789050544092</v>
      </c>
      <c r="M32" s="12">
        <f>(Tabla1[[#This Row],[Lista 1 (20%)]]-Tabla1[[#This Row],[PrecioFábrica]])/Tabla1[[#This Row],[Lista 1 (20%)]]</f>
        <v>0.67488486313180107</v>
      </c>
      <c r="N32" s="12">
        <f>(Tabla1[[#This Row],[Lista 2 (30%)]]-Tabla1[[#This Row],[PrecioFábrica]])/Tabla1[[#This Row],[Lista 2 (30%)]]</f>
        <v>0.62843984357920124</v>
      </c>
      <c r="O32" s="12">
        <f>(Tabla1[[#This Row],[Lista 3 (40%)]]-Tabla1[[#This Row],[PrecioFábrica]])/Tabla1[[#This Row],[Lista 3 (40%)]]</f>
        <v>0.56651315084240139</v>
      </c>
    </row>
    <row r="33" spans="1:15">
      <c r="A33" t="s">
        <v>6</v>
      </c>
      <c r="B33" t="s">
        <v>42</v>
      </c>
      <c r="C33" t="s">
        <v>845</v>
      </c>
      <c r="D33" t="s">
        <v>811</v>
      </c>
      <c r="E33" t="s">
        <v>5</v>
      </c>
      <c r="F33" s="3">
        <v>8.1</v>
      </c>
      <c r="G33" s="10">
        <f>VLOOKUP(Tabla1[[#This Row],[Código Unificador]],PRECIOS_COMPETENCIA!B:D,3,FALSE)</f>
        <v>34.429600000000001</v>
      </c>
      <c r="H33" s="10">
        <f>Tabla1[[#This Row],[PVP Competencia]]*0.98</f>
        <v>33.741008000000001</v>
      </c>
      <c r="I33" s="10">
        <f>Tabla1[[#This Row],[Precio Lista CDR]]*0.8</f>
        <v>26.992806400000003</v>
      </c>
      <c r="J33" s="10">
        <f>Tabla1[[#This Row],[Precio Lista CDR]]*0.7</f>
        <v>23.618705599999998</v>
      </c>
      <c r="K33" s="10">
        <f>Tabla1[[#This Row],[Precio Lista CDR]]*0.6</f>
        <v>20.244604800000001</v>
      </c>
      <c r="L33" s="12">
        <f>(Tabla1[[#This Row],[Precio Lista CDR]]-Tabla1[[#This Row],[PrecioFábrica]])/Tabla1[[#This Row],[Precio Lista CDR]]</f>
        <v>0.75993603984800928</v>
      </c>
      <c r="M33" s="12">
        <f>(Tabla1[[#This Row],[Lista 1 (20%)]]-Tabla1[[#This Row],[PrecioFábrica]])/Tabla1[[#This Row],[Lista 1 (20%)]]</f>
        <v>0.69992004981001177</v>
      </c>
      <c r="N33" s="12">
        <f>(Tabla1[[#This Row],[Lista 2 (30%)]]-Tabla1[[#This Row],[PrecioFábrica]])/Tabla1[[#This Row],[Lista 2 (30%)]]</f>
        <v>0.65705148549715608</v>
      </c>
      <c r="O33" s="12">
        <f>(Tabla1[[#This Row],[Lista 3 (40%)]]-Tabla1[[#This Row],[PrecioFábrica]])/Tabla1[[#This Row],[Lista 3 (40%)]]</f>
        <v>0.59989339974668221</v>
      </c>
    </row>
    <row r="34" spans="1:15">
      <c r="A34" t="s">
        <v>6</v>
      </c>
      <c r="B34" t="s">
        <v>43</v>
      </c>
      <c r="C34" t="s">
        <v>846</v>
      </c>
      <c r="D34" t="s">
        <v>811</v>
      </c>
      <c r="E34" t="s">
        <v>5</v>
      </c>
      <c r="F34" s="3">
        <v>14.75</v>
      </c>
      <c r="G34" s="10">
        <f>VLOOKUP(Tabla1[[#This Row],[Código Unificador]],PRECIOS_COMPETENCIA!B:D,3,FALSE)</f>
        <v>54.91375</v>
      </c>
      <c r="H34" s="10">
        <f>Tabla1[[#This Row],[PVP Competencia]]*0.98</f>
        <v>53.815474999999999</v>
      </c>
      <c r="I34" s="10">
        <f>Tabla1[[#This Row],[Precio Lista CDR]]*0.8</f>
        <v>43.052379999999999</v>
      </c>
      <c r="J34" s="10">
        <f>Tabla1[[#This Row],[Precio Lista CDR]]*0.7</f>
        <v>37.670832499999996</v>
      </c>
      <c r="K34" s="10">
        <f>Tabla1[[#This Row],[Precio Lista CDR]]*0.6</f>
        <v>32.289285</v>
      </c>
      <c r="L34" s="12">
        <f>(Tabla1[[#This Row],[Precio Lista CDR]]-Tabla1[[#This Row],[PrecioFábrica]])/Tabla1[[#This Row],[Precio Lista CDR]]</f>
        <v>0.72591526879582502</v>
      </c>
      <c r="M34" s="12">
        <f>(Tabla1[[#This Row],[Lista 1 (20%)]]-Tabla1[[#This Row],[PrecioFábrica]])/Tabla1[[#This Row],[Lista 1 (20%)]]</f>
        <v>0.65739408599478122</v>
      </c>
      <c r="N34" s="12">
        <f>(Tabla1[[#This Row],[Lista 2 (30%)]]-Tabla1[[#This Row],[PrecioFábrica]])/Tabla1[[#This Row],[Lista 2 (30%)]]</f>
        <v>0.60845038399403562</v>
      </c>
      <c r="O34" s="12">
        <f>(Tabla1[[#This Row],[Lista 3 (40%)]]-Tabla1[[#This Row],[PrecioFábrica]])/Tabla1[[#This Row],[Lista 3 (40%)]]</f>
        <v>0.54319211465970829</v>
      </c>
    </row>
    <row r="35" spans="1:15">
      <c r="A35" t="s">
        <v>6</v>
      </c>
      <c r="B35" t="s">
        <v>44</v>
      </c>
      <c r="C35" t="s">
        <v>847</v>
      </c>
      <c r="D35" t="s">
        <v>811</v>
      </c>
      <c r="E35" t="s">
        <v>5</v>
      </c>
      <c r="F35" s="3">
        <v>14.108333333333334</v>
      </c>
      <c r="G35" s="10">
        <f>VLOOKUP(Tabla1[[#This Row],[Código Unificador]],PRECIOS_COMPETENCIA!B:D,3,FALSE)</f>
        <v>51.73245</v>
      </c>
      <c r="H35" s="10">
        <f>Tabla1[[#This Row],[PVP Competencia]]*0.98</f>
        <v>50.697800999999998</v>
      </c>
      <c r="I35" s="10">
        <f>Tabla1[[#This Row],[Precio Lista CDR]]*0.8</f>
        <v>40.5582408</v>
      </c>
      <c r="J35" s="10">
        <f>Tabla1[[#This Row],[Precio Lista CDR]]*0.7</f>
        <v>35.488460699999997</v>
      </c>
      <c r="K35" s="10">
        <f>Tabla1[[#This Row],[Precio Lista CDR]]*0.6</f>
        <v>30.418680599999998</v>
      </c>
      <c r="L35" s="12">
        <f>(Tabla1[[#This Row],[Precio Lista CDR]]-Tabla1[[#This Row],[PrecioFábrica]])/Tabla1[[#This Row],[Precio Lista CDR]]</f>
        <v>0.72171705567006084</v>
      </c>
      <c r="M35" s="12">
        <f>(Tabla1[[#This Row],[Lista 1 (20%)]]-Tabla1[[#This Row],[PrecioFábrica]])/Tabla1[[#This Row],[Lista 1 (20%)]]</f>
        <v>0.65214631958757607</v>
      </c>
      <c r="N35" s="12">
        <f>(Tabla1[[#This Row],[Lista 2 (30%)]]-Tabla1[[#This Row],[PrecioFábrica]])/Tabla1[[#This Row],[Lista 2 (30%)]]</f>
        <v>0.60245293667151545</v>
      </c>
      <c r="O35" s="12">
        <f>(Tabla1[[#This Row],[Lista 3 (40%)]]-Tabla1[[#This Row],[PrecioFábrica]])/Tabla1[[#This Row],[Lista 3 (40%)]]</f>
        <v>0.53619509278343469</v>
      </c>
    </row>
    <row r="36" spans="1:15">
      <c r="A36" t="s">
        <v>7</v>
      </c>
      <c r="B36" t="s">
        <v>45</v>
      </c>
      <c r="C36" t="s">
        <v>848</v>
      </c>
      <c r="D36" t="s">
        <v>811</v>
      </c>
      <c r="E36" t="s">
        <v>5</v>
      </c>
      <c r="F36" s="3">
        <v>10.075000000000001</v>
      </c>
      <c r="G36" s="10">
        <f>VLOOKUP(Tabla1[[#This Row],[Código Unificador]],PRECIOS_COMPETENCIA!B:D,3,FALSE)</f>
        <v>35.409999999999997</v>
      </c>
      <c r="H36" s="10">
        <f>Tabla1[[#This Row],[PVP Competencia]]*0.98</f>
        <v>34.701799999999999</v>
      </c>
      <c r="I36" s="10">
        <f>Tabla1[[#This Row],[Precio Lista CDR]]*0.8</f>
        <v>27.76144</v>
      </c>
      <c r="J36" s="10">
        <f>Tabla1[[#This Row],[Precio Lista CDR]]*0.7</f>
        <v>24.291259999999998</v>
      </c>
      <c r="K36" s="10">
        <f>Tabla1[[#This Row],[Precio Lista CDR]]*0.6</f>
        <v>20.821079999999998</v>
      </c>
      <c r="L36" s="12">
        <f>(Tabla1[[#This Row],[Precio Lista CDR]]-Tabla1[[#This Row],[PrecioFábrica]])/Tabla1[[#This Row],[Precio Lista CDR]]</f>
        <v>0.70966923905964518</v>
      </c>
      <c r="M36" s="12">
        <f>(Tabla1[[#This Row],[Lista 1 (20%)]]-Tabla1[[#This Row],[PrecioFábrica]])/Tabla1[[#This Row],[Lista 1 (20%)]]</f>
        <v>0.63708654882455651</v>
      </c>
      <c r="N36" s="12">
        <f>(Tabla1[[#This Row],[Lista 2 (30%)]]-Tabla1[[#This Row],[PrecioFábrica]])/Tabla1[[#This Row],[Lista 2 (30%)]]</f>
        <v>0.5852417700852075</v>
      </c>
      <c r="O36" s="12">
        <f>(Tabla1[[#This Row],[Lista 3 (40%)]]-Tabla1[[#This Row],[PrecioFábrica]])/Tabla1[[#This Row],[Lista 3 (40%)]]</f>
        <v>0.51611539843274212</v>
      </c>
    </row>
    <row r="37" spans="1:15">
      <c r="A37" t="s">
        <v>7</v>
      </c>
      <c r="B37" t="s">
        <v>46</v>
      </c>
      <c r="C37" t="s">
        <v>849</v>
      </c>
      <c r="D37" t="s">
        <v>811</v>
      </c>
      <c r="E37" t="s">
        <v>5</v>
      </c>
      <c r="F37" s="3">
        <v>6.166666666666667</v>
      </c>
      <c r="G37" s="10">
        <f>VLOOKUP(Tabla1[[#This Row],[Código Unificador]],PRECIOS_COMPETENCIA!B:D,3,FALSE)</f>
        <v>28.241000000000003</v>
      </c>
      <c r="H37" s="10">
        <f>Tabla1[[#This Row],[PVP Competencia]]*0.98</f>
        <v>27.676180000000002</v>
      </c>
      <c r="I37" s="10">
        <f>Tabla1[[#This Row],[Precio Lista CDR]]*0.8</f>
        <v>22.140944000000005</v>
      </c>
      <c r="J37" s="10">
        <f>Tabla1[[#This Row],[Precio Lista CDR]]*0.7</f>
        <v>19.373325999999999</v>
      </c>
      <c r="K37" s="10">
        <f>Tabla1[[#This Row],[Precio Lista CDR]]*0.6</f>
        <v>16.605708</v>
      </c>
      <c r="L37" s="12">
        <f>(Tabla1[[#This Row],[Precio Lista CDR]]-Tabla1[[#This Row],[PrecioFábrica]])/Tabla1[[#This Row],[Precio Lista CDR]]</f>
        <v>0.77718504986357706</v>
      </c>
      <c r="M37" s="12">
        <f>(Tabla1[[#This Row],[Lista 1 (20%)]]-Tabla1[[#This Row],[PrecioFábrica]])/Tabla1[[#This Row],[Lista 1 (20%)]]</f>
        <v>0.72148131232947132</v>
      </c>
      <c r="N37" s="12">
        <f>(Tabla1[[#This Row],[Lista 2 (30%)]]-Tabla1[[#This Row],[PrecioFábrica]])/Tabla1[[#This Row],[Lista 2 (30%)]]</f>
        <v>0.6816929283765385</v>
      </c>
      <c r="O37" s="12">
        <f>(Tabla1[[#This Row],[Lista 3 (40%)]]-Tabla1[[#This Row],[PrecioFábrica]])/Tabla1[[#This Row],[Lista 3 (40%)]]</f>
        <v>0.62864174977262832</v>
      </c>
    </row>
    <row r="38" spans="1:15">
      <c r="A38" t="s">
        <v>6</v>
      </c>
      <c r="B38" t="s">
        <v>47</v>
      </c>
      <c r="C38" t="s">
        <v>850</v>
      </c>
      <c r="D38" t="s">
        <v>811</v>
      </c>
      <c r="E38" t="s">
        <v>5</v>
      </c>
      <c r="F38" s="3">
        <v>5.916666666666667</v>
      </c>
      <c r="G38" s="10">
        <f>VLOOKUP(Tabla1[[#This Row],[Código Unificador]],PRECIOS_COMPETENCIA!B:D,3,FALSE)</f>
        <v>27.844666666666669</v>
      </c>
      <c r="H38" s="10">
        <f>Tabla1[[#This Row],[PVP Competencia]]*0.98</f>
        <v>27.287773333333334</v>
      </c>
      <c r="I38" s="10">
        <f>Tabla1[[#This Row],[Precio Lista CDR]]*0.8</f>
        <v>21.830218666666667</v>
      </c>
      <c r="J38" s="10">
        <f>Tabla1[[#This Row],[Precio Lista CDR]]*0.7</f>
        <v>19.101441333333334</v>
      </c>
      <c r="K38" s="10">
        <f>Tabla1[[#This Row],[Precio Lista CDR]]*0.6</f>
        <v>16.372664</v>
      </c>
      <c r="L38" s="12">
        <f>(Tabla1[[#This Row],[Precio Lista CDR]]-Tabla1[[#This Row],[PrecioFábrica]])/Tabla1[[#This Row],[Precio Lista CDR]]</f>
        <v>0.78317517540212145</v>
      </c>
      <c r="M38" s="12">
        <f>(Tabla1[[#This Row],[Lista 1 (20%)]]-Tabla1[[#This Row],[PrecioFábrica]])/Tabla1[[#This Row],[Lista 1 (20%)]]</f>
        <v>0.72896896925265176</v>
      </c>
      <c r="N38" s="12">
        <f>(Tabla1[[#This Row],[Lista 2 (30%)]]-Tabla1[[#This Row],[PrecioFábrica]])/Tabla1[[#This Row],[Lista 2 (30%)]]</f>
        <v>0.69025025057445921</v>
      </c>
      <c r="O38" s="12">
        <f>(Tabla1[[#This Row],[Lista 3 (40%)]]-Tabla1[[#This Row],[PrecioFábrica]])/Tabla1[[#This Row],[Lista 3 (40%)]]</f>
        <v>0.63862529233686904</v>
      </c>
    </row>
    <row r="39" spans="1:15">
      <c r="A39" t="s">
        <v>7</v>
      </c>
      <c r="B39" t="s">
        <v>48</v>
      </c>
      <c r="C39" t="s">
        <v>851</v>
      </c>
      <c r="D39" t="s">
        <v>811</v>
      </c>
      <c r="E39" t="s">
        <v>5</v>
      </c>
      <c r="F39" s="3">
        <v>7.416666666666667</v>
      </c>
      <c r="G39" s="10">
        <f>VLOOKUP(Tabla1[[#This Row],[Código Unificador]],PRECIOS_COMPETENCIA!B:D,3,FALSE)</f>
        <v>32.583750000000002</v>
      </c>
      <c r="H39" s="10">
        <f>Tabla1[[#This Row],[PVP Competencia]]*0.98</f>
        <v>31.932075000000001</v>
      </c>
      <c r="I39" s="10">
        <f>Tabla1[[#This Row],[Precio Lista CDR]]*0.8</f>
        <v>25.545660000000002</v>
      </c>
      <c r="J39" s="10">
        <f>Tabla1[[#This Row],[Precio Lista CDR]]*0.7</f>
        <v>22.352452499999998</v>
      </c>
      <c r="K39" s="10">
        <f>Tabla1[[#This Row],[Precio Lista CDR]]*0.6</f>
        <v>19.159244999999999</v>
      </c>
      <c r="L39" s="12">
        <f>(Tabla1[[#This Row],[Precio Lista CDR]]-Tabla1[[#This Row],[PrecioFábrica]])/Tabla1[[#This Row],[Precio Lista CDR]]</f>
        <v>0.76773615035456766</v>
      </c>
      <c r="M39" s="12">
        <f>(Tabla1[[#This Row],[Lista 1 (20%)]]-Tabla1[[#This Row],[PrecioFábrica]])/Tabla1[[#This Row],[Lista 1 (20%)]]</f>
        <v>0.70967018794320968</v>
      </c>
      <c r="N39" s="12">
        <f>(Tabla1[[#This Row],[Lista 2 (30%)]]-Tabla1[[#This Row],[PrecioFábrica]])/Tabla1[[#This Row],[Lista 2 (30%)]]</f>
        <v>0.66819450050652529</v>
      </c>
      <c r="O39" s="12">
        <f>(Tabla1[[#This Row],[Lista 3 (40%)]]-Tabla1[[#This Row],[PrecioFábrica]])/Tabla1[[#This Row],[Lista 3 (40%)]]</f>
        <v>0.61289358392427951</v>
      </c>
    </row>
    <row r="40" spans="1:15">
      <c r="A40" t="s">
        <v>7</v>
      </c>
      <c r="B40" t="s">
        <v>49</v>
      </c>
      <c r="C40" t="s">
        <v>852</v>
      </c>
      <c r="D40" t="s">
        <v>811</v>
      </c>
      <c r="E40" t="s">
        <v>5</v>
      </c>
      <c r="F40" s="3">
        <v>10.158333333333333</v>
      </c>
      <c r="G40" s="10">
        <f>VLOOKUP(Tabla1[[#This Row],[Código Unificador]],PRECIOS_COMPETENCIA!B:D,3,FALSE)</f>
        <v>40.637533333333337</v>
      </c>
      <c r="H40" s="10">
        <f>Tabla1[[#This Row],[PVP Competencia]]*0.98</f>
        <v>39.824782666666671</v>
      </c>
      <c r="I40" s="10">
        <f>Tabla1[[#This Row],[Precio Lista CDR]]*0.8</f>
        <v>31.859826133333339</v>
      </c>
      <c r="J40" s="10">
        <f>Tabla1[[#This Row],[Precio Lista CDR]]*0.7</f>
        <v>27.877347866666668</v>
      </c>
      <c r="K40" s="10">
        <f>Tabla1[[#This Row],[Precio Lista CDR]]*0.6</f>
        <v>23.894869600000003</v>
      </c>
      <c r="L40" s="12">
        <f>(Tabla1[[#This Row],[Precio Lista CDR]]-Tabla1[[#This Row],[PrecioFábrica]])/Tabla1[[#This Row],[Precio Lista CDR]]</f>
        <v>0.74492432467595482</v>
      </c>
      <c r="M40" s="12">
        <f>(Tabla1[[#This Row],[Lista 1 (20%)]]-Tabla1[[#This Row],[PrecioFábrica]])/Tabla1[[#This Row],[Lista 1 (20%)]]</f>
        <v>0.68115540584494338</v>
      </c>
      <c r="N40" s="12">
        <f>(Tabla1[[#This Row],[Lista 2 (30%)]]-Tabla1[[#This Row],[PrecioFábrica]])/Tabla1[[#This Row],[Lista 2 (30%)]]</f>
        <v>0.63560617810850684</v>
      </c>
      <c r="O40" s="12">
        <f>(Tabla1[[#This Row],[Lista 3 (40%)]]-Tabla1[[#This Row],[PrecioFábrica]])/Tabla1[[#This Row],[Lista 3 (40%)]]</f>
        <v>0.57487387445992455</v>
      </c>
    </row>
    <row r="41" spans="1:15">
      <c r="A41" t="s">
        <v>9</v>
      </c>
      <c r="B41" t="s">
        <v>50</v>
      </c>
      <c r="C41" t="s">
        <v>853</v>
      </c>
      <c r="D41" t="s">
        <v>811</v>
      </c>
      <c r="E41" t="s">
        <v>5</v>
      </c>
      <c r="F41" s="3">
        <v>10.833333333333334</v>
      </c>
      <c r="G41" s="10">
        <f>VLOOKUP(Tabla1[[#This Row],[Código Unificador]],PRECIOS_COMPETENCIA!B:D,3,FALSE)</f>
        <v>42.359166666666667</v>
      </c>
      <c r="H41" s="10">
        <f>Tabla1[[#This Row],[PVP Competencia]]*0.98</f>
        <v>41.511983333333333</v>
      </c>
      <c r="I41" s="10">
        <f>Tabla1[[#This Row],[Precio Lista CDR]]*0.8</f>
        <v>33.209586666666667</v>
      </c>
      <c r="J41" s="10">
        <f>Tabla1[[#This Row],[Precio Lista CDR]]*0.7</f>
        <v>29.05838833333333</v>
      </c>
      <c r="K41" s="10">
        <f>Tabla1[[#This Row],[Precio Lista CDR]]*0.6</f>
        <v>24.90719</v>
      </c>
      <c r="L41" s="12">
        <f>(Tabla1[[#This Row],[Precio Lista CDR]]-Tabla1[[#This Row],[PrecioFábrica]])/Tabla1[[#This Row],[Precio Lista CDR]]</f>
        <v>0.73903117935021967</v>
      </c>
      <c r="M41" s="12">
        <f>(Tabla1[[#This Row],[Lista 1 (20%)]]-Tabla1[[#This Row],[PrecioFábrica]])/Tabla1[[#This Row],[Lista 1 (20%)]]</f>
        <v>0.67378897418777461</v>
      </c>
      <c r="N41" s="12">
        <f>(Tabla1[[#This Row],[Lista 2 (30%)]]-Tabla1[[#This Row],[PrecioFábrica]])/Tabla1[[#This Row],[Lista 2 (30%)]]</f>
        <v>0.62718739907174248</v>
      </c>
      <c r="O41" s="12">
        <f>(Tabla1[[#This Row],[Lista 3 (40%)]]-Tabla1[[#This Row],[PrecioFábrica]])/Tabla1[[#This Row],[Lista 3 (40%)]]</f>
        <v>0.56505196558369952</v>
      </c>
    </row>
    <row r="42" spans="1:15">
      <c r="A42" t="s">
        <v>7</v>
      </c>
      <c r="B42" t="s">
        <v>51</v>
      </c>
      <c r="C42" t="s">
        <v>854</v>
      </c>
      <c r="D42" t="s">
        <v>811</v>
      </c>
      <c r="E42" t="s">
        <v>5</v>
      </c>
      <c r="F42" s="3">
        <v>14.016666666666667</v>
      </c>
      <c r="G42" s="10">
        <f>VLOOKUP(Tabla1[[#This Row],[Código Unificador]],PRECIOS_COMPETENCIA!B:D,3,FALSE)</f>
        <v>53.900200000000005</v>
      </c>
      <c r="H42" s="10">
        <f>Tabla1[[#This Row],[PVP Competencia]]*0.98</f>
        <v>52.822196000000005</v>
      </c>
      <c r="I42" s="10">
        <f>Tabla1[[#This Row],[Precio Lista CDR]]*0.8</f>
        <v>42.25775680000001</v>
      </c>
      <c r="J42" s="10">
        <f>Tabla1[[#This Row],[Precio Lista CDR]]*0.7</f>
        <v>36.975537199999998</v>
      </c>
      <c r="K42" s="10">
        <f>Tabla1[[#This Row],[Precio Lista CDR]]*0.6</f>
        <v>31.6933176</v>
      </c>
      <c r="L42" s="12">
        <f>(Tabla1[[#This Row],[Precio Lista CDR]]-Tabla1[[#This Row],[PrecioFábrica]])/Tabla1[[#This Row],[Precio Lista CDR]]</f>
        <v>0.73464437815749528</v>
      </c>
      <c r="M42" s="12">
        <f>(Tabla1[[#This Row],[Lista 1 (20%)]]-Tabla1[[#This Row],[PrecioFábrica]])/Tabla1[[#This Row],[Lista 1 (20%)]]</f>
        <v>0.66830547269686913</v>
      </c>
      <c r="N42" s="12">
        <f>(Tabla1[[#This Row],[Lista 2 (30%)]]-Tabla1[[#This Row],[PrecioFábrica]])/Tabla1[[#This Row],[Lista 2 (30%)]]</f>
        <v>0.62092054022499321</v>
      </c>
      <c r="O42" s="12">
        <f>(Tabla1[[#This Row],[Lista 3 (40%)]]-Tabla1[[#This Row],[PrecioFábrica]])/Tabla1[[#This Row],[Lista 3 (40%)]]</f>
        <v>0.5577406302624921</v>
      </c>
    </row>
    <row r="43" spans="1:15">
      <c r="A43" t="s">
        <v>7</v>
      </c>
      <c r="B43" t="s">
        <v>52</v>
      </c>
      <c r="C43" t="s">
        <v>855</v>
      </c>
      <c r="D43" t="s">
        <v>811</v>
      </c>
      <c r="E43" t="s">
        <v>5</v>
      </c>
      <c r="F43" s="3">
        <v>19.066666666666666</v>
      </c>
      <c r="G43" s="10">
        <f>VLOOKUP(Tabla1[[#This Row],[Código Unificador]],PRECIOS_COMPETENCIA!B:D,3,FALSE)</f>
        <v>69.163866666666664</v>
      </c>
      <c r="H43" s="10">
        <f>Tabla1[[#This Row],[PVP Competencia]]*0.98</f>
        <v>67.780589333333324</v>
      </c>
      <c r="I43" s="10">
        <f>Tabla1[[#This Row],[Precio Lista CDR]]*0.8</f>
        <v>54.224471466666664</v>
      </c>
      <c r="J43" s="10">
        <f>Tabla1[[#This Row],[Precio Lista CDR]]*0.7</f>
        <v>47.446412533333323</v>
      </c>
      <c r="K43" s="10">
        <f>Tabla1[[#This Row],[Precio Lista CDR]]*0.6</f>
        <v>40.668353599999996</v>
      </c>
      <c r="L43" s="12">
        <f>(Tabla1[[#This Row],[Precio Lista CDR]]-Tabla1[[#This Row],[PrecioFábrica]])/Tabla1[[#This Row],[Precio Lista CDR]]</f>
        <v>0.71870019345951597</v>
      </c>
      <c r="M43" s="12">
        <f>(Tabla1[[#This Row],[Lista 1 (20%)]]-Tabla1[[#This Row],[PrecioFábrica]])/Tabla1[[#This Row],[Lista 1 (20%)]]</f>
        <v>0.64837524182439477</v>
      </c>
      <c r="N43" s="12">
        <f>(Tabla1[[#This Row],[Lista 2 (30%)]]-Tabla1[[#This Row],[PrecioFábrica]])/Tabla1[[#This Row],[Lista 2 (30%)]]</f>
        <v>0.59814313351359405</v>
      </c>
      <c r="O43" s="12">
        <f>(Tabla1[[#This Row],[Lista 3 (40%)]]-Tabla1[[#This Row],[PrecioFábrica]])/Tabla1[[#This Row],[Lista 3 (40%)]]</f>
        <v>0.53116698909919313</v>
      </c>
    </row>
    <row r="44" spans="1:15">
      <c r="A44" t="s">
        <v>7</v>
      </c>
      <c r="B44" t="s">
        <v>53</v>
      </c>
      <c r="C44" t="s">
        <v>856</v>
      </c>
      <c r="D44" t="s">
        <v>811</v>
      </c>
      <c r="E44" t="s">
        <v>5</v>
      </c>
      <c r="F44" s="3">
        <v>13.450000000000001</v>
      </c>
      <c r="G44" s="10">
        <f>VLOOKUP(Tabla1[[#This Row],[Código Unificador]],PRECIOS_COMPETENCIA!B:D,3,FALSE)</f>
        <v>50.175150000000002</v>
      </c>
      <c r="H44" s="10">
        <f>Tabla1[[#This Row],[PVP Competencia]]*0.98</f>
        <v>49.171647</v>
      </c>
      <c r="I44" s="10">
        <f>Tabla1[[#This Row],[Precio Lista CDR]]*0.8</f>
        <v>39.337317600000006</v>
      </c>
      <c r="J44" s="10">
        <f>Tabla1[[#This Row],[Precio Lista CDR]]*0.7</f>
        <v>34.420152899999998</v>
      </c>
      <c r="K44" s="10">
        <f>Tabla1[[#This Row],[Precio Lista CDR]]*0.6</f>
        <v>29.502988199999997</v>
      </c>
      <c r="L44" s="12">
        <f>(Tabla1[[#This Row],[Precio Lista CDR]]-Tabla1[[#This Row],[PrecioFábrica]])/Tabla1[[#This Row],[Precio Lista CDR]]</f>
        <v>0.7264683853278292</v>
      </c>
      <c r="M44" s="12">
        <f>(Tabla1[[#This Row],[Lista 1 (20%)]]-Tabla1[[#This Row],[PrecioFábrica]])/Tabla1[[#This Row],[Lista 1 (20%)]]</f>
        <v>0.65808548165978653</v>
      </c>
      <c r="N44" s="12">
        <f>(Tabla1[[#This Row],[Lista 2 (30%)]]-Tabla1[[#This Row],[PrecioFábrica]])/Tabla1[[#This Row],[Lista 2 (30%)]]</f>
        <v>0.60924055046832737</v>
      </c>
      <c r="O44" s="12">
        <f>(Tabla1[[#This Row],[Lista 3 (40%)]]-Tabla1[[#This Row],[PrecioFábrica]])/Tabla1[[#This Row],[Lista 3 (40%)]]</f>
        <v>0.54411397554638197</v>
      </c>
    </row>
    <row r="45" spans="1:15">
      <c r="A45" t="s">
        <v>7</v>
      </c>
      <c r="B45" t="s">
        <v>54</v>
      </c>
      <c r="C45" t="s">
        <v>857</v>
      </c>
      <c r="D45" t="s">
        <v>811</v>
      </c>
      <c r="E45" t="s">
        <v>5</v>
      </c>
      <c r="F45" s="3">
        <v>18.900000000000002</v>
      </c>
      <c r="G45" s="10">
        <f>VLOOKUP(Tabla1[[#This Row],[Código Unificador]],PRECIOS_COMPETENCIA!B:D,3,FALSE)</f>
        <v>68.098600000000005</v>
      </c>
      <c r="H45" s="10">
        <f>Tabla1[[#This Row],[PVP Competencia]]*0.98</f>
        <v>66.73662800000001</v>
      </c>
      <c r="I45" s="10">
        <f>Tabla1[[#This Row],[Precio Lista CDR]]*0.8</f>
        <v>53.389302400000012</v>
      </c>
      <c r="J45" s="10">
        <f>Tabla1[[#This Row],[Precio Lista CDR]]*0.7</f>
        <v>46.715639600000003</v>
      </c>
      <c r="K45" s="10">
        <f>Tabla1[[#This Row],[Precio Lista CDR]]*0.6</f>
        <v>40.041976800000008</v>
      </c>
      <c r="L45" s="12">
        <f>(Tabla1[[#This Row],[Precio Lista CDR]]-Tabla1[[#This Row],[PrecioFábrica]])/Tabla1[[#This Row],[Precio Lista CDR]]</f>
        <v>0.71679719868375724</v>
      </c>
      <c r="M45" s="12">
        <f>(Tabla1[[#This Row],[Lista 1 (20%)]]-Tabla1[[#This Row],[PrecioFábrica]])/Tabla1[[#This Row],[Lista 1 (20%)]]</f>
        <v>0.64599649835469675</v>
      </c>
      <c r="N45" s="12">
        <f>(Tabla1[[#This Row],[Lista 2 (30%)]]-Tabla1[[#This Row],[PrecioFábrica]])/Tabla1[[#This Row],[Lista 2 (30%)]]</f>
        <v>0.59542456954822465</v>
      </c>
      <c r="O45" s="12">
        <f>(Tabla1[[#This Row],[Lista 3 (40%)]]-Tabla1[[#This Row],[PrecioFábrica]])/Tabla1[[#This Row],[Lista 3 (40%)]]</f>
        <v>0.52799533113959551</v>
      </c>
    </row>
    <row r="46" spans="1:15">
      <c r="A46" t="s">
        <v>9</v>
      </c>
      <c r="B46" t="s">
        <v>55</v>
      </c>
      <c r="C46" t="s">
        <v>858</v>
      </c>
      <c r="D46" t="s">
        <v>811</v>
      </c>
      <c r="E46" t="s">
        <v>5</v>
      </c>
      <c r="F46" s="3">
        <v>10.083333333333334</v>
      </c>
      <c r="G46" s="10">
        <f>VLOOKUP(Tabla1[[#This Row],[Código Unificador]],PRECIOS_COMPETENCIA!B:D,3,FALSE)</f>
        <v>40.118916666666671</v>
      </c>
      <c r="H46" s="10">
        <f>Tabla1[[#This Row],[PVP Competencia]]*0.98</f>
        <v>39.316538333333334</v>
      </c>
      <c r="I46" s="10">
        <f>Tabla1[[#This Row],[Precio Lista CDR]]*0.8</f>
        <v>31.45323066666667</v>
      </c>
      <c r="J46" s="10">
        <f>Tabla1[[#This Row],[Precio Lista CDR]]*0.7</f>
        <v>27.521576833333331</v>
      </c>
      <c r="K46" s="10">
        <f>Tabla1[[#This Row],[Precio Lista CDR]]*0.6</f>
        <v>23.589922999999999</v>
      </c>
      <c r="L46" s="12">
        <f>(Tabla1[[#This Row],[Precio Lista CDR]]-Tabla1[[#This Row],[PrecioFábrica]])/Tabla1[[#This Row],[Precio Lista CDR]]</f>
        <v>0.74353455922683587</v>
      </c>
      <c r="M46" s="12">
        <f>(Tabla1[[#This Row],[Lista 1 (20%)]]-Tabla1[[#This Row],[PrecioFábrica]])/Tabla1[[#This Row],[Lista 1 (20%)]]</f>
        <v>0.67941819903354495</v>
      </c>
      <c r="N46" s="12">
        <f>(Tabla1[[#This Row],[Lista 2 (30%)]]-Tabla1[[#This Row],[PrecioFábrica]])/Tabla1[[#This Row],[Lista 2 (30%)]]</f>
        <v>0.63362079889547995</v>
      </c>
      <c r="O46" s="12">
        <f>(Tabla1[[#This Row],[Lista 3 (40%)]]-Tabla1[[#This Row],[PrecioFábrica]])/Tabla1[[#This Row],[Lista 3 (40%)]]</f>
        <v>0.57255759871139322</v>
      </c>
    </row>
    <row r="47" spans="1:15">
      <c r="A47" t="s">
        <v>7</v>
      </c>
      <c r="B47" t="s">
        <v>56</v>
      </c>
      <c r="C47" t="s">
        <v>859</v>
      </c>
      <c r="D47" t="s">
        <v>811</v>
      </c>
      <c r="E47" t="s">
        <v>5</v>
      </c>
      <c r="F47" s="3">
        <v>6.2249999999999996</v>
      </c>
      <c r="G47" s="10">
        <f>VLOOKUP(Tabla1[[#This Row],[Código Unificador]],PRECIOS_COMPETENCIA!B:D,3,FALSE)</f>
        <v>29.496700000000004</v>
      </c>
      <c r="H47" s="10">
        <f>Tabla1[[#This Row],[PVP Competencia]]*0.98</f>
        <v>28.906766000000005</v>
      </c>
      <c r="I47" s="10">
        <f>Tabla1[[#This Row],[Precio Lista CDR]]*0.8</f>
        <v>23.125412800000007</v>
      </c>
      <c r="J47" s="10">
        <f>Tabla1[[#This Row],[Precio Lista CDR]]*0.7</f>
        <v>20.2347362</v>
      </c>
      <c r="K47" s="10">
        <f>Tabla1[[#This Row],[Precio Lista CDR]]*0.6</f>
        <v>17.344059600000001</v>
      </c>
      <c r="L47" s="12">
        <f>(Tabla1[[#This Row],[Precio Lista CDR]]-Tabla1[[#This Row],[PrecioFábrica]])/Tabla1[[#This Row],[Precio Lista CDR]]</f>
        <v>0.7846524927762587</v>
      </c>
      <c r="M47" s="12">
        <f>(Tabla1[[#This Row],[Lista 1 (20%)]]-Tabla1[[#This Row],[PrecioFábrica]])/Tabla1[[#This Row],[Lista 1 (20%)]]</f>
        <v>0.73081561597032341</v>
      </c>
      <c r="N47" s="12">
        <f>(Tabla1[[#This Row],[Lista 2 (30%)]]-Tabla1[[#This Row],[PrecioFábrica]])/Tabla1[[#This Row],[Lista 2 (30%)]]</f>
        <v>0.69236070396608385</v>
      </c>
      <c r="O47" s="12">
        <f>(Tabla1[[#This Row],[Lista 3 (40%)]]-Tabla1[[#This Row],[PrecioFábrica]])/Tabla1[[#This Row],[Lista 3 (40%)]]</f>
        <v>0.64108748796043113</v>
      </c>
    </row>
    <row r="48" spans="1:15">
      <c r="A48" t="s">
        <v>7</v>
      </c>
      <c r="B48" t="s">
        <v>57</v>
      </c>
      <c r="C48" t="s">
        <v>860</v>
      </c>
      <c r="D48" t="s">
        <v>811</v>
      </c>
      <c r="E48" t="s">
        <v>5</v>
      </c>
      <c r="F48" s="3">
        <v>7.4083333333333341</v>
      </c>
      <c r="G48" s="10">
        <f>VLOOKUP(Tabla1[[#This Row],[Código Unificador]],PRECIOS_COMPETENCIA!B:D,3,FALSE)</f>
        <v>32.988058333333342</v>
      </c>
      <c r="H48" s="10">
        <f>Tabla1[[#This Row],[PVP Competencia]]*0.98</f>
        <v>32.328297166666673</v>
      </c>
      <c r="I48" s="10">
        <f>Tabla1[[#This Row],[Precio Lista CDR]]*0.8</f>
        <v>25.86263773333334</v>
      </c>
      <c r="J48" s="10">
        <f>Tabla1[[#This Row],[Precio Lista CDR]]*0.7</f>
        <v>22.629808016666669</v>
      </c>
      <c r="K48" s="10">
        <f>Tabla1[[#This Row],[Precio Lista CDR]]*0.6</f>
        <v>19.396978300000004</v>
      </c>
      <c r="L48" s="12">
        <f>(Tabla1[[#This Row],[Precio Lista CDR]]-Tabla1[[#This Row],[PrecioFábrica]])/Tabla1[[#This Row],[Precio Lista CDR]]</f>
        <v>0.7708405953106624</v>
      </c>
      <c r="M48" s="12">
        <f>(Tabla1[[#This Row],[Lista 1 (20%)]]-Tabla1[[#This Row],[PrecioFábrica]])/Tabla1[[#This Row],[Lista 1 (20%)]]</f>
        <v>0.71355074413832797</v>
      </c>
      <c r="N48" s="12">
        <f>(Tabla1[[#This Row],[Lista 2 (30%)]]-Tabla1[[#This Row],[PrecioFábrica]])/Tabla1[[#This Row],[Lista 2 (30%)]]</f>
        <v>0.67262942187237473</v>
      </c>
      <c r="O48" s="12">
        <f>(Tabla1[[#This Row],[Lista 3 (40%)]]-Tabla1[[#This Row],[PrecioFábrica]])/Tabla1[[#This Row],[Lista 3 (40%)]]</f>
        <v>0.61806765885110393</v>
      </c>
    </row>
    <row r="49" spans="1:15">
      <c r="A49" t="s">
        <v>6</v>
      </c>
      <c r="B49" t="s">
        <v>58</v>
      </c>
      <c r="C49" t="s">
        <v>861</v>
      </c>
      <c r="D49" t="s">
        <v>811</v>
      </c>
      <c r="E49" t="s">
        <v>5</v>
      </c>
      <c r="F49" s="3">
        <v>7.7249999999999996</v>
      </c>
      <c r="G49" s="10">
        <f>VLOOKUP(Tabla1[[#This Row],[Código Unificador]],PRECIOS_COMPETENCIA!B:D,3,FALSE)</f>
        <v>33.970675</v>
      </c>
      <c r="H49" s="10">
        <f>Tabla1[[#This Row],[PVP Competencia]]*0.98</f>
        <v>33.291261499999997</v>
      </c>
      <c r="I49" s="10">
        <f>Tabla1[[#This Row],[Precio Lista CDR]]*0.8</f>
        <v>26.6330092</v>
      </c>
      <c r="J49" s="10">
        <f>Tabla1[[#This Row],[Precio Lista CDR]]*0.7</f>
        <v>23.303883049999996</v>
      </c>
      <c r="K49" s="10">
        <f>Tabla1[[#This Row],[Precio Lista CDR]]*0.6</f>
        <v>19.974756899999999</v>
      </c>
      <c r="L49" s="12">
        <f>(Tabla1[[#This Row],[Precio Lista CDR]]-Tabla1[[#This Row],[PrecioFábrica]])/Tabla1[[#This Row],[Precio Lista CDR]]</f>
        <v>0.76795712592627341</v>
      </c>
      <c r="M49" s="12">
        <f>(Tabla1[[#This Row],[Lista 1 (20%)]]-Tabla1[[#This Row],[PrecioFábrica]])/Tabla1[[#This Row],[Lista 1 (20%)]]</f>
        <v>0.70994640740784187</v>
      </c>
      <c r="N49" s="12">
        <f>(Tabla1[[#This Row],[Lista 2 (30%)]]-Tabla1[[#This Row],[PrecioFábrica]])/Tabla1[[#This Row],[Lista 2 (30%)]]</f>
        <v>0.66851017989467632</v>
      </c>
      <c r="O49" s="12">
        <f>(Tabla1[[#This Row],[Lista 3 (40%)]]-Tabla1[[#This Row],[PrecioFábrica]])/Tabla1[[#This Row],[Lista 3 (40%)]]</f>
        <v>0.61326187654378916</v>
      </c>
    </row>
    <row r="50" spans="1:15">
      <c r="A50" t="s">
        <v>6</v>
      </c>
      <c r="B50" t="s">
        <v>59</v>
      </c>
      <c r="C50" t="s">
        <v>862</v>
      </c>
      <c r="D50" t="s">
        <v>811</v>
      </c>
      <c r="E50" t="s">
        <v>5</v>
      </c>
      <c r="F50" s="3">
        <v>8.9333333333333336</v>
      </c>
      <c r="G50" s="10">
        <f>VLOOKUP(Tabla1[[#This Row],[Código Unificador]],PRECIOS_COMPETENCIA!B:D,3,FALSE)</f>
        <v>37.202000000000005</v>
      </c>
      <c r="H50" s="10">
        <f>Tabla1[[#This Row],[PVP Competencia]]*0.98</f>
        <v>36.457960000000007</v>
      </c>
      <c r="I50" s="10">
        <f>Tabla1[[#This Row],[Precio Lista CDR]]*0.8</f>
        <v>29.166368000000006</v>
      </c>
      <c r="J50" s="10">
        <f>Tabla1[[#This Row],[Precio Lista CDR]]*0.7</f>
        <v>25.520572000000005</v>
      </c>
      <c r="K50" s="10">
        <f>Tabla1[[#This Row],[Precio Lista CDR]]*0.6</f>
        <v>21.874776000000004</v>
      </c>
      <c r="L50" s="12">
        <f>(Tabla1[[#This Row],[Precio Lista CDR]]-Tabla1[[#This Row],[PrecioFábrica]])/Tabla1[[#This Row],[Precio Lista CDR]]</f>
        <v>0.7549689194531638</v>
      </c>
      <c r="M50" s="12">
        <f>(Tabla1[[#This Row],[Lista 1 (20%)]]-Tabla1[[#This Row],[PrecioFábrica]])/Tabla1[[#This Row],[Lista 1 (20%)]]</f>
        <v>0.69371114931645472</v>
      </c>
      <c r="N50" s="12">
        <f>(Tabla1[[#This Row],[Lista 2 (30%)]]-Tabla1[[#This Row],[PrecioFábrica]])/Tabla1[[#This Row],[Lista 2 (30%)]]</f>
        <v>0.64995559921880541</v>
      </c>
      <c r="O50" s="12">
        <f>(Tabla1[[#This Row],[Lista 3 (40%)]]-Tabla1[[#This Row],[PrecioFábrica]])/Tabla1[[#This Row],[Lista 3 (40%)]]</f>
        <v>0.591614865755273</v>
      </c>
    </row>
    <row r="51" spans="1:15">
      <c r="A51" t="s">
        <v>7</v>
      </c>
      <c r="B51" t="s">
        <v>60</v>
      </c>
      <c r="C51" t="s">
        <v>863</v>
      </c>
      <c r="D51" t="s">
        <v>811</v>
      </c>
      <c r="E51" t="s">
        <v>5</v>
      </c>
      <c r="F51" s="3">
        <v>10.85</v>
      </c>
      <c r="G51" s="10">
        <f>VLOOKUP(Tabla1[[#This Row],[Código Unificador]],PRECIOS_COMPETENCIA!B:D,3,FALSE)</f>
        <v>42.094299999999997</v>
      </c>
      <c r="H51" s="10">
        <f>Tabla1[[#This Row],[PVP Competencia]]*0.98</f>
        <v>41.252413999999995</v>
      </c>
      <c r="I51" s="10">
        <f>Tabla1[[#This Row],[Precio Lista CDR]]*0.8</f>
        <v>33.001931199999994</v>
      </c>
      <c r="J51" s="10">
        <f>Tabla1[[#This Row],[Precio Lista CDR]]*0.7</f>
        <v>28.876689799999994</v>
      </c>
      <c r="K51" s="10">
        <f>Tabla1[[#This Row],[Precio Lista CDR]]*0.6</f>
        <v>24.751448399999997</v>
      </c>
      <c r="L51" s="12">
        <f>(Tabla1[[#This Row],[Precio Lista CDR]]-Tabla1[[#This Row],[PrecioFábrica]])/Tabla1[[#This Row],[Precio Lista CDR]]</f>
        <v>0.73698508892109915</v>
      </c>
      <c r="M51" s="12">
        <f>(Tabla1[[#This Row],[Lista 1 (20%)]]-Tabla1[[#This Row],[PrecioFábrica]])/Tabla1[[#This Row],[Lista 1 (20%)]]</f>
        <v>0.67123136115137394</v>
      </c>
      <c r="N51" s="12">
        <f>(Tabla1[[#This Row],[Lista 2 (30%)]]-Tabla1[[#This Row],[PrecioFábrica]])/Tabla1[[#This Row],[Lista 2 (30%)]]</f>
        <v>0.62426441274442734</v>
      </c>
      <c r="O51" s="12">
        <f>(Tabla1[[#This Row],[Lista 3 (40%)]]-Tabla1[[#This Row],[PrecioFábrica]])/Tabla1[[#This Row],[Lista 3 (40%)]]</f>
        <v>0.56164181486849873</v>
      </c>
    </row>
    <row r="52" spans="1:15">
      <c r="A52" t="s">
        <v>6</v>
      </c>
      <c r="B52" t="s">
        <v>61</v>
      </c>
      <c r="C52" t="s">
        <v>864</v>
      </c>
      <c r="D52" t="s">
        <v>811</v>
      </c>
      <c r="E52" t="s">
        <v>5</v>
      </c>
      <c r="F52" s="3">
        <v>9.75</v>
      </c>
      <c r="G52" s="10">
        <f>VLOOKUP(Tabla1[[#This Row],[Código Unificador]],PRECIOS_COMPETENCIA!B:D,3,FALSE)</f>
        <v>40.537000000000006</v>
      </c>
      <c r="H52" s="10">
        <f>Tabla1[[#This Row],[PVP Competencia]]*0.98</f>
        <v>39.726260000000003</v>
      </c>
      <c r="I52" s="10">
        <f>Tabla1[[#This Row],[Precio Lista CDR]]*0.8</f>
        <v>31.781008000000003</v>
      </c>
      <c r="J52" s="10">
        <f>Tabla1[[#This Row],[Precio Lista CDR]]*0.7</f>
        <v>27.808382000000002</v>
      </c>
      <c r="K52" s="10">
        <f>Tabla1[[#This Row],[Precio Lista CDR]]*0.6</f>
        <v>23.835756</v>
      </c>
      <c r="L52" s="12">
        <f>(Tabla1[[#This Row],[Precio Lista CDR]]-Tabla1[[#This Row],[PrecioFábrica]])/Tabla1[[#This Row],[Precio Lista CDR]]</f>
        <v>0.75457040254984997</v>
      </c>
      <c r="M52" s="12">
        <f>(Tabla1[[#This Row],[Lista 1 (20%)]]-Tabla1[[#This Row],[PrecioFábrica]])/Tabla1[[#This Row],[Lista 1 (20%)]]</f>
        <v>0.69321300318731238</v>
      </c>
      <c r="N52" s="12">
        <f>(Tabla1[[#This Row],[Lista 2 (30%)]]-Tabla1[[#This Row],[PrecioFábrica]])/Tabla1[[#This Row],[Lista 2 (30%)]]</f>
        <v>0.64938628935692844</v>
      </c>
      <c r="O52" s="12">
        <f>(Tabla1[[#This Row],[Lista 3 (40%)]]-Tabla1[[#This Row],[PrecioFábrica]])/Tabla1[[#This Row],[Lista 3 (40%)]]</f>
        <v>0.59095067091641651</v>
      </c>
    </row>
    <row r="53" spans="1:15">
      <c r="A53" t="s">
        <v>6</v>
      </c>
      <c r="B53" t="s">
        <v>62</v>
      </c>
      <c r="C53" t="s">
        <v>865</v>
      </c>
      <c r="D53" t="s">
        <v>811</v>
      </c>
      <c r="E53" t="s">
        <v>5</v>
      </c>
      <c r="F53" s="3">
        <v>8.9166666666666661</v>
      </c>
      <c r="G53" s="10">
        <f>VLOOKUP(Tabla1[[#This Row],[Código Unificador]],PRECIOS_COMPETENCIA!B:D,3,FALSE)</f>
        <v>37.151249999999997</v>
      </c>
      <c r="H53" s="10">
        <f>Tabla1[[#This Row],[PVP Competencia]]*0.98</f>
        <v>36.408224999999995</v>
      </c>
      <c r="I53" s="10">
        <f>Tabla1[[#This Row],[Precio Lista CDR]]*0.8</f>
        <v>29.126579999999997</v>
      </c>
      <c r="J53" s="10">
        <f>Tabla1[[#This Row],[Precio Lista CDR]]*0.7</f>
        <v>25.485757499999995</v>
      </c>
      <c r="K53" s="10">
        <f>Tabla1[[#This Row],[Precio Lista CDR]]*0.6</f>
        <v>21.844934999999996</v>
      </c>
      <c r="L53" s="12">
        <f>(Tabla1[[#This Row],[Precio Lista CDR]]-Tabla1[[#This Row],[PrecioFábrica]])/Tabla1[[#This Row],[Precio Lista CDR]]</f>
        <v>0.75509196983190841</v>
      </c>
      <c r="M53" s="12">
        <f>(Tabla1[[#This Row],[Lista 1 (20%)]]-Tabla1[[#This Row],[PrecioFábrica]])/Tabla1[[#This Row],[Lista 1 (20%)]]</f>
        <v>0.69386496228988559</v>
      </c>
      <c r="N53" s="12">
        <f>(Tabla1[[#This Row],[Lista 2 (30%)]]-Tabla1[[#This Row],[PrecioFábrica]])/Tabla1[[#This Row],[Lista 2 (30%)]]</f>
        <v>0.65013138547415472</v>
      </c>
      <c r="O53" s="12">
        <f>(Tabla1[[#This Row],[Lista 3 (40%)]]-Tabla1[[#This Row],[PrecioFábrica]])/Tabla1[[#This Row],[Lista 3 (40%)]]</f>
        <v>0.5918199497198473</v>
      </c>
    </row>
    <row r="54" spans="1:15">
      <c r="A54" t="s">
        <v>6</v>
      </c>
      <c r="B54" t="s">
        <v>63</v>
      </c>
      <c r="C54" t="s">
        <v>866</v>
      </c>
      <c r="D54" t="s">
        <v>811</v>
      </c>
      <c r="E54" t="s">
        <v>5</v>
      </c>
      <c r="F54" s="3">
        <v>6.9000000000000012</v>
      </c>
      <c r="G54" s="10">
        <f>VLOOKUP(Tabla1[[#This Row],[Código Unificador]],PRECIOS_COMPETENCIA!B:D,3,FALSE)</f>
        <v>30.610300000000006</v>
      </c>
      <c r="H54" s="10">
        <f>Tabla1[[#This Row],[PVP Competencia]]*0.98</f>
        <v>29.998094000000005</v>
      </c>
      <c r="I54" s="10">
        <f>Tabla1[[#This Row],[Precio Lista CDR]]*0.8</f>
        <v>23.998475200000005</v>
      </c>
      <c r="J54" s="10">
        <f>Tabla1[[#This Row],[Precio Lista CDR]]*0.7</f>
        <v>20.998665800000001</v>
      </c>
      <c r="K54" s="10">
        <f>Tabla1[[#This Row],[Precio Lista CDR]]*0.6</f>
        <v>17.998856400000001</v>
      </c>
      <c r="L54" s="12">
        <f>(Tabla1[[#This Row],[Precio Lista CDR]]-Tabla1[[#This Row],[PrecioFábrica]])/Tabla1[[#This Row],[Precio Lista CDR]]</f>
        <v>0.7699853864048829</v>
      </c>
      <c r="M54" s="12">
        <f>(Tabla1[[#This Row],[Lista 1 (20%)]]-Tabla1[[#This Row],[PrecioFábrica]])/Tabla1[[#This Row],[Lista 1 (20%)]]</f>
        <v>0.71248173300610362</v>
      </c>
      <c r="N54" s="12">
        <f>(Tabla1[[#This Row],[Lista 2 (30%)]]-Tabla1[[#This Row],[PrecioFábrica]])/Tabla1[[#This Row],[Lista 2 (30%)]]</f>
        <v>0.67140769486411833</v>
      </c>
      <c r="O54" s="12">
        <f>(Tabla1[[#This Row],[Lista 3 (40%)]]-Tabla1[[#This Row],[PrecioFábrica]])/Tabla1[[#This Row],[Lista 3 (40%)]]</f>
        <v>0.61664231067480479</v>
      </c>
    </row>
    <row r="55" spans="1:15">
      <c r="A55" t="s">
        <v>6</v>
      </c>
      <c r="B55" t="s">
        <v>64</v>
      </c>
      <c r="C55" t="s">
        <v>867</v>
      </c>
      <c r="D55" t="s">
        <v>811</v>
      </c>
      <c r="E55" t="s">
        <v>5</v>
      </c>
      <c r="F55" s="3">
        <v>14.191666666666668</v>
      </c>
      <c r="G55" s="10">
        <f>VLOOKUP(Tabla1[[#This Row],[Código Unificador]],PRECIOS_COMPETENCIA!B:D,3,FALSE)</f>
        <v>51.978950000000005</v>
      </c>
      <c r="H55" s="10">
        <f>Tabla1[[#This Row],[PVP Competencia]]*0.98</f>
        <v>50.939371000000001</v>
      </c>
      <c r="I55" s="10">
        <f>Tabla1[[#This Row],[Precio Lista CDR]]*0.8</f>
        <v>40.751496800000005</v>
      </c>
      <c r="J55" s="10">
        <f>Tabla1[[#This Row],[Precio Lista CDR]]*0.7</f>
        <v>35.6575597</v>
      </c>
      <c r="K55" s="10">
        <f>Tabla1[[#This Row],[Precio Lista CDR]]*0.6</f>
        <v>30.563622599999999</v>
      </c>
      <c r="L55" s="12">
        <f>(Tabla1[[#This Row],[Precio Lista CDR]]-Tabla1[[#This Row],[PrecioFábrica]])/Tabla1[[#This Row],[Precio Lista CDR]]</f>
        <v>0.72140082635361424</v>
      </c>
      <c r="M55" s="12">
        <f>(Tabla1[[#This Row],[Lista 1 (20%)]]-Tabla1[[#This Row],[PrecioFábrica]])/Tabla1[[#This Row],[Lista 1 (20%)]]</f>
        <v>0.65175103294201775</v>
      </c>
      <c r="N55" s="12">
        <f>(Tabla1[[#This Row],[Lista 2 (30%)]]-Tabla1[[#This Row],[PrecioFábrica]])/Tabla1[[#This Row],[Lista 2 (30%)]]</f>
        <v>0.60200118050516316</v>
      </c>
      <c r="O55" s="12">
        <f>(Tabla1[[#This Row],[Lista 3 (40%)]]-Tabla1[[#This Row],[PrecioFábrica]])/Tabla1[[#This Row],[Lista 3 (40%)]]</f>
        <v>0.53566804392269041</v>
      </c>
    </row>
    <row r="56" spans="1:15">
      <c r="A56" t="s">
        <v>6</v>
      </c>
      <c r="B56" t="s">
        <v>65</v>
      </c>
      <c r="C56" t="s">
        <v>868</v>
      </c>
      <c r="D56" t="s">
        <v>811</v>
      </c>
      <c r="E56" t="s">
        <v>5</v>
      </c>
      <c r="F56" s="3">
        <v>8.3333333333333339</v>
      </c>
      <c r="G56" s="10">
        <f>VLOOKUP(Tabla1[[#This Row],[Código Unificador]],PRECIOS_COMPETENCIA!B:D,3,FALSE)</f>
        <v>35.616666666666674</v>
      </c>
      <c r="H56" s="10">
        <f>Tabla1[[#This Row],[PVP Competencia]]*0.98</f>
        <v>34.904333333333341</v>
      </c>
      <c r="I56" s="10">
        <f>Tabla1[[#This Row],[Precio Lista CDR]]*0.8</f>
        <v>27.923466666666673</v>
      </c>
      <c r="J56" s="10">
        <f>Tabla1[[#This Row],[Precio Lista CDR]]*0.7</f>
        <v>24.433033333333338</v>
      </c>
      <c r="K56" s="10">
        <f>Tabla1[[#This Row],[Precio Lista CDR]]*0.6</f>
        <v>20.942600000000002</v>
      </c>
      <c r="L56" s="12">
        <f>(Tabla1[[#This Row],[Precio Lista CDR]]-Tabla1[[#This Row],[PrecioFábrica]])/Tabla1[[#This Row],[Precio Lista CDR]]</f>
        <v>0.76125218454251142</v>
      </c>
      <c r="M56" s="12">
        <f>(Tabla1[[#This Row],[Lista 1 (20%)]]-Tabla1[[#This Row],[PrecioFábrica]])/Tabla1[[#This Row],[Lista 1 (20%)]]</f>
        <v>0.70156523067813936</v>
      </c>
      <c r="N56" s="12">
        <f>(Tabla1[[#This Row],[Lista 2 (30%)]]-Tabla1[[#This Row],[PrecioFábrica]])/Tabla1[[#This Row],[Lista 2 (30%)]]</f>
        <v>0.65893169220358783</v>
      </c>
      <c r="O56" s="12">
        <f>(Tabla1[[#This Row],[Lista 3 (40%)]]-Tabla1[[#This Row],[PrecioFábrica]])/Tabla1[[#This Row],[Lista 3 (40%)]]</f>
        <v>0.60208697423751911</v>
      </c>
    </row>
    <row r="57" spans="1:15">
      <c r="A57" t="s">
        <v>6</v>
      </c>
      <c r="B57" t="s">
        <v>66</v>
      </c>
      <c r="C57" t="s">
        <v>869</v>
      </c>
      <c r="D57" t="s">
        <v>811</v>
      </c>
      <c r="E57" t="s">
        <v>5</v>
      </c>
      <c r="F57" s="3">
        <v>9.9</v>
      </c>
      <c r="G57" s="10">
        <f>VLOOKUP(Tabla1[[#This Row],[Código Unificador]],PRECIOS_COMPETENCIA!B:D,3,FALSE)</f>
        <v>40.145499999999998</v>
      </c>
      <c r="H57" s="10">
        <f>Tabla1[[#This Row],[PVP Competencia]]*0.98</f>
        <v>39.342589999999994</v>
      </c>
      <c r="I57" s="10">
        <f>Tabla1[[#This Row],[Precio Lista CDR]]*0.8</f>
        <v>31.474071999999996</v>
      </c>
      <c r="J57" s="10">
        <f>Tabla1[[#This Row],[Precio Lista CDR]]*0.7</f>
        <v>27.539812999999995</v>
      </c>
      <c r="K57" s="10">
        <f>Tabla1[[#This Row],[Precio Lista CDR]]*0.6</f>
        <v>23.605553999999994</v>
      </c>
      <c r="L57" s="12">
        <f>(Tabla1[[#This Row],[Precio Lista CDR]]-Tabla1[[#This Row],[PrecioFábrica]])/Tabla1[[#This Row],[Precio Lista CDR]]</f>
        <v>0.74836430443445645</v>
      </c>
      <c r="M57" s="12">
        <f>(Tabla1[[#This Row],[Lista 1 (20%)]]-Tabla1[[#This Row],[PrecioFábrica]])/Tabla1[[#This Row],[Lista 1 (20%)]]</f>
        <v>0.68545538054307042</v>
      </c>
      <c r="N57" s="12">
        <f>(Tabla1[[#This Row],[Lista 2 (30%)]]-Tabla1[[#This Row],[PrecioFábrica]])/Tabla1[[#This Row],[Lista 2 (30%)]]</f>
        <v>0.64052043490636623</v>
      </c>
      <c r="O57" s="12">
        <f>(Tabla1[[#This Row],[Lista 3 (40%)]]-Tabla1[[#This Row],[PrecioFábrica]])/Tabla1[[#This Row],[Lista 3 (40%)]]</f>
        <v>0.58060717405742723</v>
      </c>
    </row>
    <row r="58" spans="1:15">
      <c r="A58" t="s">
        <v>9</v>
      </c>
      <c r="B58" t="s">
        <v>67</v>
      </c>
      <c r="C58" t="s">
        <v>870</v>
      </c>
      <c r="D58" t="s">
        <v>811</v>
      </c>
      <c r="E58" t="s">
        <v>5</v>
      </c>
      <c r="F58" s="3">
        <v>9.1916666666666664</v>
      </c>
      <c r="G58" s="10">
        <f>VLOOKUP(Tabla1[[#This Row],[Código Unificador]],PRECIOS_COMPETENCIA!B:D,3,FALSE)</f>
        <v>38.255183333333335</v>
      </c>
      <c r="H58" s="10">
        <f>Tabla1[[#This Row],[PVP Competencia]]*0.98</f>
        <v>37.490079666666666</v>
      </c>
      <c r="I58" s="10">
        <f>Tabla1[[#This Row],[Precio Lista CDR]]*0.8</f>
        <v>29.992063733333335</v>
      </c>
      <c r="J58" s="10">
        <f>Tabla1[[#This Row],[Precio Lista CDR]]*0.7</f>
        <v>26.243055766666664</v>
      </c>
      <c r="K58" s="10">
        <f>Tabla1[[#This Row],[Precio Lista CDR]]*0.6</f>
        <v>22.494047800000001</v>
      </c>
      <c r="L58" s="12">
        <f>(Tabla1[[#This Row],[Precio Lista CDR]]-Tabla1[[#This Row],[PrecioFábrica]])/Tabla1[[#This Row],[Precio Lista CDR]]</f>
        <v>0.75482402949281546</v>
      </c>
      <c r="M58" s="12">
        <f>(Tabla1[[#This Row],[Lista 1 (20%)]]-Tabla1[[#This Row],[PrecioFábrica]])/Tabla1[[#This Row],[Lista 1 (20%)]]</f>
        <v>0.69353003686601933</v>
      </c>
      <c r="N58" s="12">
        <f>(Tabla1[[#This Row],[Lista 2 (30%)]]-Tabla1[[#This Row],[PrecioFábrica]])/Tabla1[[#This Row],[Lista 2 (30%)]]</f>
        <v>0.64974861356116487</v>
      </c>
      <c r="O58" s="12">
        <f>(Tabla1[[#This Row],[Lista 3 (40%)]]-Tabla1[[#This Row],[PrecioFábrica]])/Tabla1[[#This Row],[Lista 3 (40%)]]</f>
        <v>0.59137338248802573</v>
      </c>
    </row>
    <row r="59" spans="1:15">
      <c r="A59" t="s">
        <v>7</v>
      </c>
      <c r="B59" t="s">
        <v>68</v>
      </c>
      <c r="C59" t="s">
        <v>1611</v>
      </c>
      <c r="D59" t="s">
        <v>811</v>
      </c>
      <c r="E59" t="s">
        <v>5</v>
      </c>
      <c r="F59" s="3">
        <v>12.475000000000001</v>
      </c>
      <c r="G59" s="10">
        <f>VLOOKUP(Tabla1[[#This Row],[Código Unificador]],PRECIOS_COMPETENCIA!B:D,3,FALSE)</f>
        <v>47.262825000000007</v>
      </c>
      <c r="H59" s="10">
        <f>Tabla1[[#This Row],[PVP Competencia]]*0.98</f>
        <v>46.317568500000007</v>
      </c>
      <c r="I59" s="10">
        <f>Tabla1[[#This Row],[Precio Lista CDR]]*0.8</f>
        <v>37.05405480000001</v>
      </c>
      <c r="J59" s="10">
        <f>Tabla1[[#This Row],[Precio Lista CDR]]*0.7</f>
        <v>32.422297950000001</v>
      </c>
      <c r="K59" s="10">
        <f>Tabla1[[#This Row],[Precio Lista CDR]]*0.6</f>
        <v>27.790541100000002</v>
      </c>
      <c r="L59" s="12">
        <f>(Tabla1[[#This Row],[Precio Lista CDR]]-Tabla1[[#This Row],[PrecioFábrica]])/Tabla1[[#This Row],[Precio Lista CDR]]</f>
        <v>0.73066375451034316</v>
      </c>
      <c r="M59" s="12">
        <f>(Tabla1[[#This Row],[Lista 1 (20%)]]-Tabla1[[#This Row],[PrecioFábrica]])/Tabla1[[#This Row],[Lista 1 (20%)]]</f>
        <v>0.66332969313792889</v>
      </c>
      <c r="N59" s="12">
        <f>(Tabla1[[#This Row],[Lista 2 (30%)]]-Tabla1[[#This Row],[PrecioFábrica]])/Tabla1[[#This Row],[Lista 2 (30%)]]</f>
        <v>0.61523393501477586</v>
      </c>
      <c r="O59" s="12">
        <f>(Tabla1[[#This Row],[Lista 3 (40%)]]-Tabla1[[#This Row],[PrecioFábrica]])/Tabla1[[#This Row],[Lista 3 (40%)]]</f>
        <v>0.55110625751723852</v>
      </c>
    </row>
    <row r="60" spans="1:15">
      <c r="A60" t="s">
        <v>6</v>
      </c>
      <c r="B60" t="s">
        <v>69</v>
      </c>
      <c r="C60" t="s">
        <v>871</v>
      </c>
      <c r="D60" t="s">
        <v>811</v>
      </c>
      <c r="E60" t="s">
        <v>5</v>
      </c>
      <c r="F60" s="3">
        <v>12.625</v>
      </c>
      <c r="G60" s="10">
        <f>VLOOKUP(Tabla1[[#This Row],[Código Unificador]],PRECIOS_COMPETENCIA!B:D,3,FALSE)</f>
        <v>49.541500000000006</v>
      </c>
      <c r="H60" s="10">
        <f>Tabla1[[#This Row],[PVP Competencia]]*0.98</f>
        <v>48.550670000000004</v>
      </c>
      <c r="I60" s="10">
        <f>Tabla1[[#This Row],[Precio Lista CDR]]*0.8</f>
        <v>38.840536000000007</v>
      </c>
      <c r="J60" s="10">
        <f>Tabla1[[#This Row],[Precio Lista CDR]]*0.7</f>
        <v>33.985469000000002</v>
      </c>
      <c r="K60" s="10">
        <f>Tabla1[[#This Row],[Precio Lista CDR]]*0.6</f>
        <v>29.130402</v>
      </c>
      <c r="L60" s="12">
        <f>(Tabla1[[#This Row],[Precio Lista CDR]]-Tabla1[[#This Row],[PrecioFábrica]])/Tabla1[[#This Row],[Precio Lista CDR]]</f>
        <v>0.73996239392782837</v>
      </c>
      <c r="M60" s="12">
        <f>(Tabla1[[#This Row],[Lista 1 (20%)]]-Tabla1[[#This Row],[PrecioFábrica]])/Tabla1[[#This Row],[Lista 1 (20%)]]</f>
        <v>0.67495299240978557</v>
      </c>
      <c r="N60" s="12">
        <f>(Tabla1[[#This Row],[Lista 2 (30%)]]-Tabla1[[#This Row],[PrecioFábrica]])/Tabla1[[#This Row],[Lista 2 (30%)]]</f>
        <v>0.62851770561118347</v>
      </c>
      <c r="O60" s="12">
        <f>(Tabla1[[#This Row],[Lista 3 (40%)]]-Tabla1[[#This Row],[PrecioFábrica]])/Tabla1[[#This Row],[Lista 3 (40%)]]</f>
        <v>0.56660398987971394</v>
      </c>
    </row>
    <row r="61" spans="1:15">
      <c r="A61" t="s">
        <v>7</v>
      </c>
      <c r="B61" t="s">
        <v>70</v>
      </c>
      <c r="C61" t="s">
        <v>872</v>
      </c>
      <c r="D61" t="s">
        <v>811</v>
      </c>
      <c r="E61" t="s">
        <v>5</v>
      </c>
      <c r="F61" s="3">
        <v>10.933333333333334</v>
      </c>
      <c r="G61" s="10">
        <f>VLOOKUP(Tabla1[[#This Row],[Código Unificador]],PRECIOS_COMPETENCIA!B:D,3,FALSE)</f>
        <v>43.609066666666671</v>
      </c>
      <c r="H61" s="10">
        <f>Tabla1[[#This Row],[PVP Competencia]]*0.98</f>
        <v>42.736885333333333</v>
      </c>
      <c r="I61" s="10">
        <f>Tabla1[[#This Row],[Precio Lista CDR]]*0.8</f>
        <v>34.189508266666671</v>
      </c>
      <c r="J61" s="10">
        <f>Tabla1[[#This Row],[Precio Lista CDR]]*0.7</f>
        <v>29.915819733333333</v>
      </c>
      <c r="K61" s="10">
        <f>Tabla1[[#This Row],[Precio Lista CDR]]*0.6</f>
        <v>25.642131199999998</v>
      </c>
      <c r="L61" s="12">
        <f>(Tabla1[[#This Row],[Precio Lista CDR]]-Tabla1[[#This Row],[PrecioFábrica]])/Tabla1[[#This Row],[Precio Lista CDR]]</f>
        <v>0.74417103052651101</v>
      </c>
      <c r="M61" s="12">
        <f>(Tabla1[[#This Row],[Lista 1 (20%)]]-Tabla1[[#This Row],[PrecioFábrica]])/Tabla1[[#This Row],[Lista 1 (20%)]]</f>
        <v>0.68021378815813882</v>
      </c>
      <c r="N61" s="12">
        <f>(Tabla1[[#This Row],[Lista 2 (30%)]]-Tabla1[[#This Row],[PrecioFábrica]])/Tabla1[[#This Row],[Lista 2 (30%)]]</f>
        <v>0.63453004360930143</v>
      </c>
      <c r="O61" s="12">
        <f>(Tabla1[[#This Row],[Lista 3 (40%)]]-Tabla1[[#This Row],[PrecioFábrica]])/Tabla1[[#This Row],[Lista 3 (40%)]]</f>
        <v>0.57361838421085165</v>
      </c>
    </row>
    <row r="62" spans="1:15">
      <c r="A62" t="s">
        <v>6</v>
      </c>
      <c r="B62" t="s">
        <v>71</v>
      </c>
      <c r="C62" t="s">
        <v>873</v>
      </c>
      <c r="D62" t="s">
        <v>811</v>
      </c>
      <c r="E62" t="s">
        <v>5</v>
      </c>
      <c r="F62" s="3">
        <v>16.774999999999999</v>
      </c>
      <c r="G62" s="10">
        <f>VLOOKUP(Tabla1[[#This Row],[Código Unificador]],PRECIOS_COMPETENCIA!B:D,3,FALSE)</f>
        <v>59.620450000000005</v>
      </c>
      <c r="H62" s="10">
        <f>Tabla1[[#This Row],[PVP Competencia]]*0.98</f>
        <v>58.428041000000007</v>
      </c>
      <c r="I62" s="10">
        <f>Tabla1[[#This Row],[Precio Lista CDR]]*0.8</f>
        <v>46.74243280000001</v>
      </c>
      <c r="J62" s="10">
        <f>Tabla1[[#This Row],[Precio Lista CDR]]*0.7</f>
        <v>40.899628700000001</v>
      </c>
      <c r="K62" s="10">
        <f>Tabla1[[#This Row],[Precio Lista CDR]]*0.6</f>
        <v>35.056824600000006</v>
      </c>
      <c r="L62" s="12">
        <f>(Tabla1[[#This Row],[Precio Lista CDR]]-Tabla1[[#This Row],[PrecioFábrica]])/Tabla1[[#This Row],[Precio Lista CDR]]</f>
        <v>0.71289470410277833</v>
      </c>
      <c r="M62" s="12">
        <f>(Tabla1[[#This Row],[Lista 1 (20%)]]-Tabla1[[#This Row],[PrecioFábrica]])/Tabla1[[#This Row],[Lista 1 (20%)]]</f>
        <v>0.641118380128473</v>
      </c>
      <c r="N62" s="12">
        <f>(Tabla1[[#This Row],[Lista 2 (30%)]]-Tabla1[[#This Row],[PrecioFábrica]])/Tabla1[[#This Row],[Lista 2 (30%)]]</f>
        <v>0.58984957728968335</v>
      </c>
      <c r="O62" s="12">
        <f>(Tabla1[[#This Row],[Lista 3 (40%)]]-Tabla1[[#This Row],[PrecioFábrica]])/Tabla1[[#This Row],[Lista 3 (40%)]]</f>
        <v>0.5214911735046307</v>
      </c>
    </row>
    <row r="63" spans="1:15">
      <c r="A63" t="s">
        <v>9</v>
      </c>
      <c r="B63" t="s">
        <v>72</v>
      </c>
      <c r="C63" t="s">
        <v>874</v>
      </c>
      <c r="D63" t="s">
        <v>811</v>
      </c>
      <c r="E63" t="s">
        <v>5</v>
      </c>
      <c r="F63" s="3">
        <v>16.133333333333333</v>
      </c>
      <c r="G63" s="10">
        <f>VLOOKUP(Tabla1[[#This Row],[Código Unificador]],PRECIOS_COMPETENCIA!B:D,3,FALSE)</f>
        <v>60.529600000000009</v>
      </c>
      <c r="H63" s="10">
        <f>Tabla1[[#This Row],[PVP Competencia]]*0.98</f>
        <v>59.319008000000011</v>
      </c>
      <c r="I63" s="10">
        <f>Tabla1[[#This Row],[Precio Lista CDR]]*0.8</f>
        <v>47.455206400000009</v>
      </c>
      <c r="J63" s="10">
        <f>Tabla1[[#This Row],[Precio Lista CDR]]*0.7</f>
        <v>41.523305600000008</v>
      </c>
      <c r="K63" s="10">
        <f>Tabla1[[#This Row],[Precio Lista CDR]]*0.6</f>
        <v>35.591404800000007</v>
      </c>
      <c r="L63" s="12">
        <f>(Tabla1[[#This Row],[Precio Lista CDR]]-Tabla1[[#This Row],[PrecioFábrica]])/Tabla1[[#This Row],[Precio Lista CDR]]</f>
        <v>0.7280242222976262</v>
      </c>
      <c r="M63" s="12">
        <f>(Tabla1[[#This Row],[Lista 1 (20%)]]-Tabla1[[#This Row],[PrecioFábrica]])/Tabla1[[#This Row],[Lista 1 (20%)]]</f>
        <v>0.66003027787203283</v>
      </c>
      <c r="N63" s="12">
        <f>(Tabla1[[#This Row],[Lista 2 (30%)]]-Tabla1[[#This Row],[PrecioFábrica]])/Tabla1[[#This Row],[Lista 2 (30%)]]</f>
        <v>0.61146317471089462</v>
      </c>
      <c r="O63" s="12">
        <f>(Tabla1[[#This Row],[Lista 3 (40%)]]-Tabla1[[#This Row],[PrecioFábrica]])/Tabla1[[#This Row],[Lista 3 (40%)]]</f>
        <v>0.54670703716271041</v>
      </c>
    </row>
    <row r="64" spans="1:15">
      <c r="A64" t="s">
        <v>6</v>
      </c>
      <c r="B64" t="s">
        <v>73</v>
      </c>
      <c r="C64" t="s">
        <v>875</v>
      </c>
      <c r="D64" t="s">
        <v>811</v>
      </c>
      <c r="E64" t="s">
        <v>5</v>
      </c>
      <c r="F64" s="3">
        <v>20.44166666666667</v>
      </c>
      <c r="G64" s="10">
        <f>VLOOKUP(Tabla1[[#This Row],[Código Unificador]],PRECIOS_COMPETENCIA!B:D,3,FALSE)</f>
        <v>72.244875000000008</v>
      </c>
      <c r="H64" s="10">
        <f>Tabla1[[#This Row],[PVP Competencia]]*0.98</f>
        <v>70.799977500000011</v>
      </c>
      <c r="I64" s="10">
        <f>Tabla1[[#This Row],[Precio Lista CDR]]*0.8</f>
        <v>56.63998200000001</v>
      </c>
      <c r="J64" s="10">
        <f>Tabla1[[#This Row],[Precio Lista CDR]]*0.7</f>
        <v>49.559984250000007</v>
      </c>
      <c r="K64" s="10">
        <f>Tabla1[[#This Row],[Precio Lista CDR]]*0.6</f>
        <v>42.479986500000003</v>
      </c>
      <c r="L64" s="12">
        <f>(Tabla1[[#This Row],[Precio Lista CDR]]-Tabla1[[#This Row],[PrecioFábrica]])/Tabla1[[#This Row],[Precio Lista CDR]]</f>
        <v>0.71127580278303526</v>
      </c>
      <c r="M64" s="12">
        <f>(Tabla1[[#This Row],[Lista 1 (20%)]]-Tabla1[[#This Row],[PrecioFábrica]])/Tabla1[[#This Row],[Lista 1 (20%)]]</f>
        <v>0.63909475347879408</v>
      </c>
      <c r="N64" s="12">
        <f>(Tabla1[[#This Row],[Lista 2 (30%)]]-Tabla1[[#This Row],[PrecioFábrica]])/Tabla1[[#This Row],[Lista 2 (30%)]]</f>
        <v>0.5875368611186218</v>
      </c>
      <c r="O64" s="12">
        <f>(Tabla1[[#This Row],[Lista 3 (40%)]]-Tabla1[[#This Row],[PrecioFábrica]])/Tabla1[[#This Row],[Lista 3 (40%)]]</f>
        <v>0.51879300463839206</v>
      </c>
    </row>
    <row r="65" spans="1:15">
      <c r="A65" t="s">
        <v>6</v>
      </c>
      <c r="B65" t="s">
        <v>74</v>
      </c>
      <c r="C65" t="s">
        <v>876</v>
      </c>
      <c r="D65" t="s">
        <v>811</v>
      </c>
      <c r="E65" t="s">
        <v>5</v>
      </c>
      <c r="F65" s="3">
        <v>14.741666666666665</v>
      </c>
      <c r="G65" s="10">
        <f>VLOOKUP(Tabla1[[#This Row],[Código Unificador]],PRECIOS_COMPETENCIA!B:D,3,FALSE)</f>
        <v>56.170900000000003</v>
      </c>
      <c r="H65" s="10">
        <f>Tabla1[[#This Row],[PVP Competencia]]*0.98</f>
        <v>55.047482000000002</v>
      </c>
      <c r="I65" s="10">
        <f>Tabla1[[#This Row],[Precio Lista CDR]]*0.8</f>
        <v>44.037985600000006</v>
      </c>
      <c r="J65" s="10">
        <f>Tabla1[[#This Row],[Precio Lista CDR]]*0.7</f>
        <v>38.533237399999997</v>
      </c>
      <c r="K65" s="10">
        <f>Tabla1[[#This Row],[Precio Lista CDR]]*0.6</f>
        <v>33.028489200000003</v>
      </c>
      <c r="L65" s="12">
        <f>(Tabla1[[#This Row],[Precio Lista CDR]]-Tabla1[[#This Row],[PrecioFábrica]])/Tabla1[[#This Row],[Precio Lista CDR]]</f>
        <v>0.73220089037557312</v>
      </c>
      <c r="M65" s="12">
        <f>(Tabla1[[#This Row],[Lista 1 (20%)]]-Tabla1[[#This Row],[PrecioFábrica]])/Tabla1[[#This Row],[Lista 1 (20%)]]</f>
        <v>0.66525111296946637</v>
      </c>
      <c r="N65" s="12">
        <f>(Tabla1[[#This Row],[Lista 2 (30%)]]-Tabla1[[#This Row],[PrecioFábrica]])/Tabla1[[#This Row],[Lista 2 (30%)]]</f>
        <v>0.61742984339367579</v>
      </c>
      <c r="O65" s="12">
        <f>(Tabla1[[#This Row],[Lista 3 (40%)]]-Tabla1[[#This Row],[PrecioFábrica]])/Tabla1[[#This Row],[Lista 3 (40%)]]</f>
        <v>0.5536681506259552</v>
      </c>
    </row>
    <row r="66" spans="1:15">
      <c r="A66" t="s">
        <v>6</v>
      </c>
      <c r="B66" t="s">
        <v>75</v>
      </c>
      <c r="C66" t="s">
        <v>877</v>
      </c>
      <c r="D66" t="s">
        <v>811</v>
      </c>
      <c r="E66" t="s">
        <v>5</v>
      </c>
      <c r="F66" s="3">
        <v>27.708333333333336</v>
      </c>
      <c r="G66" s="10">
        <f>VLOOKUP(Tabla1[[#This Row],[Código Unificador]],PRECIOS_COMPETENCIA!B:D,3,FALSE)</f>
        <v>94.371875000000003</v>
      </c>
      <c r="H66" s="10">
        <f>Tabla1[[#This Row],[PVP Competencia]]*0.98</f>
        <v>92.484437499999999</v>
      </c>
      <c r="I66" s="10">
        <f>Tabla1[[#This Row],[Precio Lista CDR]]*0.8</f>
        <v>73.987549999999999</v>
      </c>
      <c r="J66" s="10">
        <f>Tabla1[[#This Row],[Precio Lista CDR]]*0.7</f>
        <v>64.739106249999992</v>
      </c>
      <c r="K66" s="10">
        <f>Tabla1[[#This Row],[Precio Lista CDR]]*0.6</f>
        <v>55.490662499999999</v>
      </c>
      <c r="L66" s="12">
        <f>(Tabla1[[#This Row],[Precio Lista CDR]]-Tabla1[[#This Row],[PrecioFábrica]])/Tabla1[[#This Row],[Precio Lista CDR]]</f>
        <v>0.70040004478230911</v>
      </c>
      <c r="M66" s="12">
        <f>(Tabla1[[#This Row],[Lista 1 (20%)]]-Tabla1[[#This Row],[PrecioFábrica]])/Tabla1[[#This Row],[Lista 1 (20%)]]</f>
        <v>0.62550005597788638</v>
      </c>
      <c r="N66" s="12">
        <f>(Tabla1[[#This Row],[Lista 2 (30%)]]-Tabla1[[#This Row],[PrecioFábrica]])/Tabla1[[#This Row],[Lista 2 (30%)]]</f>
        <v>0.57200006397472714</v>
      </c>
      <c r="O66" s="12">
        <f>(Tabla1[[#This Row],[Lista 3 (40%)]]-Tabla1[[#This Row],[PrecioFábrica]])/Tabla1[[#This Row],[Lista 3 (40%)]]</f>
        <v>0.50066674130384847</v>
      </c>
    </row>
    <row r="67" spans="1:15">
      <c r="A67" t="s">
        <v>6</v>
      </c>
      <c r="B67" t="s">
        <v>76</v>
      </c>
      <c r="C67" t="s">
        <v>878</v>
      </c>
      <c r="D67" t="s">
        <v>811</v>
      </c>
      <c r="E67" t="s">
        <v>5</v>
      </c>
      <c r="F67" s="3">
        <v>19.2</v>
      </c>
      <c r="G67" s="10">
        <f>VLOOKUP(Tabla1[[#This Row],[Código Unificador]],PRECIOS_COMPETENCIA!B:D,3,FALSE)</f>
        <v>66.793599999999998</v>
      </c>
      <c r="H67" s="10">
        <f>Tabla1[[#This Row],[PVP Competencia]]*0.98</f>
        <v>65.457728000000003</v>
      </c>
      <c r="I67" s="10">
        <f>Tabla1[[#This Row],[Precio Lista CDR]]*0.8</f>
        <v>52.366182400000007</v>
      </c>
      <c r="J67" s="10">
        <f>Tabla1[[#This Row],[Precio Lista CDR]]*0.7</f>
        <v>45.820409599999998</v>
      </c>
      <c r="K67" s="10">
        <f>Tabla1[[#This Row],[Precio Lista CDR]]*0.6</f>
        <v>39.274636800000003</v>
      </c>
      <c r="L67" s="12">
        <f>(Tabla1[[#This Row],[Precio Lista CDR]]-Tabla1[[#This Row],[PrecioFábrica]])/Tabla1[[#This Row],[Precio Lista CDR]]</f>
        <v>0.70668092849174358</v>
      </c>
      <c r="M67" s="12">
        <f>(Tabla1[[#This Row],[Lista 1 (20%)]]-Tabla1[[#This Row],[PrecioFábrica]])/Tabla1[[#This Row],[Lista 1 (20%)]]</f>
        <v>0.63335116061467955</v>
      </c>
      <c r="N67" s="12">
        <f>(Tabla1[[#This Row],[Lista 2 (30%)]]-Tabla1[[#This Row],[PrecioFábrica]])/Tabla1[[#This Row],[Lista 2 (30%)]]</f>
        <v>0.58097275498820511</v>
      </c>
      <c r="O67" s="12">
        <f>(Tabla1[[#This Row],[Lista 3 (40%)]]-Tabla1[[#This Row],[PrecioFábrica]])/Tabla1[[#This Row],[Lista 3 (40%)]]</f>
        <v>0.5111348808195727</v>
      </c>
    </row>
    <row r="68" spans="1:15">
      <c r="A68" t="s">
        <v>6</v>
      </c>
      <c r="B68" t="s">
        <v>77</v>
      </c>
      <c r="C68" t="s">
        <v>879</v>
      </c>
      <c r="D68" t="s">
        <v>811</v>
      </c>
      <c r="E68" t="s">
        <v>5</v>
      </c>
      <c r="F68" s="3">
        <v>34.94166666666667</v>
      </c>
      <c r="G68" s="10">
        <f>VLOOKUP(Tabla1[[#This Row],[Código Unificador]],PRECIOS_COMPETENCIA!B:D,3,FALSE)</f>
        <v>101.2</v>
      </c>
      <c r="H68" s="10">
        <f>Tabla1[[#This Row],[PVP Competencia]]*0.98</f>
        <v>99.176000000000002</v>
      </c>
      <c r="I68" s="10">
        <f>Tabla1[[#This Row],[Precio Lista CDR]]*0.8</f>
        <v>79.340800000000002</v>
      </c>
      <c r="J68" s="10">
        <f>Tabla1[[#This Row],[Precio Lista CDR]]*0.7</f>
        <v>69.423199999999994</v>
      </c>
      <c r="K68" s="10">
        <f>Tabla1[[#This Row],[Precio Lista CDR]]*0.6</f>
        <v>59.505600000000001</v>
      </c>
      <c r="L68" s="12">
        <f>(Tabla1[[#This Row],[Precio Lista CDR]]-Tabla1[[#This Row],[PrecioFábrica]])/Tabla1[[#This Row],[Precio Lista CDR]]</f>
        <v>0.6476802183323922</v>
      </c>
      <c r="M68" s="12">
        <f>(Tabla1[[#This Row],[Lista 1 (20%)]]-Tabla1[[#This Row],[PrecioFábrica]])/Tabla1[[#This Row],[Lista 1 (20%)]]</f>
        <v>0.5596002729154903</v>
      </c>
      <c r="N68" s="12">
        <f>(Tabla1[[#This Row],[Lista 2 (30%)]]-Tabla1[[#This Row],[PrecioFábrica]])/Tabla1[[#This Row],[Lista 2 (30%)]]</f>
        <v>0.49668602618913171</v>
      </c>
      <c r="O68" s="12">
        <f>(Tabla1[[#This Row],[Lista 3 (40%)]]-Tabla1[[#This Row],[PrecioFábrica]])/Tabla1[[#This Row],[Lista 3 (40%)]]</f>
        <v>0.41280036388732039</v>
      </c>
    </row>
    <row r="69" spans="1:15">
      <c r="A69" t="s">
        <v>6</v>
      </c>
      <c r="B69" t="s">
        <v>78</v>
      </c>
      <c r="C69" t="s">
        <v>880</v>
      </c>
      <c r="D69" t="s">
        <v>811</v>
      </c>
      <c r="E69" t="s">
        <v>5</v>
      </c>
      <c r="F69" s="3">
        <v>26.041666666666668</v>
      </c>
      <c r="G69" s="10">
        <f>VLOOKUP(Tabla1[[#This Row],[Código Unificador]],PRECIOS_COMPETENCIA!B:D,3,FALSE)</f>
        <v>89.296875000000014</v>
      </c>
      <c r="H69" s="10">
        <f>Tabla1[[#This Row],[PVP Competencia]]*0.98</f>
        <v>87.510937500000011</v>
      </c>
      <c r="I69" s="10">
        <f>Tabla1[[#This Row],[Precio Lista CDR]]*0.8</f>
        <v>70.008750000000006</v>
      </c>
      <c r="J69" s="10">
        <f>Tabla1[[#This Row],[Precio Lista CDR]]*0.7</f>
        <v>61.257656250000004</v>
      </c>
      <c r="K69" s="10">
        <f>Tabla1[[#This Row],[Precio Lista CDR]]*0.6</f>
        <v>52.506562500000008</v>
      </c>
      <c r="L69" s="12">
        <f>(Tabla1[[#This Row],[Precio Lista CDR]]-Tabla1[[#This Row],[PrecioFábrica]])/Tabla1[[#This Row],[Precio Lista CDR]]</f>
        <v>0.70241815011218833</v>
      </c>
      <c r="M69" s="12">
        <f>(Tabla1[[#This Row],[Lista 1 (20%)]]-Tabla1[[#This Row],[PrecioFábrica]])/Tabla1[[#This Row],[Lista 1 (20%)]]</f>
        <v>0.62802268764023539</v>
      </c>
      <c r="N69" s="12">
        <f>(Tabla1[[#This Row],[Lista 2 (30%)]]-Tabla1[[#This Row],[PrecioFábrica]])/Tabla1[[#This Row],[Lista 2 (30%)]]</f>
        <v>0.57488307158884056</v>
      </c>
      <c r="O69" s="12">
        <f>(Tabla1[[#This Row],[Lista 3 (40%)]]-Tabla1[[#This Row],[PrecioFábrica]])/Tabla1[[#This Row],[Lista 3 (40%)]]</f>
        <v>0.50403025018698067</v>
      </c>
    </row>
    <row r="70" spans="1:15">
      <c r="A70" t="s">
        <v>6</v>
      </c>
      <c r="B70" t="s">
        <v>79</v>
      </c>
      <c r="C70" t="s">
        <v>881</v>
      </c>
      <c r="D70" t="s">
        <v>811</v>
      </c>
      <c r="E70" t="s">
        <v>5</v>
      </c>
      <c r="F70" s="3">
        <v>7.2833333333333341</v>
      </c>
      <c r="G70" s="10">
        <f>VLOOKUP(Tabla1[[#This Row],[Código Unificador]],PRECIOS_COMPETENCIA!B:D,3,FALSE)</f>
        <v>31.966533333333338</v>
      </c>
      <c r="H70" s="10">
        <f>Tabla1[[#This Row],[PVP Competencia]]*0.98</f>
        <v>31.327202666666672</v>
      </c>
      <c r="I70" s="10">
        <f>Tabla1[[#This Row],[Precio Lista CDR]]*0.8</f>
        <v>25.061762133333339</v>
      </c>
      <c r="J70" s="10">
        <f>Tabla1[[#This Row],[Precio Lista CDR]]*0.7</f>
        <v>21.929041866666669</v>
      </c>
      <c r="K70" s="10">
        <f>Tabla1[[#This Row],[Precio Lista CDR]]*0.6</f>
        <v>18.796321600000002</v>
      </c>
      <c r="L70" s="12">
        <f>(Tabla1[[#This Row],[Precio Lista CDR]]-Tabla1[[#This Row],[PrecioFábrica]])/Tabla1[[#This Row],[Precio Lista CDR]]</f>
        <v>0.76750770214529629</v>
      </c>
      <c r="M70" s="12">
        <f>(Tabla1[[#This Row],[Lista 1 (20%)]]-Tabla1[[#This Row],[PrecioFábrica]])/Tabla1[[#This Row],[Lista 1 (20%)]]</f>
        <v>0.70938462768162047</v>
      </c>
      <c r="N70" s="12">
        <f>(Tabla1[[#This Row],[Lista 2 (30%)]]-Tabla1[[#This Row],[PrecioFábrica]])/Tabla1[[#This Row],[Lista 2 (30%)]]</f>
        <v>0.66786814592185184</v>
      </c>
      <c r="O70" s="12">
        <f>(Tabla1[[#This Row],[Lista 3 (40%)]]-Tabla1[[#This Row],[PrecioFábrica]])/Tabla1[[#This Row],[Lista 3 (40%)]]</f>
        <v>0.61251283690882719</v>
      </c>
    </row>
    <row r="71" spans="1:15">
      <c r="A71" t="s">
        <v>7</v>
      </c>
      <c r="B71" t="s">
        <v>80</v>
      </c>
      <c r="C71" t="s">
        <v>882</v>
      </c>
      <c r="D71" t="s">
        <v>811</v>
      </c>
      <c r="E71" t="s">
        <v>5</v>
      </c>
      <c r="F71" s="3">
        <v>13.841666666666667</v>
      </c>
      <c r="G71" s="10">
        <f>VLOOKUP(Tabla1[[#This Row],[Código Unificador]],PRECIOS_COMPETENCIA!B:D,3,FALSE)</f>
        <v>52.147874999999999</v>
      </c>
      <c r="H71" s="10">
        <f>Tabla1[[#This Row],[PVP Competencia]]*0.98</f>
        <v>51.104917499999999</v>
      </c>
      <c r="I71" s="10">
        <f>Tabla1[[#This Row],[Precio Lista CDR]]*0.8</f>
        <v>40.883934000000004</v>
      </c>
      <c r="J71" s="10">
        <f>Tabla1[[#This Row],[Precio Lista CDR]]*0.7</f>
        <v>35.773442249999995</v>
      </c>
      <c r="K71" s="10">
        <f>Tabla1[[#This Row],[Precio Lista CDR]]*0.6</f>
        <v>30.662950499999997</v>
      </c>
      <c r="L71" s="12">
        <f>(Tabla1[[#This Row],[Precio Lista CDR]]-Tabla1[[#This Row],[PrecioFábrica]])/Tabla1[[#This Row],[Precio Lista CDR]]</f>
        <v>0.72915196142002048</v>
      </c>
      <c r="M71" s="12">
        <f>(Tabla1[[#This Row],[Lista 1 (20%)]]-Tabla1[[#This Row],[PrecioFábrica]])/Tabla1[[#This Row],[Lista 1 (20%)]]</f>
        <v>0.66143995177502568</v>
      </c>
      <c r="N71" s="12">
        <f>(Tabla1[[#This Row],[Lista 2 (30%)]]-Tabla1[[#This Row],[PrecioFábrica]])/Tabla1[[#This Row],[Lista 2 (30%)]]</f>
        <v>0.6130742306000293</v>
      </c>
      <c r="O71" s="12">
        <f>(Tabla1[[#This Row],[Lista 3 (40%)]]-Tabla1[[#This Row],[PrecioFábrica]])/Tabla1[[#This Row],[Lista 3 (40%)]]</f>
        <v>0.54858660236670098</v>
      </c>
    </row>
    <row r="72" spans="1:15">
      <c r="A72" t="s">
        <v>6</v>
      </c>
      <c r="B72" t="s">
        <v>81</v>
      </c>
      <c r="C72" t="s">
        <v>883</v>
      </c>
      <c r="D72" t="s">
        <v>811</v>
      </c>
      <c r="E72" t="s">
        <v>5</v>
      </c>
      <c r="F72" s="3">
        <v>12.558333333333334</v>
      </c>
      <c r="G72" s="10">
        <f>VLOOKUP(Tabla1[[#This Row],[Código Unificador]],PRECIOS_COMPETENCIA!B:D,3,FALSE)</f>
        <v>49.332700000000003</v>
      </c>
      <c r="H72" s="10">
        <f>Tabla1[[#This Row],[PVP Competencia]]*0.98</f>
        <v>48.346046000000001</v>
      </c>
      <c r="I72" s="10">
        <f>Tabla1[[#This Row],[Precio Lista CDR]]*0.8</f>
        <v>38.676836800000004</v>
      </c>
      <c r="J72" s="10">
        <f>Tabla1[[#This Row],[Precio Lista CDR]]*0.7</f>
        <v>33.842232199999998</v>
      </c>
      <c r="K72" s="10">
        <f>Tabla1[[#This Row],[Precio Lista CDR]]*0.6</f>
        <v>29.007627599999999</v>
      </c>
      <c r="L72" s="12">
        <f>(Tabla1[[#This Row],[Precio Lista CDR]]-Tabla1[[#This Row],[PrecioFábrica]])/Tabla1[[#This Row],[Precio Lista CDR]]</f>
        <v>0.74024073585390338</v>
      </c>
      <c r="M72" s="12">
        <f>(Tabla1[[#This Row],[Lista 1 (20%)]]-Tabla1[[#This Row],[PrecioFábrica]])/Tabla1[[#This Row],[Lista 1 (20%)]]</f>
        <v>0.67530091981737939</v>
      </c>
      <c r="N72" s="12">
        <f>(Tabla1[[#This Row],[Lista 2 (30%)]]-Tabla1[[#This Row],[PrecioFábrica]])/Tabla1[[#This Row],[Lista 2 (30%)]]</f>
        <v>0.62891533693414781</v>
      </c>
      <c r="O72" s="12">
        <f>(Tabla1[[#This Row],[Lista 3 (40%)]]-Tabla1[[#This Row],[PrecioFábrica]])/Tabla1[[#This Row],[Lista 3 (40%)]]</f>
        <v>0.56706789308983907</v>
      </c>
    </row>
    <row r="73" spans="1:15">
      <c r="A73" t="s">
        <v>7</v>
      </c>
      <c r="B73" t="s">
        <v>82</v>
      </c>
      <c r="C73" t="s">
        <v>884</v>
      </c>
      <c r="D73" t="s">
        <v>811</v>
      </c>
      <c r="E73" t="s">
        <v>5</v>
      </c>
      <c r="F73" s="3">
        <v>14.283333333333335</v>
      </c>
      <c r="G73" s="10">
        <f>VLOOKUP(Tabla1[[#This Row],[Código Unificador]],PRECIOS_COMPETENCIA!B:D,3,FALSE)</f>
        <v>53.07853333333334</v>
      </c>
      <c r="H73" s="10">
        <f>Tabla1[[#This Row],[PVP Competencia]]*0.98</f>
        <v>52.016962666666672</v>
      </c>
      <c r="I73" s="10">
        <f>Tabla1[[#This Row],[Precio Lista CDR]]*0.8</f>
        <v>41.61357013333334</v>
      </c>
      <c r="J73" s="10">
        <f>Tabla1[[#This Row],[Precio Lista CDR]]*0.7</f>
        <v>36.411873866666667</v>
      </c>
      <c r="K73" s="10">
        <f>Tabla1[[#This Row],[Precio Lista CDR]]*0.6</f>
        <v>31.210177600000002</v>
      </c>
      <c r="L73" s="12">
        <f>(Tabla1[[#This Row],[Precio Lista CDR]]-Tabla1[[#This Row],[PrecioFábrica]])/Tabla1[[#This Row],[Precio Lista CDR]]</f>
        <v>0.7254100854587896</v>
      </c>
      <c r="M73" s="12">
        <f>(Tabla1[[#This Row],[Lista 1 (20%)]]-Tabla1[[#This Row],[PrecioFábrica]])/Tabla1[[#This Row],[Lista 1 (20%)]]</f>
        <v>0.65676260682348697</v>
      </c>
      <c r="N73" s="12">
        <f>(Tabla1[[#This Row],[Lista 2 (30%)]]-Tabla1[[#This Row],[PrecioFábrica]])/Tabla1[[#This Row],[Lista 2 (30%)]]</f>
        <v>0.60772869351255654</v>
      </c>
      <c r="O73" s="12">
        <f>(Tabla1[[#This Row],[Lista 3 (40%)]]-Tabla1[[#This Row],[PrecioFábrica]])/Tabla1[[#This Row],[Lista 3 (40%)]]</f>
        <v>0.54235014243131596</v>
      </c>
    </row>
    <row r="74" spans="1:15">
      <c r="A74" t="s">
        <v>9</v>
      </c>
      <c r="B74" t="s">
        <v>83</v>
      </c>
      <c r="C74" t="s">
        <v>885</v>
      </c>
      <c r="D74" t="s">
        <v>811</v>
      </c>
      <c r="E74" t="s">
        <v>5</v>
      </c>
      <c r="F74" s="3">
        <v>13.3</v>
      </c>
      <c r="G74" s="10">
        <f>VLOOKUP(Tabla1[[#This Row],[Código Unificador]],PRECIOS_COMPETENCIA!B:D,3,FALSE)</f>
        <v>51.2699</v>
      </c>
      <c r="H74" s="10">
        <f>Tabla1[[#This Row],[PVP Competencia]]*0.98</f>
        <v>50.244501999999997</v>
      </c>
      <c r="I74" s="10">
        <f>Tabla1[[#This Row],[Precio Lista CDR]]*0.8</f>
        <v>40.195601600000003</v>
      </c>
      <c r="J74" s="10">
        <f>Tabla1[[#This Row],[Precio Lista CDR]]*0.7</f>
        <v>35.171151399999992</v>
      </c>
      <c r="K74" s="10">
        <f>Tabla1[[#This Row],[Precio Lista CDR]]*0.6</f>
        <v>30.146701199999995</v>
      </c>
      <c r="L74" s="12">
        <f>(Tabla1[[#This Row],[Precio Lista CDR]]-Tabla1[[#This Row],[PrecioFábrica]])/Tabla1[[#This Row],[Precio Lista CDR]]</f>
        <v>0.73529442087016805</v>
      </c>
      <c r="M74" s="12">
        <f>(Tabla1[[#This Row],[Lista 1 (20%)]]-Tabla1[[#This Row],[PrecioFábrica]])/Tabla1[[#This Row],[Lista 1 (20%)]]</f>
        <v>0.66911802608771009</v>
      </c>
      <c r="N74" s="12">
        <f>(Tabla1[[#This Row],[Lista 2 (30%)]]-Tabla1[[#This Row],[PrecioFábrica]])/Tabla1[[#This Row],[Lista 2 (30%)]]</f>
        <v>0.6218491726716685</v>
      </c>
      <c r="O74" s="12">
        <f>(Tabla1[[#This Row],[Lista 3 (40%)]]-Tabla1[[#This Row],[PrecioFábrica]])/Tabla1[[#This Row],[Lista 3 (40%)]]</f>
        <v>0.55882403478361331</v>
      </c>
    </row>
    <row r="75" spans="1:15">
      <c r="A75" t="s">
        <v>6</v>
      </c>
      <c r="B75" t="s">
        <v>84</v>
      </c>
      <c r="C75" t="s">
        <v>886</v>
      </c>
      <c r="D75" t="s">
        <v>811</v>
      </c>
      <c r="E75" t="s">
        <v>5</v>
      </c>
      <c r="F75" s="3">
        <v>26.433333333333334</v>
      </c>
      <c r="G75" s="10">
        <f>VLOOKUP(Tabla1[[#This Row],[Código Unificador]],PRECIOS_COMPETENCIA!B:D,3,FALSE)</f>
        <v>89.9</v>
      </c>
      <c r="H75" s="10">
        <f>Tabla1[[#This Row],[PVP Competencia]]*0.98</f>
        <v>88.102000000000004</v>
      </c>
      <c r="I75" s="10">
        <f>Tabla1[[#This Row],[Precio Lista CDR]]*0.8</f>
        <v>70.4816</v>
      </c>
      <c r="J75" s="10">
        <f>Tabla1[[#This Row],[Precio Lista CDR]]*0.7</f>
        <v>61.671399999999998</v>
      </c>
      <c r="K75" s="10">
        <f>Tabla1[[#This Row],[Precio Lista CDR]]*0.6</f>
        <v>52.861200000000004</v>
      </c>
      <c r="L75" s="12">
        <f>(Tabla1[[#This Row],[Precio Lista CDR]]-Tabla1[[#This Row],[PrecioFábrica]])/Tabla1[[#This Row],[Precio Lista CDR]]</f>
        <v>0.69996897535432412</v>
      </c>
      <c r="M75" s="12">
        <f>(Tabla1[[#This Row],[Lista 1 (20%)]]-Tabla1[[#This Row],[PrecioFábrica]])/Tabla1[[#This Row],[Lista 1 (20%)]]</f>
        <v>0.62496121919290515</v>
      </c>
      <c r="N75" s="12">
        <f>(Tabla1[[#This Row],[Lista 2 (30%)]]-Tabla1[[#This Row],[PrecioFábrica]])/Tabla1[[#This Row],[Lista 2 (30%)]]</f>
        <v>0.57138425050617736</v>
      </c>
      <c r="O75" s="12">
        <f>(Tabla1[[#This Row],[Lista 3 (40%)]]-Tabla1[[#This Row],[PrecioFábrica]])/Tabla1[[#This Row],[Lista 3 (40%)]]</f>
        <v>0.49994829225720694</v>
      </c>
    </row>
    <row r="76" spans="1:15">
      <c r="A76" t="s">
        <v>7</v>
      </c>
      <c r="B76" t="s">
        <v>85</v>
      </c>
      <c r="C76" t="s">
        <v>887</v>
      </c>
      <c r="D76" t="s">
        <v>811</v>
      </c>
      <c r="E76" t="s">
        <v>5</v>
      </c>
      <c r="F76" s="3">
        <v>45.816666666666663</v>
      </c>
      <c r="G76" s="10">
        <f>VLOOKUP(Tabla1[[#This Row],[Código Unificador]],PRECIOS_COMPETENCIA!B:D,3,FALSE)</f>
        <v>109.36</v>
      </c>
      <c r="H76" s="10">
        <f>Tabla1[[#This Row],[PVP Competencia]]*0.98</f>
        <v>107.1728</v>
      </c>
      <c r="I76" s="10">
        <f>Tabla1[[#This Row],[Precio Lista CDR]]*0.8</f>
        <v>85.738240000000005</v>
      </c>
      <c r="J76" s="10">
        <f>Tabla1[[#This Row],[Precio Lista CDR]]*0.7</f>
        <v>75.020959999999988</v>
      </c>
      <c r="K76" s="10">
        <f>Tabla1[[#This Row],[Precio Lista CDR]]*0.6</f>
        <v>64.30368</v>
      </c>
      <c r="L76" s="12">
        <f>(Tabla1[[#This Row],[Precio Lista CDR]]-Tabla1[[#This Row],[PrecioFábrica]])/Tabla1[[#This Row],[Precio Lista CDR]]</f>
        <v>0.57249725054615852</v>
      </c>
      <c r="M76" s="12">
        <f>(Tabla1[[#This Row],[Lista 1 (20%)]]-Tabla1[[#This Row],[PrecioFábrica]])/Tabla1[[#This Row],[Lista 1 (20%)]]</f>
        <v>0.46562156318269815</v>
      </c>
      <c r="N76" s="12">
        <f>(Tabla1[[#This Row],[Lista 2 (30%)]]-Tabla1[[#This Row],[PrecioFábrica]])/Tabla1[[#This Row],[Lista 2 (30%)]]</f>
        <v>0.38928178649451206</v>
      </c>
      <c r="O76" s="12">
        <f>(Tabla1[[#This Row],[Lista 3 (40%)]]-Tabla1[[#This Row],[PrecioFábrica]])/Tabla1[[#This Row],[Lista 3 (40%)]]</f>
        <v>0.28749541757693087</v>
      </c>
    </row>
    <row r="77" spans="1:15">
      <c r="A77" t="s">
        <v>6</v>
      </c>
      <c r="B77" t="s">
        <v>86</v>
      </c>
      <c r="C77" t="s">
        <v>888</v>
      </c>
      <c r="D77" t="s">
        <v>811</v>
      </c>
      <c r="E77" t="s">
        <v>5</v>
      </c>
      <c r="F77" s="3">
        <v>23.775000000000002</v>
      </c>
      <c r="G77" s="10">
        <f>VLOOKUP(Tabla1[[#This Row],[Código Unificador]],PRECIOS_COMPETENCIA!B:D,3,FALSE)</f>
        <v>83.773825000000016</v>
      </c>
      <c r="H77" s="10">
        <f>Tabla1[[#This Row],[PVP Competencia]]*0.98</f>
        <v>82.098348500000014</v>
      </c>
      <c r="I77" s="10">
        <f>Tabla1[[#This Row],[Precio Lista CDR]]*0.8</f>
        <v>65.678678800000014</v>
      </c>
      <c r="J77" s="10">
        <f>Tabla1[[#This Row],[Precio Lista CDR]]*0.7</f>
        <v>57.468843950000007</v>
      </c>
      <c r="K77" s="10">
        <f>Tabla1[[#This Row],[Precio Lista CDR]]*0.6</f>
        <v>49.259009100000007</v>
      </c>
      <c r="L77" s="12">
        <f>(Tabla1[[#This Row],[Precio Lista CDR]]-Tabla1[[#This Row],[PrecioFábrica]])/Tabla1[[#This Row],[Precio Lista CDR]]</f>
        <v>0.7104083037675234</v>
      </c>
      <c r="M77" s="12">
        <f>(Tabla1[[#This Row],[Lista 1 (20%)]]-Tabla1[[#This Row],[PrecioFábrica]])/Tabla1[[#This Row],[Lista 1 (20%)]]</f>
        <v>0.63801037970940422</v>
      </c>
      <c r="N77" s="12">
        <f>(Tabla1[[#This Row],[Lista 2 (30%)]]-Tabla1[[#This Row],[PrecioFábrica]])/Tabla1[[#This Row],[Lista 2 (30%)]]</f>
        <v>0.58629757681074768</v>
      </c>
      <c r="O77" s="12">
        <f>(Tabla1[[#This Row],[Lista 3 (40%)]]-Tabla1[[#This Row],[PrecioFábrica]])/Tabla1[[#This Row],[Lista 3 (40%)]]</f>
        <v>0.5173471729458724</v>
      </c>
    </row>
    <row r="78" spans="1:15">
      <c r="A78" t="s">
        <v>6</v>
      </c>
      <c r="B78" t="s">
        <v>87</v>
      </c>
      <c r="C78" t="s">
        <v>889</v>
      </c>
      <c r="D78" t="s">
        <v>811</v>
      </c>
      <c r="E78" t="s">
        <v>5</v>
      </c>
      <c r="F78" s="3">
        <v>47.80833333333333</v>
      </c>
      <c r="G78" s="10">
        <f>VLOOKUP(Tabla1[[#This Row],[Código Unificador]],PRECIOS_COMPETENCIA!B:D,3,FALSE)</f>
        <v>175.8</v>
      </c>
      <c r="H78" s="10">
        <f>Tabla1[[#This Row],[PVP Competencia]]*0.98</f>
        <v>172.28400000000002</v>
      </c>
      <c r="I78" s="10">
        <f>Tabla1[[#This Row],[Precio Lista CDR]]*0.8</f>
        <v>137.82720000000003</v>
      </c>
      <c r="J78" s="10">
        <f>Tabla1[[#This Row],[Precio Lista CDR]]*0.7</f>
        <v>120.59880000000001</v>
      </c>
      <c r="K78" s="10">
        <f>Tabla1[[#This Row],[Precio Lista CDR]]*0.6</f>
        <v>103.3704</v>
      </c>
      <c r="L78" s="12">
        <f>(Tabla1[[#This Row],[Precio Lista CDR]]-Tabla1[[#This Row],[PrecioFábrica]])/Tabla1[[#This Row],[Precio Lista CDR]]</f>
        <v>0.72250276674947567</v>
      </c>
      <c r="M78" s="12">
        <f>(Tabla1[[#This Row],[Lista 1 (20%)]]-Tabla1[[#This Row],[PrecioFábrica]])/Tabla1[[#This Row],[Lista 1 (20%)]]</f>
        <v>0.65312845843684464</v>
      </c>
      <c r="N78" s="12">
        <f>(Tabla1[[#This Row],[Lista 2 (30%)]]-Tabla1[[#This Row],[PrecioFábrica]])/Tabla1[[#This Row],[Lista 2 (30%)]]</f>
        <v>0.60357538107067954</v>
      </c>
      <c r="O78" s="12">
        <f>(Tabla1[[#This Row],[Lista 3 (40%)]]-Tabla1[[#This Row],[PrecioFábrica]])/Tabla1[[#This Row],[Lista 3 (40%)]]</f>
        <v>0.53750461124912619</v>
      </c>
    </row>
    <row r="79" spans="1:15">
      <c r="A79" t="s">
        <v>6</v>
      </c>
      <c r="B79" t="s">
        <v>88</v>
      </c>
      <c r="C79" t="s">
        <v>890</v>
      </c>
      <c r="D79" t="s">
        <v>811</v>
      </c>
      <c r="E79" t="s">
        <v>5</v>
      </c>
      <c r="F79" s="3">
        <v>55.474999999999994</v>
      </c>
      <c r="G79" s="10">
        <f>VLOOKUP(Tabla1[[#This Row],[Código Unificador]],PRECIOS_COMPETENCIA!B:D,3,FALSE)</f>
        <v>195.95</v>
      </c>
      <c r="H79" s="10">
        <f>Tabla1[[#This Row],[PVP Competencia]]*0.98</f>
        <v>192.03099999999998</v>
      </c>
      <c r="I79" s="10">
        <f>Tabla1[[#This Row],[Precio Lista CDR]]*0.8</f>
        <v>153.62479999999999</v>
      </c>
      <c r="J79" s="10">
        <f>Tabla1[[#This Row],[Precio Lista CDR]]*0.7</f>
        <v>134.42169999999999</v>
      </c>
      <c r="K79" s="10">
        <f>Tabla1[[#This Row],[Precio Lista CDR]]*0.6</f>
        <v>115.21859999999998</v>
      </c>
      <c r="L79" s="12">
        <f>(Tabla1[[#This Row],[Precio Lista CDR]]-Tabla1[[#This Row],[PrecioFábrica]])/Tabla1[[#This Row],[Precio Lista CDR]]</f>
        <v>0.71111435132869172</v>
      </c>
      <c r="M79" s="12">
        <f>(Tabla1[[#This Row],[Lista 1 (20%)]]-Tabla1[[#This Row],[PrecioFábrica]])/Tabla1[[#This Row],[Lista 1 (20%)]]</f>
        <v>0.63889293916086465</v>
      </c>
      <c r="N79" s="12">
        <f>(Tabla1[[#This Row],[Lista 2 (30%)]]-Tabla1[[#This Row],[PrecioFábrica]])/Tabla1[[#This Row],[Lista 2 (30%)]]</f>
        <v>0.58730621618384526</v>
      </c>
      <c r="O79" s="12">
        <f>(Tabla1[[#This Row],[Lista 3 (40%)]]-Tabla1[[#This Row],[PrecioFábrica]])/Tabla1[[#This Row],[Lista 3 (40%)]]</f>
        <v>0.51852391888115279</v>
      </c>
    </row>
    <row r="80" spans="1:15">
      <c r="A80" t="s">
        <v>6</v>
      </c>
      <c r="B80" t="s">
        <v>89</v>
      </c>
      <c r="C80" t="s">
        <v>891</v>
      </c>
      <c r="D80" t="s">
        <v>811</v>
      </c>
      <c r="E80" t="s">
        <v>5</v>
      </c>
      <c r="F80" s="10">
        <v>51.56</v>
      </c>
      <c r="G80" s="10">
        <f>VLOOKUP(Tabla1[[#This Row],[Código Unificador]],PRECIOS_COMPETENCIA!B:D,3,FALSE)</f>
        <v>100.98</v>
      </c>
      <c r="H80" s="10">
        <f>Tabla1[[#This Row],[PVP Competencia]]*0.98</f>
        <v>98.960400000000007</v>
      </c>
      <c r="I80" s="10">
        <f>Tabla1[[#This Row],[Precio Lista CDR]]*0.8</f>
        <v>79.168320000000008</v>
      </c>
      <c r="J80" s="10">
        <f>Tabla1[[#This Row],[Precio Lista CDR]]*0.7</f>
        <v>69.272279999999995</v>
      </c>
      <c r="K80" s="10">
        <f>Tabla1[[#This Row],[Precio Lista CDR]]*0.6</f>
        <v>59.376240000000003</v>
      </c>
      <c r="L80" s="12">
        <f>(Tabla1[[#This Row],[Precio Lista CDR]]-Tabla1[[#This Row],[PrecioFábrica]])/Tabla1[[#This Row],[Precio Lista CDR]]</f>
        <v>0.47898351259695798</v>
      </c>
      <c r="M80" s="12">
        <f>(Tabla1[[#This Row],[Lista 1 (20%)]]-Tabla1[[#This Row],[PrecioFábrica]])/Tabla1[[#This Row],[Lista 1 (20%)]]</f>
        <v>0.34872939074619752</v>
      </c>
      <c r="N80" s="12">
        <f>(Tabla1[[#This Row],[Lista 2 (30%)]]-Tabla1[[#This Row],[PrecioFábrica]])/Tabla1[[#This Row],[Lista 2 (30%)]]</f>
        <v>0.25569073228136846</v>
      </c>
      <c r="O80" s="12">
        <f>(Tabla1[[#This Row],[Lista 3 (40%)]]-Tabla1[[#This Row],[PrecioFábrica]])/Tabla1[[#This Row],[Lista 3 (40%)]]</f>
        <v>0.13163918766159663</v>
      </c>
    </row>
    <row r="81" spans="1:15">
      <c r="A81" t="s">
        <v>6</v>
      </c>
      <c r="B81" t="s">
        <v>90</v>
      </c>
      <c r="C81" t="s">
        <v>892</v>
      </c>
      <c r="D81" t="s">
        <v>811</v>
      </c>
      <c r="E81" t="s">
        <v>5</v>
      </c>
      <c r="F81" s="3">
        <v>37.024999999999999</v>
      </c>
      <c r="G81" s="10">
        <f>VLOOKUP(Tabla1[[#This Row],[Código Unificador]],PRECIOS_COMPETENCIA!B:D,3,FALSE)</f>
        <v>130.54</v>
      </c>
      <c r="H81" s="10">
        <f>Tabla1[[#This Row],[PVP Competencia]]*0.98</f>
        <v>127.92919999999999</v>
      </c>
      <c r="I81" s="10">
        <f>Tabla1[[#This Row],[Precio Lista CDR]]*0.8</f>
        <v>102.34336</v>
      </c>
      <c r="J81" s="10">
        <f>Tabla1[[#This Row],[Precio Lista CDR]]*0.7</f>
        <v>89.550439999999995</v>
      </c>
      <c r="K81" s="10">
        <f>Tabla1[[#This Row],[Precio Lista CDR]]*0.6</f>
        <v>76.75752</v>
      </c>
      <c r="L81" s="12">
        <f>(Tabla1[[#This Row],[Precio Lista CDR]]-Tabla1[[#This Row],[PrecioFábrica]])/Tabla1[[#This Row],[Precio Lista CDR]]</f>
        <v>0.71058210322584681</v>
      </c>
      <c r="M81" s="12">
        <f>(Tabla1[[#This Row],[Lista 1 (20%)]]-Tabla1[[#This Row],[PrecioFábrica]])/Tabla1[[#This Row],[Lista 1 (20%)]]</f>
        <v>0.63822762903230856</v>
      </c>
      <c r="N81" s="12">
        <f>(Tabla1[[#This Row],[Lista 2 (30%)]]-Tabla1[[#This Row],[PrecioFábrica]])/Tabla1[[#This Row],[Lista 2 (30%)]]</f>
        <v>0.58654586175120971</v>
      </c>
      <c r="O81" s="12">
        <f>(Tabla1[[#This Row],[Lista 3 (40%)]]-Tabla1[[#This Row],[PrecioFábrica]])/Tabla1[[#This Row],[Lista 3 (40%)]]</f>
        <v>0.51763683870974464</v>
      </c>
    </row>
    <row r="82" spans="1:15">
      <c r="A82" t="s">
        <v>6</v>
      </c>
      <c r="B82" t="s">
        <v>91</v>
      </c>
      <c r="C82" t="s">
        <v>893</v>
      </c>
      <c r="D82" t="s">
        <v>811</v>
      </c>
      <c r="E82" t="s">
        <v>5</v>
      </c>
      <c r="F82" s="3">
        <v>50.583333333333336</v>
      </c>
      <c r="G82" s="10">
        <f>VLOOKUP(Tabla1[[#This Row],[Código Unificador]],PRECIOS_COMPETENCIA!B:D,3,FALSE)</f>
        <v>189.89</v>
      </c>
      <c r="H82" s="10">
        <f>Tabla1[[#This Row],[PVP Competencia]]*0.98</f>
        <v>186.09219999999999</v>
      </c>
      <c r="I82" s="10">
        <f>Tabla1[[#This Row],[Precio Lista CDR]]*0.8</f>
        <v>148.87376</v>
      </c>
      <c r="J82" s="10">
        <f>Tabla1[[#This Row],[Precio Lista CDR]]*0.7</f>
        <v>130.26453999999998</v>
      </c>
      <c r="K82" s="10">
        <f>Tabla1[[#This Row],[Precio Lista CDR]]*0.6</f>
        <v>111.65531999999999</v>
      </c>
      <c r="L82" s="12">
        <f>(Tabla1[[#This Row],[Precio Lista CDR]]-Tabla1[[#This Row],[PrecioFábrica]])/Tabla1[[#This Row],[Precio Lista CDR]]</f>
        <v>0.72818133520194106</v>
      </c>
      <c r="M82" s="12">
        <f>(Tabla1[[#This Row],[Lista 1 (20%)]]-Tabla1[[#This Row],[PrecioFábrica]])/Tabla1[[#This Row],[Lista 1 (20%)]]</f>
        <v>0.66022666900242633</v>
      </c>
      <c r="N82" s="12">
        <f>(Tabla1[[#This Row],[Lista 2 (30%)]]-Tabla1[[#This Row],[PrecioFábrica]])/Tabla1[[#This Row],[Lista 2 (30%)]]</f>
        <v>0.61168762171705859</v>
      </c>
      <c r="O82" s="12">
        <f>(Tabla1[[#This Row],[Lista 3 (40%)]]-Tabla1[[#This Row],[PrecioFábrica]])/Tabla1[[#This Row],[Lista 3 (40%)]]</f>
        <v>0.54696889200323517</v>
      </c>
    </row>
    <row r="83" spans="1:15">
      <c r="A83" t="s">
        <v>6</v>
      </c>
      <c r="B83" t="s">
        <v>92</v>
      </c>
      <c r="C83" t="s">
        <v>894</v>
      </c>
      <c r="D83" t="s">
        <v>811</v>
      </c>
      <c r="E83" t="s">
        <v>5</v>
      </c>
      <c r="F83" s="3">
        <v>67.016666666666666</v>
      </c>
      <c r="G83" s="10">
        <f>VLOOKUP(Tabla1[[#This Row],[Código Unificador]],PRECIOS_COMPETENCIA!B:D,3,FALSE)</f>
        <v>202.2</v>
      </c>
      <c r="H83" s="10">
        <f>Tabla1[[#This Row],[PVP Competencia]]*0.98</f>
        <v>198.15599999999998</v>
      </c>
      <c r="I83" s="10">
        <f>Tabla1[[#This Row],[Precio Lista CDR]]*0.8</f>
        <v>158.5248</v>
      </c>
      <c r="J83" s="10">
        <f>Tabla1[[#This Row],[Precio Lista CDR]]*0.7</f>
        <v>138.70919999999998</v>
      </c>
      <c r="K83" s="10">
        <f>Tabla1[[#This Row],[Precio Lista CDR]]*0.6</f>
        <v>118.89359999999998</v>
      </c>
      <c r="L83" s="12">
        <f>(Tabla1[[#This Row],[Precio Lista CDR]]-Tabla1[[#This Row],[PrecioFábrica]])/Tabla1[[#This Row],[Precio Lista CDR]]</f>
        <v>0.6617984483605508</v>
      </c>
      <c r="M83" s="12">
        <f>(Tabla1[[#This Row],[Lista 1 (20%)]]-Tabla1[[#This Row],[PrecioFábrica]])/Tabla1[[#This Row],[Lista 1 (20%)]]</f>
        <v>0.57724806045068866</v>
      </c>
      <c r="N83" s="12">
        <f>(Tabla1[[#This Row],[Lista 2 (30%)]]-Tabla1[[#This Row],[PrecioFábrica]])/Tabla1[[#This Row],[Lista 2 (30%)]]</f>
        <v>0.51685492622935847</v>
      </c>
      <c r="O83" s="12">
        <f>(Tabla1[[#This Row],[Lista 3 (40%)]]-Tabla1[[#This Row],[PrecioFábrica]])/Tabla1[[#This Row],[Lista 3 (40%)]]</f>
        <v>0.43633074726758481</v>
      </c>
    </row>
    <row r="84" spans="1:15">
      <c r="A84" t="s">
        <v>6</v>
      </c>
      <c r="B84" t="s">
        <v>93</v>
      </c>
      <c r="C84" t="s">
        <v>895</v>
      </c>
      <c r="D84" t="s">
        <v>811</v>
      </c>
      <c r="E84" t="s">
        <v>5</v>
      </c>
      <c r="F84" s="10">
        <v>56.79</v>
      </c>
      <c r="G84" s="10">
        <f>VLOOKUP(Tabla1[[#This Row],[Código Unificador]],PRECIOS_COMPETENCIA!B:D,3,FALSE)</f>
        <v>125.41</v>
      </c>
      <c r="H84" s="10">
        <f>Tabla1[[#This Row],[PVP Competencia]]*0.98</f>
        <v>122.90179999999999</v>
      </c>
      <c r="I84" s="10">
        <f>Tabla1[[#This Row],[Precio Lista CDR]]*0.8</f>
        <v>98.321439999999996</v>
      </c>
      <c r="J84" s="10">
        <f>Tabla1[[#This Row],[Precio Lista CDR]]*0.7</f>
        <v>86.031259999999989</v>
      </c>
      <c r="K84" s="10">
        <f>Tabla1[[#This Row],[Precio Lista CDR]]*0.6</f>
        <v>73.741079999999997</v>
      </c>
      <c r="L84" s="12">
        <f>(Tabla1[[#This Row],[Precio Lista CDR]]-Tabla1[[#This Row],[PrecioFábrica]])/Tabla1[[#This Row],[Precio Lista CDR]]</f>
        <v>0.53792377328891838</v>
      </c>
      <c r="M84" s="12">
        <f>(Tabla1[[#This Row],[Lista 1 (20%)]]-Tabla1[[#This Row],[PrecioFábrica]])/Tabla1[[#This Row],[Lista 1 (20%)]]</f>
        <v>0.42240471661114809</v>
      </c>
      <c r="N84" s="12">
        <f>(Tabla1[[#This Row],[Lista 2 (30%)]]-Tabla1[[#This Row],[PrecioFábrica]])/Tabla1[[#This Row],[Lista 2 (30%)]]</f>
        <v>0.3398911046984549</v>
      </c>
      <c r="O84" s="12">
        <f>(Tabla1[[#This Row],[Lista 3 (40%)]]-Tabla1[[#This Row],[PrecioFábrica]])/Tabla1[[#This Row],[Lista 3 (40%)]]</f>
        <v>0.22987295548153075</v>
      </c>
    </row>
    <row r="85" spans="1:15">
      <c r="A85" t="s">
        <v>6</v>
      </c>
      <c r="B85" t="s">
        <v>94</v>
      </c>
      <c r="C85" t="s">
        <v>896</v>
      </c>
      <c r="D85" t="s">
        <v>811</v>
      </c>
      <c r="E85" t="s">
        <v>5</v>
      </c>
      <c r="F85" s="3">
        <v>32.924999999999997</v>
      </c>
      <c r="G85" s="10">
        <f>VLOOKUP(Tabla1[[#This Row],[Código Unificador]],PRECIOS_COMPETENCIA!B:D,3,FALSE)</f>
        <v>124.8</v>
      </c>
      <c r="H85" s="10">
        <f>Tabla1[[#This Row],[PVP Competencia]]*0.98</f>
        <v>122.304</v>
      </c>
      <c r="I85" s="10">
        <f>Tabla1[[#This Row],[Precio Lista CDR]]*0.8</f>
        <v>97.84320000000001</v>
      </c>
      <c r="J85" s="10">
        <f>Tabla1[[#This Row],[Precio Lista CDR]]*0.7</f>
        <v>85.612799999999993</v>
      </c>
      <c r="K85" s="10">
        <f>Tabla1[[#This Row],[Precio Lista CDR]]*0.6</f>
        <v>73.382400000000004</v>
      </c>
      <c r="L85" s="12">
        <f>(Tabla1[[#This Row],[Precio Lista CDR]]-Tabla1[[#This Row],[PrecioFábrica]])/Tabla1[[#This Row],[Precio Lista CDR]]</f>
        <v>0.73079375981161698</v>
      </c>
      <c r="M85" s="12">
        <f>(Tabla1[[#This Row],[Lista 1 (20%)]]-Tabla1[[#This Row],[PrecioFábrica]])/Tabla1[[#This Row],[Lista 1 (20%)]]</f>
        <v>0.66349219976452123</v>
      </c>
      <c r="N85" s="12">
        <f>(Tabla1[[#This Row],[Lista 2 (30%)]]-Tabla1[[#This Row],[PrecioFábrica]])/Tabla1[[#This Row],[Lista 2 (30%)]]</f>
        <v>0.61541965687373856</v>
      </c>
      <c r="O85" s="12">
        <f>(Tabla1[[#This Row],[Lista 3 (40%)]]-Tabla1[[#This Row],[PrecioFábrica]])/Tabla1[[#This Row],[Lista 3 (40%)]]</f>
        <v>0.55132293301936164</v>
      </c>
    </row>
    <row r="86" spans="1:15">
      <c r="A86" t="s">
        <v>9</v>
      </c>
      <c r="B86" t="s">
        <v>95</v>
      </c>
      <c r="C86" t="s">
        <v>897</v>
      </c>
      <c r="D86" t="s">
        <v>811</v>
      </c>
      <c r="E86" t="s">
        <v>5</v>
      </c>
      <c r="F86" s="3">
        <v>22.75</v>
      </c>
      <c r="G86" s="10">
        <f>VLOOKUP(Tabla1[[#This Row],[Código Unificador]],PRECIOS_COMPETENCIA!B:D,3,FALSE)</f>
        <v>80.593250000000012</v>
      </c>
      <c r="H86" s="10">
        <f>Tabla1[[#This Row],[PVP Competencia]]*0.98</f>
        <v>78.981385000000003</v>
      </c>
      <c r="I86" s="10">
        <f>Tabla1[[#This Row],[Precio Lista CDR]]*0.8</f>
        <v>63.185108000000007</v>
      </c>
      <c r="J86" s="10">
        <f>Tabla1[[#This Row],[Precio Lista CDR]]*0.7</f>
        <v>55.286969499999998</v>
      </c>
      <c r="K86" s="10">
        <f>Tabla1[[#This Row],[Precio Lista CDR]]*0.6</f>
        <v>47.388831000000003</v>
      </c>
      <c r="L86" s="12">
        <f>(Tabla1[[#This Row],[Precio Lista CDR]]-Tabla1[[#This Row],[PrecioFábrica]])/Tabla1[[#This Row],[Precio Lista CDR]]</f>
        <v>0.71195744414965634</v>
      </c>
      <c r="M86" s="12">
        <f>(Tabla1[[#This Row],[Lista 1 (20%)]]-Tabla1[[#This Row],[PrecioFábrica]])/Tabla1[[#This Row],[Lista 1 (20%)]]</f>
        <v>0.63994680518707037</v>
      </c>
      <c r="N86" s="12">
        <f>(Tabla1[[#This Row],[Lista 2 (30%)]]-Tabla1[[#This Row],[PrecioFábrica]])/Tabla1[[#This Row],[Lista 2 (30%)]]</f>
        <v>0.58851063449950891</v>
      </c>
      <c r="O86" s="12">
        <f>(Tabla1[[#This Row],[Lista 3 (40%)]]-Tabla1[[#This Row],[PrecioFábrica]])/Tabla1[[#This Row],[Lista 3 (40%)]]</f>
        <v>0.51992907358276053</v>
      </c>
    </row>
    <row r="87" spans="1:15">
      <c r="A87" t="s">
        <v>6</v>
      </c>
      <c r="B87" t="s">
        <v>96</v>
      </c>
      <c r="C87" t="s">
        <v>898</v>
      </c>
      <c r="D87" t="s">
        <v>811</v>
      </c>
      <c r="E87" t="s">
        <v>5</v>
      </c>
      <c r="F87" s="3">
        <v>11.033333333333333</v>
      </c>
      <c r="G87" s="10">
        <f>VLOOKUP(Tabla1[[#This Row],[Código Unificador]],PRECIOS_COMPETENCIA!B:D,3,FALSE)</f>
        <v>44.236433333333338</v>
      </c>
      <c r="H87" s="10">
        <f>Tabla1[[#This Row],[PVP Competencia]]*0.98</f>
        <v>43.35170466666667</v>
      </c>
      <c r="I87" s="10">
        <f>Tabla1[[#This Row],[Precio Lista CDR]]*0.8</f>
        <v>34.681363733333335</v>
      </c>
      <c r="J87" s="10">
        <f>Tabla1[[#This Row],[Precio Lista CDR]]*0.7</f>
        <v>30.346193266666667</v>
      </c>
      <c r="K87" s="10">
        <f>Tabla1[[#This Row],[Precio Lista CDR]]*0.6</f>
        <v>26.011022800000003</v>
      </c>
      <c r="L87" s="12">
        <f>(Tabla1[[#This Row],[Precio Lista CDR]]-Tabla1[[#This Row],[PrecioFábrica]])/Tabla1[[#This Row],[Precio Lista CDR]]</f>
        <v>0.74549251481183587</v>
      </c>
      <c r="M87" s="12">
        <f>(Tabla1[[#This Row],[Lista 1 (20%)]]-Tabla1[[#This Row],[PrecioFábrica]])/Tabla1[[#This Row],[Lista 1 (20%)]]</f>
        <v>0.68186564351479484</v>
      </c>
      <c r="N87" s="12">
        <f>(Tabla1[[#This Row],[Lista 2 (30%)]]-Tabla1[[#This Row],[PrecioFábrica]])/Tabla1[[#This Row],[Lista 2 (30%)]]</f>
        <v>0.63641787830262275</v>
      </c>
      <c r="O87" s="12">
        <f>(Tabla1[[#This Row],[Lista 3 (40%)]]-Tabla1[[#This Row],[PrecioFábrica]])/Tabla1[[#This Row],[Lista 3 (40%)]]</f>
        <v>0.57582085801972649</v>
      </c>
    </row>
    <row r="88" spans="1:15">
      <c r="A88" t="s">
        <v>9</v>
      </c>
      <c r="B88" t="s">
        <v>97</v>
      </c>
      <c r="C88" t="s">
        <v>899</v>
      </c>
      <c r="D88" t="s">
        <v>811</v>
      </c>
      <c r="E88" t="s">
        <v>5</v>
      </c>
      <c r="F88" s="3">
        <v>17.458333333333332</v>
      </c>
      <c r="G88" s="10">
        <f>VLOOKUP(Tabla1[[#This Row],[Código Unificador]],PRECIOS_COMPETENCIA!B:D,3,FALSE)</f>
        <v>61.641749999999995</v>
      </c>
      <c r="H88" s="10">
        <f>Tabla1[[#This Row],[PVP Competencia]]*0.98</f>
        <v>60.408914999999993</v>
      </c>
      <c r="I88" s="10">
        <f>Tabla1[[#This Row],[Precio Lista CDR]]*0.8</f>
        <v>48.327131999999999</v>
      </c>
      <c r="J88" s="10">
        <f>Tabla1[[#This Row],[Precio Lista CDR]]*0.7</f>
        <v>42.286240499999991</v>
      </c>
      <c r="K88" s="10">
        <f>Tabla1[[#This Row],[Precio Lista CDR]]*0.6</f>
        <v>36.245348999999997</v>
      </c>
      <c r="L88" s="12">
        <f>(Tabla1[[#This Row],[Precio Lista CDR]]-Tabla1[[#This Row],[PrecioFábrica]])/Tabla1[[#This Row],[Precio Lista CDR]]</f>
        <v>0.71099740272883016</v>
      </c>
      <c r="M88" s="12">
        <f>(Tabla1[[#This Row],[Lista 1 (20%)]]-Tabla1[[#This Row],[PrecioFábrica]])/Tabla1[[#This Row],[Lista 1 (20%)]]</f>
        <v>0.6387467534110377</v>
      </c>
      <c r="N88" s="12">
        <f>(Tabla1[[#This Row],[Lista 2 (30%)]]-Tabla1[[#This Row],[PrecioFábrica]])/Tabla1[[#This Row],[Lista 2 (30%)]]</f>
        <v>0.58713914675547152</v>
      </c>
      <c r="O88" s="12">
        <f>(Tabla1[[#This Row],[Lista 3 (40%)]]-Tabla1[[#This Row],[PrecioFábrica]])/Tabla1[[#This Row],[Lista 3 (40%)]]</f>
        <v>0.5183290045480502</v>
      </c>
    </row>
    <row r="89" spans="1:15">
      <c r="A89" t="s">
        <v>9</v>
      </c>
      <c r="B89" t="s">
        <v>98</v>
      </c>
      <c r="C89" t="s">
        <v>900</v>
      </c>
      <c r="D89" t="s">
        <v>811</v>
      </c>
      <c r="E89" t="s">
        <v>5</v>
      </c>
      <c r="F89" s="3">
        <v>6.8083333333333336</v>
      </c>
      <c r="G89" s="10">
        <f>VLOOKUP(Tabla1[[#This Row],[Código Unificador]],PRECIOS_COMPETENCIA!B:D,3,FALSE)</f>
        <v>30.731375</v>
      </c>
      <c r="H89" s="10">
        <f>Tabla1[[#This Row],[PVP Competencia]]*0.98</f>
        <v>30.116747499999999</v>
      </c>
      <c r="I89" s="10">
        <f>Tabla1[[#This Row],[Precio Lista CDR]]*0.8</f>
        <v>24.093398000000001</v>
      </c>
      <c r="J89" s="10">
        <f>Tabla1[[#This Row],[Precio Lista CDR]]*0.7</f>
        <v>21.08172325</v>
      </c>
      <c r="K89" s="10">
        <f>Tabla1[[#This Row],[Precio Lista CDR]]*0.6</f>
        <v>18.070048499999999</v>
      </c>
      <c r="L89" s="12">
        <f>(Tabla1[[#This Row],[Precio Lista CDR]]-Tabla1[[#This Row],[PrecioFábrica]])/Tabla1[[#This Row],[Precio Lista CDR]]</f>
        <v>0.77393530515427222</v>
      </c>
      <c r="M89" s="12">
        <f>(Tabla1[[#This Row],[Lista 1 (20%)]]-Tabla1[[#This Row],[PrecioFábrica]])/Tabla1[[#This Row],[Lista 1 (20%)]]</f>
        <v>0.71741913144284031</v>
      </c>
      <c r="N89" s="12">
        <f>(Tabla1[[#This Row],[Lista 2 (30%)]]-Tabla1[[#This Row],[PrecioFábrica]])/Tabla1[[#This Row],[Lista 2 (30%)]]</f>
        <v>0.67705043593467462</v>
      </c>
      <c r="O89" s="12">
        <f>(Tabla1[[#This Row],[Lista 3 (40%)]]-Tabla1[[#This Row],[PrecioFábrica]])/Tabla1[[#This Row],[Lista 3 (40%)]]</f>
        <v>0.62322550859045378</v>
      </c>
    </row>
    <row r="90" spans="1:15">
      <c r="A90" t="s">
        <v>9</v>
      </c>
      <c r="B90" t="s">
        <v>99</v>
      </c>
      <c r="C90" t="s">
        <v>901</v>
      </c>
      <c r="D90" t="s">
        <v>811</v>
      </c>
      <c r="E90" t="s">
        <v>5</v>
      </c>
      <c r="F90" s="3">
        <v>11.325000000000001</v>
      </c>
      <c r="G90" s="10">
        <f>VLOOKUP(Tabla1[[#This Row],[Código Unificador]],PRECIOS_COMPETENCIA!B:D,3,FALSE)</f>
        <v>44.484625000000001</v>
      </c>
      <c r="H90" s="10">
        <f>Tabla1[[#This Row],[PVP Competencia]]*0.98</f>
        <v>43.594932499999999</v>
      </c>
      <c r="I90" s="10">
        <f>Tabla1[[#This Row],[Precio Lista CDR]]*0.8</f>
        <v>34.875945999999999</v>
      </c>
      <c r="J90" s="10">
        <f>Tabla1[[#This Row],[Precio Lista CDR]]*0.7</f>
        <v>30.516452749999996</v>
      </c>
      <c r="K90" s="10">
        <f>Tabla1[[#This Row],[Precio Lista CDR]]*0.6</f>
        <v>26.156959499999999</v>
      </c>
      <c r="L90" s="12">
        <f>(Tabla1[[#This Row],[Precio Lista CDR]]-Tabla1[[#This Row],[PrecioFábrica]])/Tabla1[[#This Row],[Precio Lista CDR]]</f>
        <v>0.74022210035535663</v>
      </c>
      <c r="M90" s="12">
        <f>(Tabla1[[#This Row],[Lista 1 (20%)]]-Tabla1[[#This Row],[PrecioFábrica]])/Tabla1[[#This Row],[Lista 1 (20%)]]</f>
        <v>0.67527762544419578</v>
      </c>
      <c r="N90" s="12">
        <f>(Tabla1[[#This Row],[Lista 2 (30%)]]-Tabla1[[#This Row],[PrecioFábrica]])/Tabla1[[#This Row],[Lista 2 (30%)]]</f>
        <v>0.62888871479336661</v>
      </c>
      <c r="O90" s="12">
        <f>(Tabla1[[#This Row],[Lista 3 (40%)]]-Tabla1[[#This Row],[PrecioFábrica]])/Tabla1[[#This Row],[Lista 3 (40%)]]</f>
        <v>0.56703683392559434</v>
      </c>
    </row>
    <row r="91" spans="1:15">
      <c r="A91" t="s">
        <v>6</v>
      </c>
      <c r="B91" t="s">
        <v>100</v>
      </c>
      <c r="C91" t="s">
        <v>902</v>
      </c>
      <c r="D91" t="s">
        <v>811</v>
      </c>
      <c r="E91" t="s">
        <v>5</v>
      </c>
      <c r="F91" s="3">
        <v>18.75</v>
      </c>
      <c r="G91" s="10">
        <f>VLOOKUP(Tabla1[[#This Row],[Código Unificador]],PRECIOS_COMPETENCIA!B:D,3,FALSE)</f>
        <v>66.550000000000011</v>
      </c>
      <c r="H91" s="10">
        <f>Tabla1[[#This Row],[PVP Competencia]]*0.98</f>
        <v>65.219000000000008</v>
      </c>
      <c r="I91" s="10">
        <f>Tabla1[[#This Row],[Precio Lista CDR]]*0.8</f>
        <v>52.175200000000011</v>
      </c>
      <c r="J91" s="10">
        <f>Tabla1[[#This Row],[Precio Lista CDR]]*0.7</f>
        <v>45.653300000000002</v>
      </c>
      <c r="K91" s="10">
        <f>Tabla1[[#This Row],[Precio Lista CDR]]*0.6</f>
        <v>39.131400000000006</v>
      </c>
      <c r="L91" s="12">
        <f>(Tabla1[[#This Row],[Precio Lista CDR]]-Tabla1[[#This Row],[PrecioFábrica]])/Tabla1[[#This Row],[Precio Lista CDR]]</f>
        <v>0.71250709149174329</v>
      </c>
      <c r="M91" s="12">
        <f>(Tabla1[[#This Row],[Lista 1 (20%)]]-Tabla1[[#This Row],[PrecioFábrica]])/Tabla1[[#This Row],[Lista 1 (20%)]]</f>
        <v>0.64063386436467906</v>
      </c>
      <c r="N91" s="12">
        <f>(Tabla1[[#This Row],[Lista 2 (30%)]]-Tabla1[[#This Row],[PrecioFábrica]])/Tabla1[[#This Row],[Lista 2 (30%)]]</f>
        <v>0.58929584498820464</v>
      </c>
      <c r="O91" s="12">
        <f>(Tabla1[[#This Row],[Lista 3 (40%)]]-Tabla1[[#This Row],[PrecioFábrica]])/Tabla1[[#This Row],[Lista 3 (40%)]]</f>
        <v>0.52084515248623875</v>
      </c>
    </row>
    <row r="92" spans="1:15">
      <c r="A92" t="s">
        <v>7</v>
      </c>
      <c r="B92" t="s">
        <v>101</v>
      </c>
      <c r="C92" t="s">
        <v>903</v>
      </c>
      <c r="D92" t="s">
        <v>811</v>
      </c>
      <c r="E92" t="s">
        <v>5</v>
      </c>
      <c r="F92" s="3">
        <v>13.200000000000001</v>
      </c>
      <c r="G92" s="10">
        <f>VLOOKUP(Tabla1[[#This Row],[Código Unificador]],PRECIOS_COMPETENCIA!B:D,3,FALSE)</f>
        <v>49.428400000000003</v>
      </c>
      <c r="H92" s="10">
        <f>Tabla1[[#This Row],[PVP Competencia]]*0.98</f>
        <v>48.439832000000003</v>
      </c>
      <c r="I92" s="10">
        <f>Tabla1[[#This Row],[Precio Lista CDR]]*0.8</f>
        <v>38.751865600000002</v>
      </c>
      <c r="J92" s="10">
        <f>Tabla1[[#This Row],[Precio Lista CDR]]*0.7</f>
        <v>33.907882399999998</v>
      </c>
      <c r="K92" s="10">
        <f>Tabla1[[#This Row],[Precio Lista CDR]]*0.6</f>
        <v>29.063899200000002</v>
      </c>
      <c r="L92" s="12">
        <f>(Tabla1[[#This Row],[Precio Lista CDR]]-Tabla1[[#This Row],[PrecioFábrica]])/Tabla1[[#This Row],[Precio Lista CDR]]</f>
        <v>0.72749699049327832</v>
      </c>
      <c r="M92" s="12">
        <f>(Tabla1[[#This Row],[Lista 1 (20%)]]-Tabla1[[#This Row],[PrecioFábrica]])/Tabla1[[#This Row],[Lista 1 (20%)]]</f>
        <v>0.65937123811659792</v>
      </c>
      <c r="N92" s="12">
        <f>(Tabla1[[#This Row],[Lista 2 (30%)]]-Tabla1[[#This Row],[PrecioFábrica]])/Tabla1[[#This Row],[Lista 2 (30%)]]</f>
        <v>0.61070998641896901</v>
      </c>
      <c r="O92" s="12">
        <f>(Tabla1[[#This Row],[Lista 3 (40%)]]-Tabla1[[#This Row],[PrecioFábrica]])/Tabla1[[#This Row],[Lista 3 (40%)]]</f>
        <v>0.54582831748879723</v>
      </c>
    </row>
    <row r="93" spans="1:15">
      <c r="A93" t="s">
        <v>9</v>
      </c>
      <c r="B93" t="s">
        <v>102</v>
      </c>
      <c r="C93" t="s">
        <v>904</v>
      </c>
      <c r="D93" t="s">
        <v>811</v>
      </c>
      <c r="E93" t="s">
        <v>5</v>
      </c>
      <c r="F93" s="3">
        <v>32.466666666666669</v>
      </c>
      <c r="G93" s="10">
        <f>VLOOKUP(Tabla1[[#This Row],[Código Unificador]],PRECIOS_COMPETENCIA!B:D,3,FALSE)</f>
        <v>126.977933333333</v>
      </c>
      <c r="H93" s="10">
        <f>Tabla1[[#This Row],[PVP Competencia]]*0.98</f>
        <v>124.43837466666633</v>
      </c>
      <c r="I93" s="10">
        <f>Tabla1[[#This Row],[Precio Lista CDR]]*0.8</f>
        <v>99.550699733333076</v>
      </c>
      <c r="J93" s="10">
        <f>Tabla1[[#This Row],[Precio Lista CDR]]*0.7</f>
        <v>87.106862266666425</v>
      </c>
      <c r="K93" s="10">
        <f>Tabla1[[#This Row],[Precio Lista CDR]]*0.6</f>
        <v>74.663024799999803</v>
      </c>
      <c r="L93" s="12">
        <f>(Tabla1[[#This Row],[Precio Lista CDR]]-Tabla1[[#This Row],[PrecioFábrica]])/Tabla1[[#This Row],[Precio Lista CDR]]</f>
        <v>0.73909441718734048</v>
      </c>
      <c r="M93" s="12">
        <f>(Tabla1[[#This Row],[Lista 1 (20%)]]-Tabla1[[#This Row],[PrecioFábrica]])/Tabla1[[#This Row],[Lista 1 (20%)]]</f>
        <v>0.67386802148417557</v>
      </c>
      <c r="N93" s="12">
        <f>(Tabla1[[#This Row],[Lista 2 (30%)]]-Tabla1[[#This Row],[PrecioFábrica]])/Tabla1[[#This Row],[Lista 2 (30%)]]</f>
        <v>0.6272777388390578</v>
      </c>
      <c r="O93" s="12">
        <f>(Tabla1[[#This Row],[Lista 3 (40%)]]-Tabla1[[#This Row],[PrecioFábrica]])/Tabla1[[#This Row],[Lista 3 (40%)]]</f>
        <v>0.56515736197890076</v>
      </c>
    </row>
    <row r="94" spans="1:15">
      <c r="A94" t="s">
        <v>7</v>
      </c>
      <c r="B94" t="s">
        <v>103</v>
      </c>
      <c r="C94" t="s">
        <v>905</v>
      </c>
      <c r="D94" t="s">
        <v>811</v>
      </c>
      <c r="E94" t="s">
        <v>5</v>
      </c>
      <c r="F94" s="3">
        <v>19.475000000000001</v>
      </c>
      <c r="G94" s="10">
        <f>VLOOKUP(Tabla1[[#This Row],[Código Unificador]],PRECIOS_COMPETENCIA!B:D,3,FALSE)</f>
        <v>68.171824999999998</v>
      </c>
      <c r="H94" s="10">
        <f>Tabla1[[#This Row],[PVP Competencia]]*0.98</f>
        <v>66.808388499999992</v>
      </c>
      <c r="I94" s="10">
        <f>Tabla1[[#This Row],[Precio Lista CDR]]*0.8</f>
        <v>53.446710799999998</v>
      </c>
      <c r="J94" s="10">
        <f>Tabla1[[#This Row],[Precio Lista CDR]]*0.7</f>
        <v>46.76587194999999</v>
      </c>
      <c r="K94" s="10">
        <f>Tabla1[[#This Row],[Precio Lista CDR]]*0.6</f>
        <v>40.085033099999997</v>
      </c>
      <c r="L94" s="12">
        <f>(Tabla1[[#This Row],[Precio Lista CDR]]-Tabla1[[#This Row],[PrecioFábrica]])/Tabla1[[#This Row],[Precio Lista CDR]]</f>
        <v>0.7084946900043847</v>
      </c>
      <c r="M94" s="12">
        <f>(Tabla1[[#This Row],[Lista 1 (20%)]]-Tabla1[[#This Row],[PrecioFábrica]])/Tabla1[[#This Row],[Lista 1 (20%)]]</f>
        <v>0.63561836250548087</v>
      </c>
      <c r="N94" s="12">
        <f>(Tabla1[[#This Row],[Lista 2 (30%)]]-Tabla1[[#This Row],[PrecioFábrica]])/Tabla1[[#This Row],[Lista 2 (30%)]]</f>
        <v>0.58356384286340657</v>
      </c>
      <c r="O94" s="12">
        <f>(Tabla1[[#This Row],[Lista 3 (40%)]]-Tabla1[[#This Row],[PrecioFábrica]])/Tabla1[[#This Row],[Lista 3 (40%)]]</f>
        <v>0.51415781667397442</v>
      </c>
    </row>
    <row r="95" spans="1:15">
      <c r="A95" t="s">
        <v>6</v>
      </c>
      <c r="B95" t="s">
        <v>104</v>
      </c>
      <c r="C95" t="s">
        <v>906</v>
      </c>
      <c r="D95" t="s">
        <v>811</v>
      </c>
      <c r="E95" t="s">
        <v>5</v>
      </c>
      <c r="F95" s="3">
        <v>12.516666666666667</v>
      </c>
      <c r="G95" s="10">
        <f>VLOOKUP(Tabla1[[#This Row],[Código Unificador]],PRECIOS_COMPETENCIA!B:D,3,FALSE)</f>
        <v>47.750266666666668</v>
      </c>
      <c r="H95" s="10">
        <f>Tabla1[[#This Row],[PVP Competencia]]*0.98</f>
        <v>46.795261333333336</v>
      </c>
      <c r="I95" s="10">
        <f>Tabla1[[#This Row],[Precio Lista CDR]]*0.8</f>
        <v>37.43620906666667</v>
      </c>
      <c r="J95" s="10">
        <f>Tabla1[[#This Row],[Precio Lista CDR]]*0.7</f>
        <v>32.75668293333333</v>
      </c>
      <c r="K95" s="10">
        <f>Tabla1[[#This Row],[Precio Lista CDR]]*0.6</f>
        <v>28.077156800000001</v>
      </c>
      <c r="L95" s="12">
        <f>(Tabla1[[#This Row],[Precio Lista CDR]]-Tabla1[[#This Row],[PrecioFábrica]])/Tabla1[[#This Row],[Precio Lista CDR]]</f>
        <v>0.73252277452822434</v>
      </c>
      <c r="M95" s="12">
        <f>(Tabla1[[#This Row],[Lista 1 (20%)]]-Tabla1[[#This Row],[PrecioFábrica]])/Tabla1[[#This Row],[Lista 1 (20%)]]</f>
        <v>0.66565346816028048</v>
      </c>
      <c r="N95" s="12">
        <f>(Tabla1[[#This Row],[Lista 2 (30%)]]-Tabla1[[#This Row],[PrecioFábrica]])/Tabla1[[#This Row],[Lista 2 (30%)]]</f>
        <v>0.6178896778974633</v>
      </c>
      <c r="O95" s="12">
        <f>(Tabla1[[#This Row],[Lista 3 (40%)]]-Tabla1[[#This Row],[PrecioFábrica]])/Tabla1[[#This Row],[Lista 3 (40%)]]</f>
        <v>0.5542046242137072</v>
      </c>
    </row>
    <row r="96" spans="1:15">
      <c r="A96" t="s">
        <v>6</v>
      </c>
      <c r="B96" t="s">
        <v>105</v>
      </c>
      <c r="C96" t="s">
        <v>907</v>
      </c>
      <c r="D96" t="s">
        <v>811</v>
      </c>
      <c r="E96" t="s">
        <v>5</v>
      </c>
      <c r="F96" s="3">
        <v>17.883333333333336</v>
      </c>
      <c r="G96" s="10">
        <f>VLOOKUP(Tabla1[[#This Row],[Código Unificador]],PRECIOS_COMPETENCIA!B:D,3,FALSE)</f>
        <v>66.010600000000011</v>
      </c>
      <c r="H96" s="10">
        <f>Tabla1[[#This Row],[PVP Competencia]]*0.98</f>
        <v>64.690388000000013</v>
      </c>
      <c r="I96" s="10">
        <f>Tabla1[[#This Row],[Precio Lista CDR]]*0.8</f>
        <v>51.752310400000013</v>
      </c>
      <c r="J96" s="10">
        <f>Tabla1[[#This Row],[Precio Lista CDR]]*0.7</f>
        <v>45.283271600000006</v>
      </c>
      <c r="K96" s="10">
        <f>Tabla1[[#This Row],[Precio Lista CDR]]*0.6</f>
        <v>38.814232800000006</v>
      </c>
      <c r="L96" s="12">
        <f>(Tabla1[[#This Row],[Precio Lista CDR]]-Tabla1[[#This Row],[PrecioFábrica]])/Tabla1[[#This Row],[Precio Lista CDR]]</f>
        <v>0.72355501510775699</v>
      </c>
      <c r="M96" s="12">
        <f>(Tabla1[[#This Row],[Lista 1 (20%)]]-Tabla1[[#This Row],[PrecioFábrica]])/Tabla1[[#This Row],[Lista 1 (20%)]]</f>
        <v>0.65444376888469624</v>
      </c>
      <c r="N96" s="12">
        <f>(Tabla1[[#This Row],[Lista 2 (30%)]]-Tabla1[[#This Row],[PrecioFábrica]])/Tabla1[[#This Row],[Lista 2 (30%)]]</f>
        <v>0.60507859301108147</v>
      </c>
      <c r="O96" s="12">
        <f>(Tabla1[[#This Row],[Lista 3 (40%)]]-Tabla1[[#This Row],[PrecioFábrica]])/Tabla1[[#This Row],[Lista 3 (40%)]]</f>
        <v>0.53925835851292847</v>
      </c>
    </row>
    <row r="97" spans="1:15">
      <c r="A97" t="s">
        <v>9</v>
      </c>
      <c r="B97" t="s">
        <v>106</v>
      </c>
      <c r="C97" t="s">
        <v>908</v>
      </c>
      <c r="D97" t="s">
        <v>811</v>
      </c>
      <c r="E97" t="s">
        <v>5</v>
      </c>
      <c r="F97" s="3">
        <v>11.9</v>
      </c>
      <c r="G97" s="10">
        <f>VLOOKUP(Tabla1[[#This Row],[Código Unificador]],PRECIOS_COMPETENCIA!B:D,3,FALSE)</f>
        <v>45.8904</v>
      </c>
      <c r="H97" s="10">
        <f>Tabla1[[#This Row],[PVP Competencia]]*0.98</f>
        <v>44.972591999999999</v>
      </c>
      <c r="I97" s="10">
        <f>Tabla1[[#This Row],[Precio Lista CDR]]*0.8</f>
        <v>35.978073600000002</v>
      </c>
      <c r="J97" s="10">
        <f>Tabla1[[#This Row],[Precio Lista CDR]]*0.7</f>
        <v>31.480814399999996</v>
      </c>
      <c r="K97" s="10">
        <f>Tabla1[[#This Row],[Precio Lista CDR]]*0.6</f>
        <v>26.983555199999998</v>
      </c>
      <c r="L97" s="12">
        <f>(Tabla1[[#This Row],[Precio Lista CDR]]-Tabla1[[#This Row],[PrecioFábrica]])/Tabla1[[#This Row],[Precio Lista CDR]]</f>
        <v>0.73539439310058008</v>
      </c>
      <c r="M97" s="12">
        <f>(Tabla1[[#This Row],[Lista 1 (20%)]]-Tabla1[[#This Row],[PrecioFábrica]])/Tabla1[[#This Row],[Lista 1 (20%)]]</f>
        <v>0.66924299137572507</v>
      </c>
      <c r="N97" s="12">
        <f>(Tabla1[[#This Row],[Lista 2 (30%)]]-Tabla1[[#This Row],[PrecioFábrica]])/Tabla1[[#This Row],[Lista 2 (30%)]]</f>
        <v>0.62199199014368567</v>
      </c>
      <c r="O97" s="12">
        <f>(Tabla1[[#This Row],[Lista 3 (40%)]]-Tabla1[[#This Row],[PrecioFábrica]])/Tabla1[[#This Row],[Lista 3 (40%)]]</f>
        <v>0.55899065516763335</v>
      </c>
    </row>
    <row r="98" spans="1:15">
      <c r="A98" t="s">
        <v>9</v>
      </c>
      <c r="B98" t="s">
        <v>107</v>
      </c>
      <c r="C98" t="s">
        <v>909</v>
      </c>
      <c r="D98" t="s">
        <v>811</v>
      </c>
      <c r="E98" t="s">
        <v>5</v>
      </c>
      <c r="F98" s="3">
        <v>15.666666666666668</v>
      </c>
      <c r="G98" s="10">
        <f>VLOOKUP(Tabla1[[#This Row],[Código Unificador]],PRECIOS_COMPETENCIA!B:D,3,FALSE)</f>
        <v>59.068000000000005</v>
      </c>
      <c r="H98" s="10">
        <f>Tabla1[[#This Row],[PVP Competencia]]*0.98</f>
        <v>57.886640000000007</v>
      </c>
      <c r="I98" s="10">
        <f>Tabla1[[#This Row],[Precio Lista CDR]]*0.8</f>
        <v>46.309312000000006</v>
      </c>
      <c r="J98" s="10">
        <f>Tabla1[[#This Row],[Precio Lista CDR]]*0.7</f>
        <v>40.520648000000001</v>
      </c>
      <c r="K98" s="10">
        <f>Tabla1[[#This Row],[Precio Lista CDR]]*0.6</f>
        <v>34.731984000000004</v>
      </c>
      <c r="L98" s="12">
        <f>(Tabla1[[#This Row],[Precio Lista CDR]]-Tabla1[[#This Row],[PrecioFábrica]])/Tabla1[[#This Row],[Precio Lista CDR]]</f>
        <v>0.72935608861273238</v>
      </c>
      <c r="M98" s="12">
        <f>(Tabla1[[#This Row],[Lista 1 (20%)]]-Tabla1[[#This Row],[PrecioFábrica]])/Tabla1[[#This Row],[Lista 1 (20%)]]</f>
        <v>0.66169511076591536</v>
      </c>
      <c r="N98" s="12">
        <f>(Tabla1[[#This Row],[Lista 2 (30%)]]-Tabla1[[#This Row],[PrecioFábrica]])/Tabla1[[#This Row],[Lista 2 (30%)]]</f>
        <v>0.61336584087533186</v>
      </c>
      <c r="O98" s="12">
        <f>(Tabla1[[#This Row],[Lista 3 (40%)]]-Tabla1[[#This Row],[PrecioFábrica]])/Tabla1[[#This Row],[Lista 3 (40%)]]</f>
        <v>0.54892681435455382</v>
      </c>
    </row>
    <row r="99" spans="1:15">
      <c r="A99" t="s">
        <v>6</v>
      </c>
      <c r="B99" t="s">
        <v>108</v>
      </c>
      <c r="C99" t="s">
        <v>910</v>
      </c>
      <c r="D99" t="s">
        <v>811</v>
      </c>
      <c r="E99" t="s">
        <v>5</v>
      </c>
      <c r="F99" s="3">
        <v>16.125000000000004</v>
      </c>
      <c r="G99" s="10">
        <f>VLOOKUP(Tabla1[[#This Row],[Código Unificador]],PRECIOS_COMPETENCIA!B:D,3,FALSE)</f>
        <v>60.035875000000019</v>
      </c>
      <c r="H99" s="10">
        <f>Tabla1[[#This Row],[PVP Competencia]]*0.98</f>
        <v>58.835157500000015</v>
      </c>
      <c r="I99" s="10">
        <f>Tabla1[[#This Row],[Precio Lista CDR]]*0.8</f>
        <v>47.068126000000014</v>
      </c>
      <c r="J99" s="10">
        <f>Tabla1[[#This Row],[Precio Lista CDR]]*0.7</f>
        <v>41.184610250000006</v>
      </c>
      <c r="K99" s="10">
        <f>Tabla1[[#This Row],[Precio Lista CDR]]*0.6</f>
        <v>35.301094500000005</v>
      </c>
      <c r="L99" s="12">
        <f>(Tabla1[[#This Row],[Precio Lista CDR]]-Tabla1[[#This Row],[PrecioFábrica]])/Tabla1[[#This Row],[Precio Lista CDR]]</f>
        <v>0.72592917763498799</v>
      </c>
      <c r="M99" s="12">
        <f>(Tabla1[[#This Row],[Lista 1 (20%)]]-Tabla1[[#This Row],[PrecioFábrica]])/Tabla1[[#This Row],[Lista 1 (20%)]]</f>
        <v>0.65741147204373507</v>
      </c>
      <c r="N99" s="12">
        <f>(Tabla1[[#This Row],[Lista 2 (30%)]]-Tabla1[[#This Row],[PrecioFábrica]])/Tabla1[[#This Row],[Lista 2 (30%)]]</f>
        <v>0.60847025376426866</v>
      </c>
      <c r="O99" s="12">
        <f>(Tabla1[[#This Row],[Lista 3 (40%)]]-Tabla1[[#This Row],[PrecioFábrica]])/Tabla1[[#This Row],[Lista 3 (40%)]]</f>
        <v>0.54321529605831342</v>
      </c>
    </row>
    <row r="100" spans="1:15">
      <c r="A100" t="s">
        <v>6</v>
      </c>
      <c r="B100" t="s">
        <v>109</v>
      </c>
      <c r="C100" t="s">
        <v>911</v>
      </c>
      <c r="D100" t="s">
        <v>811</v>
      </c>
      <c r="E100" t="s">
        <v>5</v>
      </c>
      <c r="F100" s="3">
        <v>19.100000000000001</v>
      </c>
      <c r="G100" s="10">
        <f>VLOOKUP(Tabla1[[#This Row],[Código Unificador]],PRECIOS_COMPETENCIA!B:D,3,FALSE)</f>
        <v>67.051700000000011</v>
      </c>
      <c r="H100" s="10">
        <f>Tabla1[[#This Row],[PVP Competencia]]*0.98</f>
        <v>65.710666000000003</v>
      </c>
      <c r="I100" s="10">
        <f>Tabla1[[#This Row],[Precio Lista CDR]]*0.8</f>
        <v>52.568532800000007</v>
      </c>
      <c r="J100" s="10">
        <f>Tabla1[[#This Row],[Precio Lista CDR]]*0.7</f>
        <v>45.997466199999998</v>
      </c>
      <c r="K100" s="10">
        <f>Tabla1[[#This Row],[Precio Lista CDR]]*0.6</f>
        <v>39.426399600000003</v>
      </c>
      <c r="L100" s="12">
        <f>(Tabla1[[#This Row],[Precio Lista CDR]]-Tabla1[[#This Row],[PrecioFábrica]])/Tabla1[[#This Row],[Precio Lista CDR]]</f>
        <v>0.70933181532507983</v>
      </c>
      <c r="M100" s="12">
        <f>(Tabla1[[#This Row],[Lista 1 (20%)]]-Tabla1[[#This Row],[PrecioFábrica]])/Tabla1[[#This Row],[Lista 1 (20%)]]</f>
        <v>0.63666476915634973</v>
      </c>
      <c r="N100" s="12">
        <f>(Tabla1[[#This Row],[Lista 2 (30%)]]-Tabla1[[#This Row],[PrecioFábrica]])/Tabla1[[#This Row],[Lista 2 (30%)]]</f>
        <v>0.58475973617868537</v>
      </c>
      <c r="O100" s="12">
        <f>(Tabla1[[#This Row],[Lista 3 (40%)]]-Tabla1[[#This Row],[PrecioFábrica]])/Tabla1[[#This Row],[Lista 3 (40%)]]</f>
        <v>0.51555302554179971</v>
      </c>
    </row>
    <row r="101" spans="1:15">
      <c r="A101" t="s">
        <v>6</v>
      </c>
      <c r="B101" t="s">
        <v>110</v>
      </c>
      <c r="C101" t="s">
        <v>912</v>
      </c>
      <c r="D101" t="s">
        <v>811</v>
      </c>
      <c r="E101" t="s">
        <v>5</v>
      </c>
      <c r="F101" s="3">
        <v>22.3</v>
      </c>
      <c r="G101" s="10">
        <f>VLOOKUP(Tabla1[[#This Row],[Código Unificador]],PRECIOS_COMPETENCIA!B:D,3,FALSE)</f>
        <v>79.196899999999999</v>
      </c>
      <c r="H101" s="10">
        <f>Tabla1[[#This Row],[PVP Competencia]]*0.98</f>
        <v>77.612961999999996</v>
      </c>
      <c r="I101" s="10">
        <f>Tabla1[[#This Row],[Precio Lista CDR]]*0.8</f>
        <v>62.090369600000002</v>
      </c>
      <c r="J101" s="10">
        <f>Tabla1[[#This Row],[Precio Lista CDR]]*0.7</f>
        <v>54.329073399999992</v>
      </c>
      <c r="K101" s="10">
        <f>Tabla1[[#This Row],[Precio Lista CDR]]*0.6</f>
        <v>46.567777199999995</v>
      </c>
      <c r="L101" s="12">
        <f>(Tabla1[[#This Row],[Precio Lista CDR]]-Tabla1[[#This Row],[PrecioFábrica]])/Tabla1[[#This Row],[Precio Lista CDR]]</f>
        <v>0.71267685931120628</v>
      </c>
      <c r="M101" s="12">
        <f>(Tabla1[[#This Row],[Lista 1 (20%)]]-Tabla1[[#This Row],[PrecioFábrica]])/Tabla1[[#This Row],[Lista 1 (20%)]]</f>
        <v>0.64084607413900796</v>
      </c>
      <c r="N101" s="12">
        <f>(Tabla1[[#This Row],[Lista 2 (30%)]]-Tabla1[[#This Row],[PrecioFábrica]])/Tabla1[[#This Row],[Lista 2 (30%)]]</f>
        <v>0.58953837044458024</v>
      </c>
      <c r="O101" s="12">
        <f>(Tabla1[[#This Row],[Lista 3 (40%)]]-Tabla1[[#This Row],[PrecioFábrica]])/Tabla1[[#This Row],[Lista 3 (40%)]]</f>
        <v>0.52112809885201039</v>
      </c>
    </row>
    <row r="102" spans="1:15">
      <c r="A102" t="s">
        <v>6</v>
      </c>
      <c r="B102" t="s">
        <v>111</v>
      </c>
      <c r="C102" t="s">
        <v>913</v>
      </c>
      <c r="D102" t="s">
        <v>811</v>
      </c>
      <c r="E102" t="s">
        <v>5</v>
      </c>
      <c r="F102" s="3">
        <v>12.591666666666667</v>
      </c>
      <c r="G102" s="10">
        <f>VLOOKUP(Tabla1[[#This Row],[Código Unificador]],PRECIOS_COMPETENCIA!B:D,3,FALSE)</f>
        <v>47.24615</v>
      </c>
      <c r="H102" s="10">
        <f>Tabla1[[#This Row],[PVP Competencia]]*0.98</f>
        <v>46.301226999999997</v>
      </c>
      <c r="I102" s="10">
        <f>Tabla1[[#This Row],[Precio Lista CDR]]*0.8</f>
        <v>37.040981600000002</v>
      </c>
      <c r="J102" s="10">
        <f>Tabla1[[#This Row],[Precio Lista CDR]]*0.7</f>
        <v>32.410858899999994</v>
      </c>
      <c r="K102" s="10">
        <f>Tabla1[[#This Row],[Precio Lista CDR]]*0.6</f>
        <v>27.780736199999996</v>
      </c>
      <c r="L102" s="12">
        <f>(Tabla1[[#This Row],[Precio Lista CDR]]-Tabla1[[#This Row],[PrecioFábrica]])/Tabla1[[#This Row],[Precio Lista CDR]]</f>
        <v>0.72804896365561389</v>
      </c>
      <c r="M102" s="12">
        <f>(Tabla1[[#This Row],[Lista 1 (20%)]]-Tabla1[[#This Row],[PrecioFábrica]])/Tabla1[[#This Row],[Lista 1 (20%)]]</f>
        <v>0.66006120456951745</v>
      </c>
      <c r="N102" s="12">
        <f>(Tabla1[[#This Row],[Lista 2 (30%)]]-Tabla1[[#This Row],[PrecioFábrica]])/Tabla1[[#This Row],[Lista 2 (30%)]]</f>
        <v>0.61149851950801981</v>
      </c>
      <c r="O102" s="12">
        <f>(Tabla1[[#This Row],[Lista 3 (40%)]]-Tabla1[[#This Row],[PrecioFábrica]])/Tabla1[[#This Row],[Lista 3 (40%)]]</f>
        <v>0.54674827275935656</v>
      </c>
    </row>
    <row r="103" spans="1:15">
      <c r="A103" t="s">
        <v>9</v>
      </c>
      <c r="B103" t="s">
        <v>112</v>
      </c>
      <c r="C103" t="s">
        <v>914</v>
      </c>
      <c r="D103" t="s">
        <v>811</v>
      </c>
      <c r="E103" t="s">
        <v>5</v>
      </c>
      <c r="F103" s="3">
        <v>16.7</v>
      </c>
      <c r="G103" s="10">
        <f>VLOOKUP(Tabla1[[#This Row],[Código Unificador]],PRECIOS_COMPETENCIA!B:D,3,FALSE)</f>
        <v>59.398599999999995</v>
      </c>
      <c r="H103" s="10">
        <f>Tabla1[[#This Row],[PVP Competencia]]*0.98</f>
        <v>58.210627999999993</v>
      </c>
      <c r="I103" s="10">
        <f>Tabla1[[#This Row],[Precio Lista CDR]]*0.8</f>
        <v>46.5685024</v>
      </c>
      <c r="J103" s="10">
        <f>Tabla1[[#This Row],[Precio Lista CDR]]*0.7</f>
        <v>40.747439599999993</v>
      </c>
      <c r="K103" s="10">
        <f>Tabla1[[#This Row],[Precio Lista CDR]]*0.6</f>
        <v>34.926376799999993</v>
      </c>
      <c r="L103" s="12">
        <f>(Tabla1[[#This Row],[Precio Lista CDR]]-Tabla1[[#This Row],[PrecioFábrica]])/Tabla1[[#This Row],[Precio Lista CDR]]</f>
        <v>0.71311080856231279</v>
      </c>
      <c r="M103" s="12">
        <f>(Tabla1[[#This Row],[Lista 1 (20%)]]-Tabla1[[#This Row],[PrecioFábrica]])/Tabla1[[#This Row],[Lista 1 (20%)]]</f>
        <v>0.64138851070289093</v>
      </c>
      <c r="N103" s="12">
        <f>(Tabla1[[#This Row],[Lista 2 (30%)]]-Tabla1[[#This Row],[PrecioFábrica]])/Tabla1[[#This Row],[Lista 2 (30%)]]</f>
        <v>0.59015829794616093</v>
      </c>
      <c r="O103" s="12">
        <f>(Tabla1[[#This Row],[Lista 3 (40%)]]-Tabla1[[#This Row],[PrecioFábrica]])/Tabla1[[#This Row],[Lista 3 (40%)]]</f>
        <v>0.52185134760385443</v>
      </c>
    </row>
    <row r="104" spans="1:15">
      <c r="A104" t="s">
        <v>9</v>
      </c>
      <c r="B104" t="s">
        <v>113</v>
      </c>
      <c r="C104" t="s">
        <v>915</v>
      </c>
      <c r="D104" t="s">
        <v>811</v>
      </c>
      <c r="E104" t="s">
        <v>5</v>
      </c>
      <c r="F104" s="3">
        <v>16.208333333333332</v>
      </c>
      <c r="G104" s="10">
        <f>VLOOKUP(Tabla1[[#This Row],[Código Unificador]],PRECIOS_COMPETENCIA!B:D,3,FALSE)</f>
        <v>59.354374999999997</v>
      </c>
      <c r="H104" s="10">
        <f>Tabla1[[#This Row],[PVP Competencia]]*0.98</f>
        <v>58.167287499999993</v>
      </c>
      <c r="I104" s="10">
        <f>Tabla1[[#This Row],[Precio Lista CDR]]*0.8</f>
        <v>46.533829999999995</v>
      </c>
      <c r="J104" s="10">
        <f>Tabla1[[#This Row],[Precio Lista CDR]]*0.7</f>
        <v>40.717101249999992</v>
      </c>
      <c r="K104" s="10">
        <f>Tabla1[[#This Row],[Precio Lista CDR]]*0.6</f>
        <v>34.900372499999996</v>
      </c>
      <c r="L104" s="12">
        <f>(Tabla1[[#This Row],[Precio Lista CDR]]-Tabla1[[#This Row],[PrecioFábrica]])/Tabla1[[#This Row],[Precio Lista CDR]]</f>
        <v>0.72134967900414237</v>
      </c>
      <c r="M104" s="12">
        <f>(Tabla1[[#This Row],[Lista 1 (20%)]]-Tabla1[[#This Row],[PrecioFábrica]])/Tabla1[[#This Row],[Lista 1 (20%)]]</f>
        <v>0.65168709875517805</v>
      </c>
      <c r="N104" s="12">
        <f>(Tabla1[[#This Row],[Lista 2 (30%)]]-Tabla1[[#This Row],[PrecioFábrica]])/Tabla1[[#This Row],[Lista 2 (30%)]]</f>
        <v>0.60192811286306058</v>
      </c>
      <c r="O104" s="12">
        <f>(Tabla1[[#This Row],[Lista 3 (40%)]]-Tabla1[[#This Row],[PrecioFábrica]])/Tabla1[[#This Row],[Lista 3 (40%)]]</f>
        <v>0.53558279834023736</v>
      </c>
    </row>
    <row r="105" spans="1:15">
      <c r="A105" t="s">
        <v>7</v>
      </c>
      <c r="B105" t="s">
        <v>114</v>
      </c>
      <c r="C105" t="s">
        <v>916</v>
      </c>
      <c r="D105" t="s">
        <v>811</v>
      </c>
      <c r="E105" t="s">
        <v>5</v>
      </c>
      <c r="F105" s="3">
        <v>2.9083333333333337</v>
      </c>
      <c r="G105" s="10">
        <f>VLOOKUP(Tabla1[[#This Row],[Código Unificador]],PRECIOS_COMPETENCIA!B:D,3,FALSE)</f>
        <v>18.855875000000001</v>
      </c>
      <c r="H105" s="10">
        <f>Tabla1[[#This Row],[PVP Competencia]]*0.98</f>
        <v>18.4787575</v>
      </c>
      <c r="I105" s="10">
        <f>Tabla1[[#This Row],[Precio Lista CDR]]*0.8</f>
        <v>14.783006</v>
      </c>
      <c r="J105" s="10">
        <f>Tabla1[[#This Row],[Precio Lista CDR]]*0.7</f>
        <v>12.93513025</v>
      </c>
      <c r="K105" s="10">
        <f>Tabla1[[#This Row],[Precio Lista CDR]]*0.6</f>
        <v>11.0872545</v>
      </c>
      <c r="L105" s="12">
        <f>(Tabla1[[#This Row],[Precio Lista CDR]]-Tabla1[[#This Row],[PrecioFábrica]])/Tabla1[[#This Row],[Precio Lista CDR]]</f>
        <v>0.84261207316924136</v>
      </c>
      <c r="M105" s="12">
        <f>(Tabla1[[#This Row],[Lista 1 (20%)]]-Tabla1[[#This Row],[PrecioFábrica]])/Tabla1[[#This Row],[Lista 1 (20%)]]</f>
        <v>0.80326509146155167</v>
      </c>
      <c r="N105" s="12">
        <f>(Tabla1[[#This Row],[Lista 2 (30%)]]-Tabla1[[#This Row],[PrecioFábrica]])/Tabla1[[#This Row],[Lista 2 (30%)]]</f>
        <v>0.77516010452748763</v>
      </c>
      <c r="O105" s="12">
        <f>(Tabla1[[#This Row],[Lista 3 (40%)]]-Tabla1[[#This Row],[PrecioFábrica]])/Tabla1[[#This Row],[Lista 3 (40%)]]</f>
        <v>0.73768678861540216</v>
      </c>
    </row>
    <row r="106" spans="1:15">
      <c r="A106" t="s">
        <v>9</v>
      </c>
      <c r="B106" t="s">
        <v>115</v>
      </c>
      <c r="C106" t="s">
        <v>917</v>
      </c>
      <c r="D106" t="s">
        <v>811</v>
      </c>
      <c r="E106" t="s">
        <v>5</v>
      </c>
      <c r="F106" s="3">
        <v>8.875</v>
      </c>
      <c r="G106" s="10">
        <f>VLOOKUP(Tabla1[[#This Row],[Código Unificador]],PRECIOS_COMPETENCIA!B:D,3,FALSE)</f>
        <v>37.539124999999999</v>
      </c>
      <c r="H106" s="10">
        <f>Tabla1[[#This Row],[PVP Competencia]]*0.98</f>
        <v>36.788342499999999</v>
      </c>
      <c r="I106" s="10">
        <f>Tabla1[[#This Row],[Precio Lista CDR]]*0.8</f>
        <v>29.430674</v>
      </c>
      <c r="J106" s="10">
        <f>Tabla1[[#This Row],[Precio Lista CDR]]*0.7</f>
        <v>25.751839749999998</v>
      </c>
      <c r="K106" s="10">
        <f>Tabla1[[#This Row],[Precio Lista CDR]]*0.6</f>
        <v>22.073005499999997</v>
      </c>
      <c r="L106" s="12">
        <f>(Tabla1[[#This Row],[Precio Lista CDR]]-Tabla1[[#This Row],[PrecioFábrica]])/Tabla1[[#This Row],[Precio Lista CDR]]</f>
        <v>0.7587551002059959</v>
      </c>
      <c r="M106" s="12">
        <f>(Tabla1[[#This Row],[Lista 1 (20%)]]-Tabla1[[#This Row],[PrecioFábrica]])/Tabla1[[#This Row],[Lista 1 (20%)]]</f>
        <v>0.69844387525749496</v>
      </c>
      <c r="N106" s="12">
        <f>(Tabla1[[#This Row],[Lista 2 (30%)]]-Tabla1[[#This Row],[PrecioFábrica]])/Tabla1[[#This Row],[Lista 2 (30%)]]</f>
        <v>0.65536442886570845</v>
      </c>
      <c r="O106" s="12">
        <f>(Tabla1[[#This Row],[Lista 3 (40%)]]-Tabla1[[#This Row],[PrecioFábrica]])/Tabla1[[#This Row],[Lista 3 (40%)]]</f>
        <v>0.59792516700999321</v>
      </c>
    </row>
    <row r="107" spans="1:15">
      <c r="A107" t="s">
        <v>9</v>
      </c>
      <c r="B107" t="s">
        <v>116</v>
      </c>
      <c r="C107" t="s">
        <v>918</v>
      </c>
      <c r="D107" t="s">
        <v>811</v>
      </c>
      <c r="E107" t="s">
        <v>5</v>
      </c>
      <c r="F107" s="3">
        <v>13.591666666666669</v>
      </c>
      <c r="G107" s="10">
        <f>VLOOKUP(Tabla1[[#This Row],[Código Unificador]],PRECIOS_COMPETENCIA!B:D,3,FALSE)</f>
        <v>50.598308333333343</v>
      </c>
      <c r="H107" s="10">
        <f>Tabla1[[#This Row],[PVP Competencia]]*0.98</f>
        <v>49.586342166666675</v>
      </c>
      <c r="I107" s="10">
        <f>Tabla1[[#This Row],[Precio Lista CDR]]*0.8</f>
        <v>39.669073733333342</v>
      </c>
      <c r="J107" s="10">
        <f>Tabla1[[#This Row],[Precio Lista CDR]]*0.7</f>
        <v>34.710439516666668</v>
      </c>
      <c r="K107" s="10">
        <f>Tabla1[[#This Row],[Precio Lista CDR]]*0.6</f>
        <v>29.751805300000004</v>
      </c>
      <c r="L107" s="12">
        <f>(Tabla1[[#This Row],[Precio Lista CDR]]-Tabla1[[#This Row],[PrecioFábrica]])/Tabla1[[#This Row],[Precio Lista CDR]]</f>
        <v>0.7258989860356474</v>
      </c>
      <c r="M107" s="12">
        <f>(Tabla1[[#This Row],[Lista 1 (20%)]]-Tabla1[[#This Row],[PrecioFábrica]])/Tabla1[[#This Row],[Lista 1 (20%)]]</f>
        <v>0.65737373254455922</v>
      </c>
      <c r="N107" s="12">
        <f>(Tabla1[[#This Row],[Lista 2 (30%)]]-Tabla1[[#This Row],[PrecioFábrica]])/Tabla1[[#This Row],[Lista 2 (30%)]]</f>
        <v>0.60842712290806766</v>
      </c>
      <c r="O107" s="12">
        <f>(Tabla1[[#This Row],[Lista 3 (40%)]]-Tabla1[[#This Row],[PrecioFábrica]])/Tabla1[[#This Row],[Lista 3 (40%)]]</f>
        <v>0.543164976726079</v>
      </c>
    </row>
    <row r="108" spans="1:15">
      <c r="A108" t="s">
        <v>6</v>
      </c>
      <c r="B108" t="s">
        <v>117</v>
      </c>
      <c r="C108" t="s">
        <v>919</v>
      </c>
      <c r="D108" t="s">
        <v>811</v>
      </c>
      <c r="E108" t="s">
        <v>5</v>
      </c>
      <c r="F108" s="3">
        <v>52.083333333333336</v>
      </c>
      <c r="G108" s="10">
        <f>VLOOKUP(Tabla1[[#This Row],[Código Unificador]],PRECIOS_COMPETENCIA!B:D,3,FALSE)</f>
        <v>193.125</v>
      </c>
      <c r="H108" s="10">
        <f>Tabla1[[#This Row],[PVP Competencia]]*0.98</f>
        <v>189.26249999999999</v>
      </c>
      <c r="I108" s="10">
        <f>Tabla1[[#This Row],[Precio Lista CDR]]*0.8</f>
        <v>151.41</v>
      </c>
      <c r="J108" s="10">
        <f>Tabla1[[#This Row],[Precio Lista CDR]]*0.7</f>
        <v>132.48374999999999</v>
      </c>
      <c r="K108" s="10">
        <f>Tabla1[[#This Row],[Precio Lista CDR]]*0.6</f>
        <v>113.55749999999999</v>
      </c>
      <c r="L108" s="12">
        <f>(Tabla1[[#This Row],[Precio Lista CDR]]-Tabla1[[#This Row],[PrecioFábrica]])/Tabla1[[#This Row],[Precio Lista CDR]]</f>
        <v>0.72480901745811588</v>
      </c>
      <c r="M108" s="12">
        <f>(Tabla1[[#This Row],[Lista 1 (20%)]]-Tabla1[[#This Row],[PrecioFábrica]])/Tabla1[[#This Row],[Lista 1 (20%)]]</f>
        <v>0.65601127182264485</v>
      </c>
      <c r="N108" s="12">
        <f>(Tabla1[[#This Row],[Lista 2 (30%)]]-Tabla1[[#This Row],[PrecioFábrica]])/Tabla1[[#This Row],[Lista 2 (30%)]]</f>
        <v>0.60687002494016551</v>
      </c>
      <c r="O108" s="12">
        <f>(Tabla1[[#This Row],[Lista 3 (40%)]]-Tabla1[[#This Row],[PrecioFábrica]])/Tabla1[[#This Row],[Lista 3 (40%)]]</f>
        <v>0.54134836243019313</v>
      </c>
    </row>
    <row r="109" spans="1:15">
      <c r="A109" t="s">
        <v>9</v>
      </c>
      <c r="B109" t="s">
        <v>118</v>
      </c>
      <c r="C109" t="s">
        <v>920</v>
      </c>
      <c r="D109" t="s">
        <v>811</v>
      </c>
      <c r="E109" t="s">
        <v>5</v>
      </c>
      <c r="F109" s="3">
        <v>17.258333333333336</v>
      </c>
      <c r="G109" s="10">
        <f>VLOOKUP(Tabla1[[#This Row],[Código Unificador]],PRECIOS_COMPETENCIA!B:D,3,FALSE)</f>
        <v>63.052116666666684</v>
      </c>
      <c r="H109" s="10">
        <f>Tabla1[[#This Row],[PVP Competencia]]*0.98</f>
        <v>61.791074333333349</v>
      </c>
      <c r="I109" s="10">
        <f>Tabla1[[#This Row],[Precio Lista CDR]]*0.8</f>
        <v>49.432859466666685</v>
      </c>
      <c r="J109" s="10">
        <f>Tabla1[[#This Row],[Precio Lista CDR]]*0.7</f>
        <v>43.253752033333342</v>
      </c>
      <c r="K109" s="10">
        <f>Tabla1[[#This Row],[Precio Lista CDR]]*0.6</f>
        <v>37.074644600000006</v>
      </c>
      <c r="L109" s="12">
        <f>(Tabla1[[#This Row],[Precio Lista CDR]]-Tabla1[[#This Row],[PrecioFábrica]])/Tabla1[[#This Row],[Precio Lista CDR]]</f>
        <v>0.72069860381075646</v>
      </c>
      <c r="M109" s="12">
        <f>(Tabla1[[#This Row],[Lista 1 (20%)]]-Tabla1[[#This Row],[PrecioFábrica]])/Tabla1[[#This Row],[Lista 1 (20%)]]</f>
        <v>0.65087325476344549</v>
      </c>
      <c r="N109" s="12">
        <f>(Tabla1[[#This Row],[Lista 2 (30%)]]-Tabla1[[#This Row],[PrecioFábrica]])/Tabla1[[#This Row],[Lista 2 (30%)]]</f>
        <v>0.60099800544393778</v>
      </c>
      <c r="O109" s="12">
        <f>(Tabla1[[#This Row],[Lista 3 (40%)]]-Tabla1[[#This Row],[PrecioFábrica]])/Tabla1[[#This Row],[Lista 3 (40%)]]</f>
        <v>0.53449767301792739</v>
      </c>
    </row>
    <row r="110" spans="1:15">
      <c r="A110" t="s">
        <v>9</v>
      </c>
      <c r="B110" t="s">
        <v>119</v>
      </c>
      <c r="C110" t="s">
        <v>921</v>
      </c>
      <c r="D110" t="s">
        <v>811</v>
      </c>
      <c r="E110" t="s">
        <v>5</v>
      </c>
      <c r="F110" s="3">
        <v>28.191666666666666</v>
      </c>
      <c r="G110" s="10">
        <f>VLOOKUP(Tabla1[[#This Row],[Código Unificador]],PRECIOS_COMPETENCIA!B:D,3,FALSE)</f>
        <v>104.208508333333</v>
      </c>
      <c r="H110" s="10">
        <f>Tabla1[[#This Row],[PVP Competencia]]*0.98</f>
        <v>102.12433816666633</v>
      </c>
      <c r="I110" s="10">
        <f>Tabla1[[#This Row],[Precio Lista CDR]]*0.8</f>
        <v>81.69947053333307</v>
      </c>
      <c r="J110" s="10">
        <f>Tabla1[[#This Row],[Precio Lista CDR]]*0.7</f>
        <v>71.487036716666424</v>
      </c>
      <c r="K110" s="10">
        <f>Tabla1[[#This Row],[Precio Lista CDR]]*0.6</f>
        <v>61.274602899999799</v>
      </c>
      <c r="L110" s="12">
        <f>(Tabla1[[#This Row],[Precio Lista CDR]]-Tabla1[[#This Row],[PrecioFábrica]])/Tabla1[[#This Row],[Precio Lista CDR]]</f>
        <v>0.72394761941411045</v>
      </c>
      <c r="M110" s="12">
        <f>(Tabla1[[#This Row],[Lista 1 (20%)]]-Tabla1[[#This Row],[PrecioFábrica]])/Tabla1[[#This Row],[Lista 1 (20%)]]</f>
        <v>0.6549345242676381</v>
      </c>
      <c r="N110" s="12">
        <f>(Tabla1[[#This Row],[Lista 2 (30%)]]-Tabla1[[#This Row],[PrecioFábrica]])/Tabla1[[#This Row],[Lista 2 (30%)]]</f>
        <v>0.60563945630587201</v>
      </c>
      <c r="O110" s="12">
        <f>(Tabla1[[#This Row],[Lista 3 (40%)]]-Tabla1[[#This Row],[PrecioFábrica]])/Tabla1[[#This Row],[Lista 3 (40%)]]</f>
        <v>0.53991269902351724</v>
      </c>
    </row>
    <row r="111" spans="1:15">
      <c r="A111" t="s">
        <v>6</v>
      </c>
      <c r="B111" t="s">
        <v>120</v>
      </c>
      <c r="C111" t="s">
        <v>922</v>
      </c>
      <c r="D111" t="s">
        <v>811</v>
      </c>
      <c r="E111" t="s">
        <v>5</v>
      </c>
      <c r="F111" s="3">
        <v>5.8666666666666671</v>
      </c>
      <c r="G111" s="10">
        <f>VLOOKUP(Tabla1[[#This Row],[Código Unificador]],PRECIOS_COMPETENCIA!B:D,3,FALSE)</f>
        <v>27.523733333333336</v>
      </c>
      <c r="H111" s="10">
        <f>Tabla1[[#This Row],[PVP Competencia]]*0.98</f>
        <v>26.97325866666667</v>
      </c>
      <c r="I111" s="10">
        <f>Tabla1[[#This Row],[Precio Lista CDR]]*0.8</f>
        <v>21.578606933333337</v>
      </c>
      <c r="J111" s="10">
        <f>Tabla1[[#This Row],[Precio Lista CDR]]*0.7</f>
        <v>18.881281066666666</v>
      </c>
      <c r="K111" s="10">
        <f>Tabla1[[#This Row],[Precio Lista CDR]]*0.6</f>
        <v>16.1839552</v>
      </c>
      <c r="L111" s="12">
        <f>(Tabla1[[#This Row],[Precio Lista CDR]]-Tabla1[[#This Row],[PrecioFábrica]])/Tabla1[[#This Row],[Precio Lista CDR]]</f>
        <v>0.78250063371406264</v>
      </c>
      <c r="M111" s="12">
        <f>(Tabla1[[#This Row],[Lista 1 (20%)]]-Tabla1[[#This Row],[PrecioFábrica]])/Tabla1[[#This Row],[Lista 1 (20%)]]</f>
        <v>0.72812579214257833</v>
      </c>
      <c r="N111" s="12">
        <f>(Tabla1[[#This Row],[Lista 2 (30%)]]-Tabla1[[#This Row],[PrecioFábrica]])/Tabla1[[#This Row],[Lista 2 (30%)]]</f>
        <v>0.68928661959151805</v>
      </c>
      <c r="O111" s="12">
        <f>(Tabla1[[#This Row],[Lista 3 (40%)]]-Tabla1[[#This Row],[PrecioFábrica]])/Tabla1[[#This Row],[Lista 3 (40%)]]</f>
        <v>0.63750105619010444</v>
      </c>
    </row>
    <row r="112" spans="1:15">
      <c r="A112" t="s">
        <v>7</v>
      </c>
      <c r="B112" t="s">
        <v>121</v>
      </c>
      <c r="C112" t="s">
        <v>923</v>
      </c>
      <c r="D112" t="s">
        <v>811</v>
      </c>
      <c r="E112" t="s">
        <v>5</v>
      </c>
      <c r="F112" s="3">
        <v>5.8583333333333334</v>
      </c>
      <c r="G112" s="10">
        <f>VLOOKUP(Tabla1[[#This Row],[Código Unificador]],PRECIOS_COMPETENCIA!B:D,3,FALSE)</f>
        <v>28.008516666666669</v>
      </c>
      <c r="H112" s="10">
        <f>Tabla1[[#This Row],[PVP Competencia]]*0.98</f>
        <v>27.448346333333333</v>
      </c>
      <c r="I112" s="10">
        <f>Tabla1[[#This Row],[Precio Lista CDR]]*0.8</f>
        <v>21.958677066666667</v>
      </c>
      <c r="J112" s="10">
        <f>Tabla1[[#This Row],[Precio Lista CDR]]*0.7</f>
        <v>19.213842433333333</v>
      </c>
      <c r="K112" s="10">
        <f>Tabla1[[#This Row],[Precio Lista CDR]]*0.6</f>
        <v>16.4690078</v>
      </c>
      <c r="L112" s="12">
        <f>(Tabla1[[#This Row],[Precio Lista CDR]]-Tabla1[[#This Row],[PrecioFábrica]])/Tabla1[[#This Row],[Precio Lista CDR]]</f>
        <v>0.78656880592405809</v>
      </c>
      <c r="M112" s="12">
        <f>(Tabla1[[#This Row],[Lista 1 (20%)]]-Tabla1[[#This Row],[PrecioFábrica]])/Tabla1[[#This Row],[Lista 1 (20%)]]</f>
        <v>0.73321100740507261</v>
      </c>
      <c r="N112" s="12">
        <f>(Tabla1[[#This Row],[Lista 2 (30%)]]-Tabla1[[#This Row],[PrecioFábrica]])/Tabla1[[#This Row],[Lista 2 (30%)]]</f>
        <v>0.69509829417722591</v>
      </c>
      <c r="O112" s="12">
        <f>(Tabla1[[#This Row],[Lista 3 (40%)]]-Tabla1[[#This Row],[PrecioFábrica]])/Tabla1[[#This Row],[Lista 3 (40%)]]</f>
        <v>0.64428134320676356</v>
      </c>
    </row>
    <row r="113" spans="1:15">
      <c r="A113" t="s">
        <v>9</v>
      </c>
      <c r="B113" t="s">
        <v>122</v>
      </c>
      <c r="C113" t="s">
        <v>924</v>
      </c>
      <c r="D113" t="s">
        <v>811</v>
      </c>
      <c r="E113" t="s">
        <v>5</v>
      </c>
      <c r="F113" s="3">
        <v>6.8083333333333336</v>
      </c>
      <c r="G113" s="10">
        <f>VLOOKUP(Tabla1[[#This Row],[Código Unificador]],PRECIOS_COMPETENCIA!B:D,3,FALSE)</f>
        <v>30.928816666666666</v>
      </c>
      <c r="H113" s="10">
        <f>Tabla1[[#This Row],[PVP Competencia]]*0.98</f>
        <v>30.310240333333333</v>
      </c>
      <c r="I113" s="10">
        <f>Tabla1[[#This Row],[Precio Lista CDR]]*0.8</f>
        <v>24.248192266666667</v>
      </c>
      <c r="J113" s="10">
        <f>Tabla1[[#This Row],[Precio Lista CDR]]*0.7</f>
        <v>21.217168233333332</v>
      </c>
      <c r="K113" s="10">
        <f>Tabla1[[#This Row],[Precio Lista CDR]]*0.6</f>
        <v>18.186144199999998</v>
      </c>
      <c r="L113" s="12">
        <f>(Tabla1[[#This Row],[Precio Lista CDR]]-Tabla1[[#This Row],[PrecioFábrica]])/Tabla1[[#This Row],[Precio Lista CDR]]</f>
        <v>0.77537844443133797</v>
      </c>
      <c r="M113" s="12">
        <f>(Tabla1[[#This Row],[Lista 1 (20%)]]-Tabla1[[#This Row],[PrecioFábrica]])/Tabla1[[#This Row],[Lista 1 (20%)]]</f>
        <v>0.71922305553917254</v>
      </c>
      <c r="N113" s="12">
        <f>(Tabla1[[#This Row],[Lista 2 (30%)]]-Tabla1[[#This Row],[PrecioFábrica]])/Tabla1[[#This Row],[Lista 2 (30%)]]</f>
        <v>0.67911206347333997</v>
      </c>
      <c r="O113" s="12">
        <f>(Tabla1[[#This Row],[Lista 3 (40%)]]-Tabla1[[#This Row],[PrecioFábrica]])/Tabla1[[#This Row],[Lista 3 (40%)]]</f>
        <v>0.62563074071889657</v>
      </c>
    </row>
    <row r="114" spans="1:15">
      <c r="A114" t="s">
        <v>9</v>
      </c>
      <c r="B114" t="s">
        <v>123</v>
      </c>
      <c r="C114" t="s">
        <v>925</v>
      </c>
      <c r="D114" t="s">
        <v>811</v>
      </c>
      <c r="E114" t="s">
        <v>5</v>
      </c>
      <c r="F114" s="3">
        <v>26</v>
      </c>
      <c r="G114" s="10">
        <f>VLOOKUP(Tabla1[[#This Row],[Código Unificador]],PRECIOS_COMPETENCIA!B:D,3,FALSE)</f>
        <v>89.169999999999987</v>
      </c>
      <c r="H114" s="10">
        <f>Tabla1[[#This Row],[PVP Competencia]]*0.98</f>
        <v>87.386599999999987</v>
      </c>
      <c r="I114" s="10">
        <f>Tabla1[[#This Row],[Precio Lista CDR]]*0.8</f>
        <v>69.909279999999995</v>
      </c>
      <c r="J114" s="10">
        <f>Tabla1[[#This Row],[Precio Lista CDR]]*0.7</f>
        <v>61.170619999999985</v>
      </c>
      <c r="K114" s="10">
        <f>Tabla1[[#This Row],[Precio Lista CDR]]*0.6</f>
        <v>52.431959999999989</v>
      </c>
      <c r="L114" s="12">
        <f>(Tabla1[[#This Row],[Precio Lista CDR]]-Tabla1[[#This Row],[PrecioFábrica]])/Tabla1[[#This Row],[Precio Lista CDR]]</f>
        <v>0.7024715459807338</v>
      </c>
      <c r="M114" s="12">
        <f>(Tabla1[[#This Row],[Lista 1 (20%)]]-Tabla1[[#This Row],[PrecioFábrica]])/Tabla1[[#This Row],[Lista 1 (20%)]]</f>
        <v>0.62808943247591731</v>
      </c>
      <c r="N114" s="12">
        <f>(Tabla1[[#This Row],[Lista 2 (30%)]]-Tabla1[[#This Row],[PrecioFábrica]])/Tabla1[[#This Row],[Lista 2 (30%)]]</f>
        <v>0.57495935140104826</v>
      </c>
      <c r="O114" s="12">
        <f>(Tabla1[[#This Row],[Lista 3 (40%)]]-Tabla1[[#This Row],[PrecioFábrica]])/Tabla1[[#This Row],[Lista 3 (40%)]]</f>
        <v>0.50411924330122304</v>
      </c>
    </row>
    <row r="115" spans="1:15">
      <c r="A115" t="s">
        <v>9</v>
      </c>
      <c r="B115" t="s">
        <v>124</v>
      </c>
      <c r="C115" t="s">
        <v>926</v>
      </c>
      <c r="D115" t="s">
        <v>811</v>
      </c>
      <c r="E115" t="s">
        <v>5</v>
      </c>
      <c r="F115" s="3">
        <v>77.39166666666668</v>
      </c>
      <c r="G115" s="10">
        <f>VLOOKUP(Tabla1[[#This Row],[Código Unificador]],PRECIOS_COMPETENCIA!B:D,3,FALSE)</f>
        <v>243.41326666666671</v>
      </c>
      <c r="H115" s="10">
        <f>Tabla1[[#This Row],[PVP Competencia]]*0.98</f>
        <v>238.54500133333337</v>
      </c>
      <c r="I115" s="10">
        <f>Tabla1[[#This Row],[Precio Lista CDR]]*0.8</f>
        <v>190.83600106666671</v>
      </c>
      <c r="J115" s="10">
        <f>Tabla1[[#This Row],[Precio Lista CDR]]*0.7</f>
        <v>166.98150093333336</v>
      </c>
      <c r="K115" s="10">
        <f>Tabla1[[#This Row],[Precio Lista CDR]]*0.6</f>
        <v>143.12700080000002</v>
      </c>
      <c r="L115" s="12">
        <f>(Tabla1[[#This Row],[Precio Lista CDR]]-Tabla1[[#This Row],[PrecioFábrica]])/Tabla1[[#This Row],[Precio Lista CDR]]</f>
        <v>0.67556785414034892</v>
      </c>
      <c r="M115" s="12">
        <f>(Tabla1[[#This Row],[Lista 1 (20%)]]-Tabla1[[#This Row],[PrecioFábrica]])/Tabla1[[#This Row],[Lista 1 (20%)]]</f>
        <v>0.5944598176754361</v>
      </c>
      <c r="N115" s="12">
        <f>(Tabla1[[#This Row],[Lista 2 (30%)]]-Tabla1[[#This Row],[PrecioFábrica]])/Tabla1[[#This Row],[Lista 2 (30%)]]</f>
        <v>0.5365255059147841</v>
      </c>
      <c r="O115" s="12">
        <f>(Tabla1[[#This Row],[Lista 3 (40%)]]-Tabla1[[#This Row],[PrecioFábrica]])/Tabla1[[#This Row],[Lista 3 (40%)]]</f>
        <v>0.45927975690058148</v>
      </c>
    </row>
    <row r="116" spans="1:15">
      <c r="A116" t="s">
        <v>9</v>
      </c>
      <c r="B116" t="s">
        <v>125</v>
      </c>
      <c r="C116" t="s">
        <v>927</v>
      </c>
      <c r="D116" t="s">
        <v>811</v>
      </c>
      <c r="E116" t="s">
        <v>5</v>
      </c>
      <c r="F116" s="3">
        <v>47.325000000000003</v>
      </c>
      <c r="G116" s="10">
        <f>VLOOKUP(Tabla1[[#This Row],[Código Unificador]],PRECIOS_COMPETENCIA!B:D,3,FALSE)</f>
        <v>152.73220000000001</v>
      </c>
      <c r="H116" s="10">
        <f>Tabla1[[#This Row],[PVP Competencia]]*0.98</f>
        <v>149.67755600000001</v>
      </c>
      <c r="I116" s="10">
        <f>Tabla1[[#This Row],[Precio Lista CDR]]*0.8</f>
        <v>119.74204480000002</v>
      </c>
      <c r="J116" s="10">
        <f>Tabla1[[#This Row],[Precio Lista CDR]]*0.7</f>
        <v>104.7742892</v>
      </c>
      <c r="K116" s="10">
        <f>Tabla1[[#This Row],[Precio Lista CDR]]*0.6</f>
        <v>89.806533600000009</v>
      </c>
      <c r="L116" s="12">
        <f>(Tabla1[[#This Row],[Precio Lista CDR]]-Tabla1[[#This Row],[PrecioFábrica]])/Tabla1[[#This Row],[Precio Lista CDR]]</f>
        <v>0.68382033175367984</v>
      </c>
      <c r="M116" s="12">
        <f>(Tabla1[[#This Row],[Lista 1 (20%)]]-Tabla1[[#This Row],[PrecioFábrica]])/Tabla1[[#This Row],[Lista 1 (20%)]]</f>
        <v>0.60477541469209994</v>
      </c>
      <c r="N116" s="12">
        <f>(Tabla1[[#This Row],[Lista 2 (30%)]]-Tabla1[[#This Row],[PrecioFábrica]])/Tabla1[[#This Row],[Lista 2 (30%)]]</f>
        <v>0.54831475964811405</v>
      </c>
      <c r="O116" s="12">
        <f>(Tabla1[[#This Row],[Lista 3 (40%)]]-Tabla1[[#This Row],[PrecioFábrica]])/Tabla1[[#This Row],[Lista 3 (40%)]]</f>
        <v>0.47303388625613318</v>
      </c>
    </row>
    <row r="117" spans="1:15">
      <c r="A117" t="s">
        <v>9</v>
      </c>
      <c r="B117" t="s">
        <v>126</v>
      </c>
      <c r="C117" t="s">
        <v>928</v>
      </c>
      <c r="D117" t="s">
        <v>811</v>
      </c>
      <c r="E117" t="s">
        <v>5</v>
      </c>
      <c r="F117" s="3">
        <v>33.233333333333334</v>
      </c>
      <c r="G117" s="10">
        <f>VLOOKUP(Tabla1[[#This Row],[Código Unificador]],PRECIOS_COMPETENCIA!B:D,3,FALSE)</f>
        <v>119.8</v>
      </c>
      <c r="H117" s="10">
        <f>Tabla1[[#This Row],[PVP Competencia]]*0.98</f>
        <v>117.404</v>
      </c>
      <c r="I117" s="10">
        <f>Tabla1[[#This Row],[Precio Lista CDR]]*0.8</f>
        <v>93.923200000000008</v>
      </c>
      <c r="J117" s="10">
        <f>Tabla1[[#This Row],[Precio Lista CDR]]*0.7</f>
        <v>82.182799999999986</v>
      </c>
      <c r="K117" s="10">
        <f>Tabla1[[#This Row],[Precio Lista CDR]]*0.6</f>
        <v>70.442399999999992</v>
      </c>
      <c r="L117" s="12">
        <f>(Tabla1[[#This Row],[Precio Lista CDR]]-Tabla1[[#This Row],[PrecioFábrica]])/Tabla1[[#This Row],[Precio Lista CDR]]</f>
        <v>0.71693184786435438</v>
      </c>
      <c r="M117" s="12">
        <f>(Tabla1[[#This Row],[Lista 1 (20%)]]-Tabla1[[#This Row],[PrecioFábrica]])/Tabla1[[#This Row],[Lista 1 (20%)]]</f>
        <v>0.646164809830443</v>
      </c>
      <c r="N117" s="12">
        <f>(Tabla1[[#This Row],[Lista 2 (30%)]]-Tabla1[[#This Row],[PrecioFábrica]])/Tabla1[[#This Row],[Lista 2 (30%)]]</f>
        <v>0.59561692552050627</v>
      </c>
      <c r="O117" s="12">
        <f>(Tabla1[[#This Row],[Lista 3 (40%)]]-Tabla1[[#This Row],[PrecioFábrica]])/Tabla1[[#This Row],[Lista 3 (40%)]]</f>
        <v>0.52821974644059067</v>
      </c>
    </row>
    <row r="118" spans="1:15">
      <c r="A118" t="s">
        <v>6</v>
      </c>
      <c r="B118" t="s">
        <v>127</v>
      </c>
      <c r="C118" t="s">
        <v>929</v>
      </c>
      <c r="D118" t="s">
        <v>811</v>
      </c>
      <c r="E118" t="s">
        <v>5</v>
      </c>
      <c r="F118" s="3">
        <v>9.4416666666666664</v>
      </c>
      <c r="G118" s="10">
        <f>VLOOKUP(Tabla1[[#This Row],[Código Unificador]],PRECIOS_COMPETENCIA!B:D,3,FALSE)</f>
        <v>37.928449999999998</v>
      </c>
      <c r="H118" s="10">
        <f>Tabla1[[#This Row],[PVP Competencia]]*0.98</f>
        <v>37.169880999999997</v>
      </c>
      <c r="I118" s="10">
        <f>Tabla1[[#This Row],[Precio Lista CDR]]*0.8</f>
        <v>29.7359048</v>
      </c>
      <c r="J118" s="10">
        <f>Tabla1[[#This Row],[Precio Lista CDR]]*0.7</f>
        <v>26.018916699999995</v>
      </c>
      <c r="K118" s="10">
        <f>Tabla1[[#This Row],[Precio Lista CDR]]*0.6</f>
        <v>22.301928599999997</v>
      </c>
      <c r="L118" s="12">
        <f>(Tabla1[[#This Row],[Precio Lista CDR]]-Tabla1[[#This Row],[PrecioFábrica]])/Tabla1[[#This Row],[Precio Lista CDR]]</f>
        <v>0.74598609377666103</v>
      </c>
      <c r="M118" s="12">
        <f>(Tabla1[[#This Row],[Lista 1 (20%)]]-Tabla1[[#This Row],[PrecioFábrica]])/Tabla1[[#This Row],[Lista 1 (20%)]]</f>
        <v>0.68248261722082637</v>
      </c>
      <c r="N118" s="12">
        <f>(Tabla1[[#This Row],[Lista 2 (30%)]]-Tabla1[[#This Row],[PrecioFábrica]])/Tabla1[[#This Row],[Lista 2 (30%)]]</f>
        <v>0.63712299110951576</v>
      </c>
      <c r="O118" s="12">
        <f>(Tabla1[[#This Row],[Lista 3 (40%)]]-Tabla1[[#This Row],[PrecioFábrica]])/Tabla1[[#This Row],[Lista 3 (40%)]]</f>
        <v>0.57664348962776846</v>
      </c>
    </row>
    <row r="119" spans="1:15">
      <c r="A119" t="s">
        <v>6</v>
      </c>
      <c r="B119" t="s">
        <v>128</v>
      </c>
      <c r="C119" t="s">
        <v>930</v>
      </c>
      <c r="D119" t="s">
        <v>811</v>
      </c>
      <c r="E119" t="s">
        <v>5</v>
      </c>
      <c r="F119" s="3">
        <v>13.383333333333336</v>
      </c>
      <c r="G119" s="10">
        <f>VLOOKUP(Tabla1[[#This Row],[Código Unificador]],PRECIOS_COMPETENCIA!B:D,3,FALSE)</f>
        <v>65.209999999999994</v>
      </c>
      <c r="H119" s="10">
        <f>Tabla1[[#This Row],[PVP Competencia]]*0.98</f>
        <v>63.905799999999992</v>
      </c>
      <c r="I119" s="10">
        <f>Tabla1[[#This Row],[Precio Lista CDR]]*0.8</f>
        <v>51.124639999999999</v>
      </c>
      <c r="J119" s="10">
        <f>Tabla1[[#This Row],[Precio Lista CDR]]*0.7</f>
        <v>44.734059999999992</v>
      </c>
      <c r="K119" s="10">
        <f>Tabla1[[#This Row],[Precio Lista CDR]]*0.6</f>
        <v>38.343479999999992</v>
      </c>
      <c r="L119" s="12">
        <f>(Tabla1[[#This Row],[Precio Lista CDR]]-Tabla1[[#This Row],[PrecioFábrica]])/Tabla1[[#This Row],[Precio Lista CDR]]</f>
        <v>0.79057717244235526</v>
      </c>
      <c r="M119" s="12">
        <f>(Tabla1[[#This Row],[Lista 1 (20%)]]-Tabla1[[#This Row],[PrecioFábrica]])/Tabla1[[#This Row],[Lista 1 (20%)]]</f>
        <v>0.73822146555294399</v>
      </c>
      <c r="N119" s="12">
        <f>(Tabla1[[#This Row],[Lista 2 (30%)]]-Tabla1[[#This Row],[PrecioFábrica]])/Tabla1[[#This Row],[Lista 2 (30%)]]</f>
        <v>0.70082453206050743</v>
      </c>
      <c r="O119" s="12">
        <f>(Tabla1[[#This Row],[Lista 3 (40%)]]-Tabla1[[#This Row],[PrecioFábrica]])/Tabla1[[#This Row],[Lista 3 (40%)]]</f>
        <v>0.65096195407059199</v>
      </c>
    </row>
    <row r="120" spans="1:15">
      <c r="A120" t="s">
        <v>6</v>
      </c>
      <c r="B120" t="s">
        <v>129</v>
      </c>
      <c r="C120" t="s">
        <v>931</v>
      </c>
      <c r="D120" t="s">
        <v>811</v>
      </c>
      <c r="E120" t="s">
        <v>5</v>
      </c>
      <c r="F120" s="3">
        <v>17.666666666666668</v>
      </c>
      <c r="G120" s="10">
        <f>VLOOKUP(Tabla1[[#This Row],[Código Unificador]],PRECIOS_COMPETENCIA!B:D,3,FALSE)</f>
        <v>65.332000000000022</v>
      </c>
      <c r="H120" s="10">
        <f>Tabla1[[#This Row],[PVP Competencia]]*0.98</f>
        <v>64.02536000000002</v>
      </c>
      <c r="I120" s="10">
        <f>Tabla1[[#This Row],[Precio Lista CDR]]*0.8</f>
        <v>51.220288000000018</v>
      </c>
      <c r="J120" s="10">
        <f>Tabla1[[#This Row],[Precio Lista CDR]]*0.7</f>
        <v>44.817752000000013</v>
      </c>
      <c r="K120" s="10">
        <f>Tabla1[[#This Row],[Precio Lista CDR]]*0.6</f>
        <v>38.415216000000008</v>
      </c>
      <c r="L120" s="12">
        <f>(Tabla1[[#This Row],[Precio Lista CDR]]-Tabla1[[#This Row],[PrecioFábrica]])/Tabla1[[#This Row],[Precio Lista CDR]]</f>
        <v>0.72406767151849416</v>
      </c>
      <c r="M120" s="12">
        <f>(Tabla1[[#This Row],[Lista 1 (20%)]]-Tabla1[[#This Row],[PrecioFábrica]])/Tabla1[[#This Row],[Lista 1 (20%)]]</f>
        <v>0.65508458939811787</v>
      </c>
      <c r="N120" s="12">
        <f>(Tabla1[[#This Row],[Lista 2 (30%)]]-Tabla1[[#This Row],[PrecioFábrica]])/Tabla1[[#This Row],[Lista 2 (30%)]]</f>
        <v>0.60581095931213458</v>
      </c>
      <c r="O120" s="12">
        <f>(Tabla1[[#This Row],[Lista 3 (40%)]]-Tabla1[[#This Row],[PrecioFábrica]])/Tabla1[[#This Row],[Lista 3 (40%)]]</f>
        <v>0.5401127858641569</v>
      </c>
    </row>
    <row r="121" spans="1:15">
      <c r="A121" t="s">
        <v>6</v>
      </c>
      <c r="B121" t="s">
        <v>130</v>
      </c>
      <c r="C121" t="s">
        <v>932</v>
      </c>
      <c r="D121" t="s">
        <v>811</v>
      </c>
      <c r="E121" t="s">
        <v>5</v>
      </c>
      <c r="F121" s="3">
        <v>17.491666666666667</v>
      </c>
      <c r="G121" s="10">
        <f>VLOOKUP(Tabla1[[#This Row],[Código Unificador]],PRECIOS_COMPETENCIA!B:D,3,FALSE)</f>
        <v>62.754866666666672</v>
      </c>
      <c r="H121" s="10">
        <f>Tabla1[[#This Row],[PVP Competencia]]*0.98</f>
        <v>61.49976933333334</v>
      </c>
      <c r="I121" s="10">
        <f>Tabla1[[#This Row],[Precio Lista CDR]]*0.8</f>
        <v>49.199815466666678</v>
      </c>
      <c r="J121" s="10">
        <f>Tabla1[[#This Row],[Precio Lista CDR]]*0.7</f>
        <v>43.049838533333336</v>
      </c>
      <c r="K121" s="10">
        <f>Tabla1[[#This Row],[Precio Lista CDR]]*0.6</f>
        <v>36.899861600000001</v>
      </c>
      <c r="L121" s="12">
        <f>(Tabla1[[#This Row],[Precio Lista CDR]]-Tabla1[[#This Row],[PrecioFábrica]])/Tabla1[[#This Row],[Precio Lista CDR]]</f>
        <v>0.71558158906482183</v>
      </c>
      <c r="M121" s="12">
        <f>(Tabla1[[#This Row],[Lista 1 (20%)]]-Tabla1[[#This Row],[PrecioFábrica]])/Tabla1[[#This Row],[Lista 1 (20%)]]</f>
        <v>0.64447698633102735</v>
      </c>
      <c r="N121" s="12">
        <f>(Tabla1[[#This Row],[Lista 2 (30%)]]-Tabla1[[#This Row],[PrecioFábrica]])/Tabla1[[#This Row],[Lista 2 (30%)]]</f>
        <v>0.59368798437831694</v>
      </c>
      <c r="O121" s="12">
        <f>(Tabla1[[#This Row],[Lista 3 (40%)]]-Tabla1[[#This Row],[PrecioFábrica]])/Tabla1[[#This Row],[Lista 3 (40%)]]</f>
        <v>0.52596931510803646</v>
      </c>
    </row>
    <row r="122" spans="1:15">
      <c r="A122" t="s">
        <v>7</v>
      </c>
      <c r="B122" t="s">
        <v>131</v>
      </c>
      <c r="C122" t="s">
        <v>933</v>
      </c>
      <c r="D122" t="s">
        <v>811</v>
      </c>
      <c r="E122" t="s">
        <v>5</v>
      </c>
      <c r="F122" s="3">
        <v>41.808333333333337</v>
      </c>
      <c r="G122" s="10">
        <f>VLOOKUP(Tabla1[[#This Row],[Código Unificador]],PRECIOS_COMPETENCIA!B:D,3,FALSE)</f>
        <v>144.88149166666668</v>
      </c>
      <c r="H122" s="10">
        <f>Tabla1[[#This Row],[PVP Competencia]]*0.98</f>
        <v>141.98386183333335</v>
      </c>
      <c r="I122" s="10">
        <f>Tabla1[[#This Row],[Precio Lista CDR]]*0.8</f>
        <v>113.58708946666668</v>
      </c>
      <c r="J122" s="10">
        <f>Tabla1[[#This Row],[Precio Lista CDR]]*0.7</f>
        <v>99.388703283333342</v>
      </c>
      <c r="K122" s="10">
        <f>Tabla1[[#This Row],[Precio Lista CDR]]*0.6</f>
        <v>85.190317100000001</v>
      </c>
      <c r="L122" s="12">
        <f>(Tabla1[[#This Row],[Precio Lista CDR]]-Tabla1[[#This Row],[PrecioFábrica]])/Tabla1[[#This Row],[Precio Lista CDR]]</f>
        <v>0.70554165245618039</v>
      </c>
      <c r="M122" s="12">
        <f>(Tabla1[[#This Row],[Lista 1 (20%)]]-Tabla1[[#This Row],[PrecioFábrica]])/Tabla1[[#This Row],[Lista 1 (20%)]]</f>
        <v>0.63192706557022549</v>
      </c>
      <c r="N122" s="12">
        <f>(Tabla1[[#This Row],[Lista 2 (30%)]]-Tabla1[[#This Row],[PrecioFábrica]])/Tabla1[[#This Row],[Lista 2 (30%)]]</f>
        <v>0.5793452177945434</v>
      </c>
      <c r="O122" s="12">
        <f>(Tabla1[[#This Row],[Lista 3 (40%)]]-Tabla1[[#This Row],[PrecioFábrica]])/Tabla1[[#This Row],[Lista 3 (40%)]]</f>
        <v>0.50923608742696724</v>
      </c>
    </row>
    <row r="123" spans="1:15">
      <c r="A123" t="s">
        <v>6</v>
      </c>
      <c r="B123" t="s">
        <v>132</v>
      </c>
      <c r="C123" t="s">
        <v>934</v>
      </c>
      <c r="D123" t="s">
        <v>811</v>
      </c>
      <c r="E123" t="s">
        <v>5</v>
      </c>
      <c r="F123" s="3">
        <v>10.541666666666668</v>
      </c>
      <c r="G123" s="10">
        <f>VLOOKUP(Tabla1[[#This Row],[Código Unificador]],PRECIOS_COMPETENCIA!B:D,3,FALSE)</f>
        <v>43.016500000000008</v>
      </c>
      <c r="H123" s="10">
        <f>Tabla1[[#This Row],[PVP Competencia]]*0.98</f>
        <v>42.15617000000001</v>
      </c>
      <c r="I123" s="10">
        <f>Tabla1[[#This Row],[Precio Lista CDR]]*0.8</f>
        <v>33.724936000000007</v>
      </c>
      <c r="J123" s="10">
        <f>Tabla1[[#This Row],[Precio Lista CDR]]*0.7</f>
        <v>29.509319000000005</v>
      </c>
      <c r="K123" s="10">
        <f>Tabla1[[#This Row],[Precio Lista CDR]]*0.6</f>
        <v>25.293702000000007</v>
      </c>
      <c r="L123" s="12">
        <f>(Tabla1[[#This Row],[Precio Lista CDR]]-Tabla1[[#This Row],[PrecioFábrica]])/Tabla1[[#This Row],[Precio Lista CDR]]</f>
        <v>0.74993775130267604</v>
      </c>
      <c r="M123" s="12">
        <f>(Tabla1[[#This Row],[Lista 1 (20%)]]-Tabla1[[#This Row],[PrecioFábrica]])/Tabla1[[#This Row],[Lista 1 (20%)]]</f>
        <v>0.68742218912834507</v>
      </c>
      <c r="N123" s="12">
        <f>(Tabla1[[#This Row],[Lista 2 (30%)]]-Tabla1[[#This Row],[PrecioFábrica]])/Tabla1[[#This Row],[Lista 2 (30%)]]</f>
        <v>0.64276821614668012</v>
      </c>
      <c r="O123" s="12">
        <f>(Tabla1[[#This Row],[Lista 3 (40%)]]-Tabla1[[#This Row],[PrecioFábrica]])/Tabla1[[#This Row],[Lista 3 (40%)]]</f>
        <v>0.58322958550446014</v>
      </c>
    </row>
    <row r="124" spans="1:15">
      <c r="A124" t="s">
        <v>7</v>
      </c>
      <c r="B124" t="s">
        <v>133</v>
      </c>
      <c r="C124" t="s">
        <v>935</v>
      </c>
      <c r="D124" t="s">
        <v>811</v>
      </c>
      <c r="E124" t="s">
        <v>5</v>
      </c>
      <c r="F124" s="3">
        <v>7.416666666666667</v>
      </c>
      <c r="G124" s="10">
        <f>VLOOKUP(Tabla1[[#This Row],[Código Unificador]],PRECIOS_COMPETENCIA!B:D,3,FALSE)</f>
        <v>32.36866666666667</v>
      </c>
      <c r="H124" s="10">
        <f>Tabla1[[#This Row],[PVP Competencia]]*0.98</f>
        <v>31.721293333333335</v>
      </c>
      <c r="I124" s="10">
        <f>Tabla1[[#This Row],[Precio Lista CDR]]*0.8</f>
        <v>25.37703466666667</v>
      </c>
      <c r="J124" s="10">
        <f>Tabla1[[#This Row],[Precio Lista CDR]]*0.7</f>
        <v>22.204905333333333</v>
      </c>
      <c r="K124" s="10">
        <f>Tabla1[[#This Row],[Precio Lista CDR]]*0.6</f>
        <v>19.032776000000002</v>
      </c>
      <c r="L124" s="12">
        <f>(Tabla1[[#This Row],[Precio Lista CDR]]-Tabla1[[#This Row],[PrecioFábrica]])/Tabla1[[#This Row],[Precio Lista CDR]]</f>
        <v>0.76619280340398055</v>
      </c>
      <c r="M124" s="12">
        <f>(Tabla1[[#This Row],[Lista 1 (20%)]]-Tabla1[[#This Row],[PrecioFábrica]])/Tabla1[[#This Row],[Lista 1 (20%)]]</f>
        <v>0.70774100425497577</v>
      </c>
      <c r="N124" s="12">
        <f>(Tabla1[[#This Row],[Lista 2 (30%)]]-Tabla1[[#This Row],[PrecioFábrica]])/Tabla1[[#This Row],[Lista 2 (30%)]]</f>
        <v>0.66598971914854366</v>
      </c>
      <c r="O124" s="12">
        <f>(Tabla1[[#This Row],[Lista 3 (40%)]]-Tabla1[[#This Row],[PrecioFábrica]])/Tabla1[[#This Row],[Lista 3 (40%)]]</f>
        <v>0.61032133900663432</v>
      </c>
    </row>
    <row r="125" spans="1:15">
      <c r="A125" t="s">
        <v>6</v>
      </c>
      <c r="B125" t="s">
        <v>134</v>
      </c>
      <c r="C125" t="s">
        <v>936</v>
      </c>
      <c r="D125" t="s">
        <v>811</v>
      </c>
      <c r="E125" t="s">
        <v>5</v>
      </c>
      <c r="F125" s="3">
        <v>6.2416666666666671</v>
      </c>
      <c r="G125" s="10">
        <f>VLOOKUP(Tabla1[[#This Row],[Código Unificador]],PRECIOS_COMPETENCIA!B:D,3,FALSE)</f>
        <v>29.005875000000003</v>
      </c>
      <c r="H125" s="10">
        <f>Tabla1[[#This Row],[PVP Competencia]]*0.98</f>
        <v>28.425757500000003</v>
      </c>
      <c r="I125" s="10">
        <f>Tabla1[[#This Row],[Precio Lista CDR]]*0.8</f>
        <v>22.740606000000003</v>
      </c>
      <c r="J125" s="10">
        <f>Tabla1[[#This Row],[Precio Lista CDR]]*0.7</f>
        <v>19.898030250000001</v>
      </c>
      <c r="K125" s="10">
        <f>Tabla1[[#This Row],[Precio Lista CDR]]*0.6</f>
        <v>17.0554545</v>
      </c>
      <c r="L125" s="12">
        <f>(Tabla1[[#This Row],[Precio Lista CDR]]-Tabla1[[#This Row],[PrecioFábrica]])/Tabla1[[#This Row],[Precio Lista CDR]]</f>
        <v>0.78042215175209784</v>
      </c>
      <c r="M125" s="12">
        <f>(Tabla1[[#This Row],[Lista 1 (20%)]]-Tabla1[[#This Row],[PrecioFábrica]])/Tabla1[[#This Row],[Lista 1 (20%)]]</f>
        <v>0.72552768969012227</v>
      </c>
      <c r="N125" s="12">
        <f>(Tabla1[[#This Row],[Lista 2 (30%)]]-Tabla1[[#This Row],[PrecioFábrica]])/Tabla1[[#This Row],[Lista 2 (30%)]]</f>
        <v>0.68631735964585405</v>
      </c>
      <c r="O125" s="12">
        <f>(Tabla1[[#This Row],[Lista 3 (40%)]]-Tabla1[[#This Row],[PrecioFábrica]])/Tabla1[[#This Row],[Lista 3 (40%)]]</f>
        <v>0.63403691958682973</v>
      </c>
    </row>
    <row r="126" spans="1:15">
      <c r="A126" t="s">
        <v>6</v>
      </c>
      <c r="B126" t="s">
        <v>135</v>
      </c>
      <c r="C126" t="s">
        <v>937</v>
      </c>
      <c r="D126" t="s">
        <v>811</v>
      </c>
      <c r="E126" t="s">
        <v>5</v>
      </c>
      <c r="F126" s="3">
        <v>6.1083333333333334</v>
      </c>
      <c r="G126" s="10">
        <f>VLOOKUP(Tabla1[[#This Row],[Código Unificador]],PRECIOS_COMPETENCIA!B:D,3,FALSE)</f>
        <v>28.068450000000002</v>
      </c>
      <c r="H126" s="10">
        <f>Tabla1[[#This Row],[PVP Competencia]]*0.98</f>
        <v>27.507081000000003</v>
      </c>
      <c r="I126" s="10">
        <f>Tabla1[[#This Row],[Precio Lista CDR]]*0.8</f>
        <v>22.005664800000005</v>
      </c>
      <c r="J126" s="10">
        <f>Tabla1[[#This Row],[Precio Lista CDR]]*0.7</f>
        <v>19.254956700000001</v>
      </c>
      <c r="K126" s="10">
        <f>Tabla1[[#This Row],[Precio Lista CDR]]*0.6</f>
        <v>16.5042486</v>
      </c>
      <c r="L126" s="12">
        <f>(Tabla1[[#This Row],[Precio Lista CDR]]-Tabla1[[#This Row],[PrecioFábrica]])/Tabla1[[#This Row],[Precio Lista CDR]]</f>
        <v>0.77793596734843173</v>
      </c>
      <c r="M126" s="12">
        <f>(Tabla1[[#This Row],[Lista 1 (20%)]]-Tabla1[[#This Row],[PrecioFábrica]])/Tabla1[[#This Row],[Lista 1 (20%)]]</f>
        <v>0.7224199591855397</v>
      </c>
      <c r="N126" s="12">
        <f>(Tabla1[[#This Row],[Lista 2 (30%)]]-Tabla1[[#This Row],[PrecioFábrica]])/Tabla1[[#This Row],[Lista 2 (30%)]]</f>
        <v>0.68276566764061675</v>
      </c>
      <c r="O126" s="12">
        <f>(Tabla1[[#This Row],[Lista 3 (40%)]]-Tabla1[[#This Row],[PrecioFábrica]])/Tabla1[[#This Row],[Lista 3 (40%)]]</f>
        <v>0.62989327891405278</v>
      </c>
    </row>
    <row r="127" spans="1:15">
      <c r="A127" t="s">
        <v>7</v>
      </c>
      <c r="B127" t="s">
        <v>136</v>
      </c>
      <c r="C127" t="s">
        <v>938</v>
      </c>
      <c r="D127" t="s">
        <v>811</v>
      </c>
      <c r="E127" t="s">
        <v>5</v>
      </c>
      <c r="F127" s="3">
        <v>18.758333333333336</v>
      </c>
      <c r="G127" s="10">
        <f>VLOOKUP(Tabla1[[#This Row],[Código Unificador]],PRECIOS_COMPETENCIA!B:D,3,FALSE)</f>
        <v>67.119125000000025</v>
      </c>
      <c r="H127" s="10">
        <f>Tabla1[[#This Row],[PVP Competencia]]*0.98</f>
        <v>65.776742500000026</v>
      </c>
      <c r="I127" s="10">
        <f>Tabla1[[#This Row],[Precio Lista CDR]]*0.8</f>
        <v>52.621394000000024</v>
      </c>
      <c r="J127" s="10">
        <f>Tabla1[[#This Row],[Precio Lista CDR]]*0.7</f>
        <v>46.043719750000015</v>
      </c>
      <c r="K127" s="10">
        <f>Tabla1[[#This Row],[Precio Lista CDR]]*0.6</f>
        <v>39.466045500000014</v>
      </c>
      <c r="L127" s="12">
        <f>(Tabla1[[#This Row],[Precio Lista CDR]]-Tabla1[[#This Row],[PrecioFábrica]])/Tabla1[[#This Row],[Precio Lista CDR]]</f>
        <v>0.71481814665216459</v>
      </c>
      <c r="M127" s="12">
        <f>(Tabla1[[#This Row],[Lista 1 (20%)]]-Tabla1[[#This Row],[PrecioFábrica]])/Tabla1[[#This Row],[Lista 1 (20%)]]</f>
        <v>0.64352268331520579</v>
      </c>
      <c r="N127" s="12">
        <f>(Tabla1[[#This Row],[Lista 2 (30%)]]-Tabla1[[#This Row],[PrecioFábrica]])/Tabla1[[#This Row],[Lista 2 (30%)]]</f>
        <v>0.59259735236023514</v>
      </c>
      <c r="O127" s="12">
        <f>(Tabla1[[#This Row],[Lista 3 (40%)]]-Tabla1[[#This Row],[PrecioFábrica]])/Tabla1[[#This Row],[Lista 3 (40%)]]</f>
        <v>0.52469691108694105</v>
      </c>
    </row>
    <row r="128" spans="1:15">
      <c r="A128" t="s">
        <v>6</v>
      </c>
      <c r="B128" t="s">
        <v>137</v>
      </c>
      <c r="C128" t="s">
        <v>939</v>
      </c>
      <c r="D128" t="s">
        <v>811</v>
      </c>
      <c r="E128" t="s">
        <v>5</v>
      </c>
      <c r="F128" s="3">
        <v>2.4583333333333335</v>
      </c>
      <c r="G128" s="10">
        <f>VLOOKUP(Tabla1[[#This Row],[Código Unificador]],PRECIOS_COMPETENCIA!B:D,3,FALSE)</f>
        <v>17.628208333333333</v>
      </c>
      <c r="H128" s="10">
        <f>Tabla1[[#This Row],[PVP Competencia]]*0.98</f>
        <v>17.275644166666666</v>
      </c>
      <c r="I128" s="10">
        <f>Tabla1[[#This Row],[Precio Lista CDR]]*0.8</f>
        <v>13.820515333333333</v>
      </c>
      <c r="J128" s="10">
        <f>Tabla1[[#This Row],[Precio Lista CDR]]*0.7</f>
        <v>12.092950916666666</v>
      </c>
      <c r="K128" s="10">
        <f>Tabla1[[#This Row],[Precio Lista CDR]]*0.6</f>
        <v>10.3653865</v>
      </c>
      <c r="L128" s="12">
        <f>(Tabla1[[#This Row],[Precio Lista CDR]]-Tabla1[[#This Row],[PrecioFábrica]])/Tabla1[[#This Row],[Precio Lista CDR]]</f>
        <v>0.85769946928655283</v>
      </c>
      <c r="M128" s="12">
        <f>(Tabla1[[#This Row],[Lista 1 (20%)]]-Tabla1[[#This Row],[PrecioFábrica]])/Tabla1[[#This Row],[Lista 1 (20%)]]</f>
        <v>0.82212433660819106</v>
      </c>
      <c r="N128" s="12">
        <f>(Tabla1[[#This Row],[Lista 2 (30%)]]-Tabla1[[#This Row],[PrecioFábrica]])/Tabla1[[#This Row],[Lista 2 (30%)]]</f>
        <v>0.79671352755221836</v>
      </c>
      <c r="O128" s="12">
        <f>(Tabla1[[#This Row],[Lista 3 (40%)]]-Tabla1[[#This Row],[PrecioFábrica]])/Tabla1[[#This Row],[Lista 3 (40%)]]</f>
        <v>0.76283244881092138</v>
      </c>
    </row>
    <row r="129" spans="1:15">
      <c r="A129" t="s">
        <v>6</v>
      </c>
      <c r="B129" t="s">
        <v>138</v>
      </c>
      <c r="C129" t="s">
        <v>940</v>
      </c>
      <c r="D129" t="s">
        <v>811</v>
      </c>
      <c r="E129" t="s">
        <v>5</v>
      </c>
      <c r="F129" s="3">
        <v>2.5083333333333333</v>
      </c>
      <c r="G129" s="10">
        <f>VLOOKUP(Tabla1[[#This Row],[Código Unificador]],PRECIOS_COMPETENCIA!B:D,3,FALSE)</f>
        <v>17.492391666666666</v>
      </c>
      <c r="H129" s="10">
        <f>Tabla1[[#This Row],[PVP Competencia]]*0.98</f>
        <v>17.142543833333331</v>
      </c>
      <c r="I129" s="10">
        <f>Tabla1[[#This Row],[Precio Lista CDR]]*0.8</f>
        <v>13.714035066666666</v>
      </c>
      <c r="J129" s="10">
        <f>Tabla1[[#This Row],[Precio Lista CDR]]*0.7</f>
        <v>11.999780683333331</v>
      </c>
      <c r="K129" s="10">
        <f>Tabla1[[#This Row],[Precio Lista CDR]]*0.6</f>
        <v>10.285526299999999</v>
      </c>
      <c r="L129" s="12">
        <f>(Tabla1[[#This Row],[Precio Lista CDR]]-Tabla1[[#This Row],[PrecioFábrica]])/Tabla1[[#This Row],[Precio Lista CDR]]</f>
        <v>0.8536778813156114</v>
      </c>
      <c r="M129" s="12">
        <f>(Tabla1[[#This Row],[Lista 1 (20%)]]-Tabla1[[#This Row],[PrecioFábrica]])/Tabla1[[#This Row],[Lista 1 (20%)]]</f>
        <v>0.81709735164451436</v>
      </c>
      <c r="N129" s="12">
        <f>(Tabla1[[#This Row],[Lista 2 (30%)]]-Tabla1[[#This Row],[PrecioFábrica]])/Tabla1[[#This Row],[Lista 2 (30%)]]</f>
        <v>0.79096840187944495</v>
      </c>
      <c r="O129" s="12">
        <f>(Tabla1[[#This Row],[Lista 3 (40%)]]-Tabla1[[#This Row],[PrecioFábrica]])/Tabla1[[#This Row],[Lista 3 (40%)]]</f>
        <v>0.75612980219268577</v>
      </c>
    </row>
    <row r="130" spans="1:15">
      <c r="A130" t="s">
        <v>6</v>
      </c>
      <c r="B130" t="s">
        <v>139</v>
      </c>
      <c r="C130" t="s">
        <v>941</v>
      </c>
      <c r="D130" t="s">
        <v>811</v>
      </c>
      <c r="E130" t="s">
        <v>5</v>
      </c>
      <c r="F130" s="3">
        <v>2.2416666666666667</v>
      </c>
      <c r="G130" s="10">
        <f>VLOOKUP(Tabla1[[#This Row],[Código Unificador]],PRECIOS_COMPETENCIA!B:D,3,FALSE)</f>
        <v>16.955891666666666</v>
      </c>
      <c r="H130" s="10">
        <f>Tabla1[[#This Row],[PVP Competencia]]*0.98</f>
        <v>16.616773833333333</v>
      </c>
      <c r="I130" s="10">
        <f>Tabla1[[#This Row],[Precio Lista CDR]]*0.8</f>
        <v>13.293419066666667</v>
      </c>
      <c r="J130" s="10">
        <f>Tabla1[[#This Row],[Precio Lista CDR]]*0.7</f>
        <v>11.631741683333333</v>
      </c>
      <c r="K130" s="10">
        <f>Tabla1[[#This Row],[Precio Lista CDR]]*0.6</f>
        <v>9.9700642999999989</v>
      </c>
      <c r="L130" s="12">
        <f>(Tabla1[[#This Row],[Precio Lista CDR]]-Tabla1[[#This Row],[PrecioFábrica]])/Tabla1[[#This Row],[Precio Lista CDR]]</f>
        <v>0.8650961558994158</v>
      </c>
      <c r="M130" s="12">
        <f>(Tabla1[[#This Row],[Lista 1 (20%)]]-Tabla1[[#This Row],[PrecioFábrica]])/Tabla1[[#This Row],[Lista 1 (20%)]]</f>
        <v>0.83137019487426977</v>
      </c>
      <c r="N130" s="12">
        <f>(Tabla1[[#This Row],[Lista 2 (30%)]]-Tabla1[[#This Row],[PrecioFábrica]])/Tabla1[[#This Row],[Lista 2 (30%)]]</f>
        <v>0.80728022271345112</v>
      </c>
      <c r="O130" s="12">
        <f>(Tabla1[[#This Row],[Lista 3 (40%)]]-Tabla1[[#This Row],[PrecioFábrica]])/Tabla1[[#This Row],[Lista 3 (40%)]]</f>
        <v>0.77516025983235959</v>
      </c>
    </row>
    <row r="131" spans="1:15">
      <c r="A131" t="s">
        <v>6</v>
      </c>
      <c r="B131" t="s">
        <v>140</v>
      </c>
      <c r="C131" t="s">
        <v>942</v>
      </c>
      <c r="D131" t="s">
        <v>811</v>
      </c>
      <c r="E131" t="s">
        <v>5</v>
      </c>
      <c r="F131" s="3">
        <v>2.4416666666666669</v>
      </c>
      <c r="G131" s="10">
        <f>VLOOKUP(Tabla1[[#This Row],[Código Unificador]],PRECIOS_COMPETENCIA!B:D,3,FALSE)</f>
        <v>17.293258333333334</v>
      </c>
      <c r="H131" s="10">
        <f>Tabla1[[#This Row],[PVP Competencia]]*0.98</f>
        <v>16.947393166666668</v>
      </c>
      <c r="I131" s="10">
        <f>Tabla1[[#This Row],[Precio Lista CDR]]*0.8</f>
        <v>13.557914533333335</v>
      </c>
      <c r="J131" s="10">
        <f>Tabla1[[#This Row],[Precio Lista CDR]]*0.7</f>
        <v>11.863175216666667</v>
      </c>
      <c r="K131" s="10">
        <f>Tabla1[[#This Row],[Precio Lista CDR]]*0.6</f>
        <v>10.1684359</v>
      </c>
      <c r="L131" s="12">
        <f>(Tabla1[[#This Row],[Precio Lista CDR]]-Tabla1[[#This Row],[PrecioFábrica]])/Tabla1[[#This Row],[Precio Lista CDR]]</f>
        <v>0.8559267114030783</v>
      </c>
      <c r="M131" s="12">
        <f>(Tabla1[[#This Row],[Lista 1 (20%)]]-Tabla1[[#This Row],[PrecioFábrica]])/Tabla1[[#This Row],[Lista 1 (20%)]]</f>
        <v>0.81990838925384779</v>
      </c>
      <c r="N131" s="12">
        <f>(Tabla1[[#This Row],[Lista 2 (30%)]]-Tabla1[[#This Row],[PrecioFábrica]])/Tabla1[[#This Row],[Lista 2 (30%)]]</f>
        <v>0.79418101629011173</v>
      </c>
      <c r="O131" s="12">
        <f>(Tabla1[[#This Row],[Lista 3 (40%)]]-Tabla1[[#This Row],[PrecioFábrica]])/Tabla1[[#This Row],[Lista 3 (40%)]]</f>
        <v>0.75987785233846372</v>
      </c>
    </row>
    <row r="132" spans="1:15">
      <c r="A132" t="s">
        <v>6</v>
      </c>
      <c r="B132" t="s">
        <v>141</v>
      </c>
      <c r="C132" t="s">
        <v>943</v>
      </c>
      <c r="D132" t="s">
        <v>811</v>
      </c>
      <c r="E132" t="s">
        <v>5</v>
      </c>
      <c r="F132" s="3">
        <v>2.3083333333333336</v>
      </c>
      <c r="G132" s="10">
        <f>VLOOKUP(Tabla1[[#This Row],[Código Unificador]],PRECIOS_COMPETENCIA!B:D,3,FALSE)</f>
        <v>16.89499166666667</v>
      </c>
      <c r="H132" s="10">
        <f>Tabla1[[#This Row],[PVP Competencia]]*0.98</f>
        <v>16.557091833333335</v>
      </c>
      <c r="I132" s="10">
        <f>Tabla1[[#This Row],[Precio Lista CDR]]*0.8</f>
        <v>13.245673466666668</v>
      </c>
      <c r="J132" s="10">
        <f>Tabla1[[#This Row],[Precio Lista CDR]]*0.7</f>
        <v>11.589964283333334</v>
      </c>
      <c r="K132" s="10">
        <f>Tabla1[[#This Row],[Precio Lista CDR]]*0.6</f>
        <v>9.9342550999999997</v>
      </c>
      <c r="L132" s="12">
        <f>(Tabla1[[#This Row],[Precio Lista CDR]]-Tabla1[[#This Row],[PrecioFábrica]])/Tabla1[[#This Row],[Precio Lista CDR]]</f>
        <v>0.86058340700351055</v>
      </c>
      <c r="M132" s="12">
        <f>(Tabla1[[#This Row],[Lista 1 (20%)]]-Tabla1[[#This Row],[PrecioFábrica]])/Tabla1[[#This Row],[Lista 1 (20%)]]</f>
        <v>0.82572925875438818</v>
      </c>
      <c r="N132" s="12">
        <f>(Tabla1[[#This Row],[Lista 2 (30%)]]-Tabla1[[#This Row],[PrecioFábrica]])/Tabla1[[#This Row],[Lista 2 (30%)]]</f>
        <v>0.80083343857644362</v>
      </c>
      <c r="O132" s="12">
        <f>(Tabla1[[#This Row],[Lista 3 (40%)]]-Tabla1[[#This Row],[PrecioFábrica]])/Tabla1[[#This Row],[Lista 3 (40%)]]</f>
        <v>0.76763901167251747</v>
      </c>
    </row>
    <row r="133" spans="1:15">
      <c r="A133" t="s">
        <v>6</v>
      </c>
      <c r="B133" t="s">
        <v>142</v>
      </c>
      <c r="C133" t="s">
        <v>944</v>
      </c>
      <c r="D133" t="s">
        <v>811</v>
      </c>
      <c r="E133" t="s">
        <v>5</v>
      </c>
      <c r="F133" s="3">
        <v>2.65</v>
      </c>
      <c r="G133" s="10">
        <f>VLOOKUP(Tabla1[[#This Row],[Código Unificador]],PRECIOS_COMPETENCIA!B:D,3,FALSE)</f>
        <v>18.146100000000001</v>
      </c>
      <c r="H133" s="10">
        <f>Tabla1[[#This Row],[PVP Competencia]]*0.98</f>
        <v>17.783177999999999</v>
      </c>
      <c r="I133" s="10">
        <f>Tabla1[[#This Row],[Precio Lista CDR]]*0.8</f>
        <v>14.2265424</v>
      </c>
      <c r="J133" s="10">
        <f>Tabla1[[#This Row],[Precio Lista CDR]]*0.7</f>
        <v>12.4482246</v>
      </c>
      <c r="K133" s="10">
        <f>Tabla1[[#This Row],[Precio Lista CDR]]*0.6</f>
        <v>10.6699068</v>
      </c>
      <c r="L133" s="12">
        <f>(Tabla1[[#This Row],[Precio Lista CDR]]-Tabla1[[#This Row],[PrecioFábrica]])/Tabla1[[#This Row],[Precio Lista CDR]]</f>
        <v>0.85098276584758925</v>
      </c>
      <c r="M133" s="12">
        <f>(Tabla1[[#This Row],[Lista 1 (20%)]]-Tabla1[[#This Row],[PrecioFábrica]])/Tabla1[[#This Row],[Lista 1 (20%)]]</f>
        <v>0.81372845730948651</v>
      </c>
      <c r="N133" s="12">
        <f>(Tabla1[[#This Row],[Lista 2 (30%)]]-Tabla1[[#This Row],[PrecioFábrica]])/Tabla1[[#This Row],[Lista 2 (30%)]]</f>
        <v>0.78711823692512739</v>
      </c>
      <c r="O133" s="12">
        <f>(Tabla1[[#This Row],[Lista 3 (40%)]]-Tabla1[[#This Row],[PrecioFábrica]])/Tabla1[[#This Row],[Lista 3 (40%)]]</f>
        <v>0.75163794307931531</v>
      </c>
    </row>
    <row r="134" spans="1:15">
      <c r="A134" t="s">
        <v>6</v>
      </c>
      <c r="B134" t="s">
        <v>143</v>
      </c>
      <c r="C134" t="s">
        <v>945</v>
      </c>
      <c r="D134" t="s">
        <v>811</v>
      </c>
      <c r="E134" t="s">
        <v>5</v>
      </c>
      <c r="F134" s="3">
        <v>2.3416666666666668</v>
      </c>
      <c r="G134" s="10">
        <f>VLOOKUP(Tabla1[[#This Row],[Código Unificador]],PRECIOS_COMPETENCIA!B:D,3,FALSE)</f>
        <v>16.994558333333334</v>
      </c>
      <c r="H134" s="10">
        <f>Tabla1[[#This Row],[PVP Competencia]]*0.98</f>
        <v>16.654667166666666</v>
      </c>
      <c r="I134" s="10">
        <f>Tabla1[[#This Row],[Precio Lista CDR]]*0.8</f>
        <v>13.323733733333334</v>
      </c>
      <c r="J134" s="10">
        <f>Tabla1[[#This Row],[Precio Lista CDR]]*0.7</f>
        <v>11.658267016666665</v>
      </c>
      <c r="K134" s="10">
        <f>Tabla1[[#This Row],[Precio Lista CDR]]*0.6</f>
        <v>9.992800299999999</v>
      </c>
      <c r="L134" s="12">
        <f>(Tabla1[[#This Row],[Precio Lista CDR]]-Tabla1[[#This Row],[PrecioFábrica]])/Tabla1[[#This Row],[Precio Lista CDR]]</f>
        <v>0.85939877133339693</v>
      </c>
      <c r="M134" s="12">
        <f>(Tabla1[[#This Row],[Lista 1 (20%)]]-Tabla1[[#This Row],[PrecioFábrica]])/Tabla1[[#This Row],[Lista 1 (20%)]]</f>
        <v>0.82424846416674613</v>
      </c>
      <c r="N134" s="12">
        <f>(Tabla1[[#This Row],[Lista 2 (30%)]]-Tabla1[[#This Row],[PrecioFábrica]])/Tabla1[[#This Row],[Lista 2 (30%)]]</f>
        <v>0.79914110190485266</v>
      </c>
      <c r="O134" s="12">
        <f>(Tabla1[[#This Row],[Lista 3 (40%)]]-Tabla1[[#This Row],[PrecioFábrica]])/Tabla1[[#This Row],[Lista 3 (40%)]]</f>
        <v>0.76566461888899484</v>
      </c>
    </row>
    <row r="135" spans="1:15">
      <c r="A135" t="s">
        <v>6</v>
      </c>
      <c r="B135" t="s">
        <v>144</v>
      </c>
      <c r="C135" t="s">
        <v>946</v>
      </c>
      <c r="D135" t="s">
        <v>811</v>
      </c>
      <c r="E135" t="s">
        <v>5</v>
      </c>
      <c r="F135" s="3">
        <v>2.6583333333333332</v>
      </c>
      <c r="G135" s="10">
        <f>VLOOKUP(Tabla1[[#This Row],[Código Unificador]],PRECIOS_COMPETENCIA!B:D,3,FALSE)</f>
        <v>18.171716666666669</v>
      </c>
      <c r="H135" s="10">
        <f>Tabla1[[#This Row],[PVP Competencia]]*0.98</f>
        <v>17.808282333333334</v>
      </c>
      <c r="I135" s="10">
        <f>Tabla1[[#This Row],[Precio Lista CDR]]*0.8</f>
        <v>14.246625866666669</v>
      </c>
      <c r="J135" s="10">
        <f>Tabla1[[#This Row],[Precio Lista CDR]]*0.7</f>
        <v>12.465797633333333</v>
      </c>
      <c r="K135" s="10">
        <f>Tabla1[[#This Row],[Precio Lista CDR]]*0.6</f>
        <v>10.6849694</v>
      </c>
      <c r="L135" s="12">
        <f>(Tabla1[[#This Row],[Precio Lista CDR]]-Tabla1[[#This Row],[PrecioFábrica]])/Tabla1[[#This Row],[Precio Lista CDR]]</f>
        <v>0.85072488836514593</v>
      </c>
      <c r="M135" s="12">
        <f>(Tabla1[[#This Row],[Lista 1 (20%)]]-Tabla1[[#This Row],[PrecioFábrica]])/Tabla1[[#This Row],[Lista 1 (20%)]]</f>
        <v>0.81340611045643241</v>
      </c>
      <c r="N135" s="12">
        <f>(Tabla1[[#This Row],[Lista 2 (30%)]]-Tabla1[[#This Row],[PrecioFábrica]])/Tabla1[[#This Row],[Lista 2 (30%)]]</f>
        <v>0.78674984052163699</v>
      </c>
      <c r="O135" s="12">
        <f>(Tabla1[[#This Row],[Lista 3 (40%)]]-Tabla1[[#This Row],[PrecioFábrica]])/Tabla1[[#This Row],[Lista 3 (40%)]]</f>
        <v>0.75120814727524321</v>
      </c>
    </row>
    <row r="136" spans="1:15">
      <c r="A136" t="s">
        <v>6</v>
      </c>
      <c r="B136" t="s">
        <v>145</v>
      </c>
      <c r="C136" t="s">
        <v>947</v>
      </c>
      <c r="D136" t="s">
        <v>811</v>
      </c>
      <c r="E136" t="s">
        <v>5</v>
      </c>
      <c r="F136" s="3">
        <v>2.3916666666666671</v>
      </c>
      <c r="G136" s="10">
        <f>VLOOKUP(Tabla1[[#This Row],[Código Unificador]],PRECIOS_COMPETENCIA!B:D,3,FALSE)</f>
        <v>17.42134166666667</v>
      </c>
      <c r="H136" s="10">
        <f>Tabla1[[#This Row],[PVP Competencia]]*0.98</f>
        <v>17.072914833333336</v>
      </c>
      <c r="I136" s="10">
        <f>Tabla1[[#This Row],[Precio Lista CDR]]*0.8</f>
        <v>13.65833186666667</v>
      </c>
      <c r="J136" s="10">
        <f>Tabla1[[#This Row],[Precio Lista CDR]]*0.7</f>
        <v>11.951040383333334</v>
      </c>
      <c r="K136" s="10">
        <f>Tabla1[[#This Row],[Precio Lista CDR]]*0.6</f>
        <v>10.243748900000002</v>
      </c>
      <c r="L136" s="12">
        <f>(Tabla1[[#This Row],[Precio Lista CDR]]-Tabla1[[#This Row],[PrecioFábrica]])/Tabla1[[#This Row],[Precio Lista CDR]]</f>
        <v>0.85991456701950197</v>
      </c>
      <c r="M136" s="12">
        <f>(Tabla1[[#This Row],[Lista 1 (20%)]]-Tabla1[[#This Row],[PrecioFábrica]])/Tabla1[[#This Row],[Lista 1 (20%)]]</f>
        <v>0.82489320877437744</v>
      </c>
      <c r="N136" s="12">
        <f>(Tabla1[[#This Row],[Lista 2 (30%)]]-Tabla1[[#This Row],[PrecioFábrica]])/Tabla1[[#This Row],[Lista 2 (30%)]]</f>
        <v>0.79987795288500285</v>
      </c>
      <c r="O136" s="12">
        <f>(Tabla1[[#This Row],[Lista 3 (40%)]]-Tabla1[[#This Row],[PrecioFábrica]])/Tabla1[[#This Row],[Lista 3 (40%)]]</f>
        <v>0.7665242783658367</v>
      </c>
    </row>
    <row r="137" spans="1:15">
      <c r="A137" t="s">
        <v>6</v>
      </c>
      <c r="B137" t="s">
        <v>146</v>
      </c>
      <c r="C137" t="s">
        <v>948</v>
      </c>
      <c r="D137" t="s">
        <v>811</v>
      </c>
      <c r="E137" t="s">
        <v>5</v>
      </c>
      <c r="F137" s="3">
        <v>3.125</v>
      </c>
      <c r="G137" s="10">
        <f>VLOOKUP(Tabla1[[#This Row],[Código Unificador]],PRECIOS_COMPETENCIA!B:D,3,FALSE)</f>
        <v>19.243749999999999</v>
      </c>
      <c r="H137" s="10">
        <f>Tabla1[[#This Row],[PVP Competencia]]*0.98</f>
        <v>18.858874999999998</v>
      </c>
      <c r="I137" s="10">
        <f>Tabla1[[#This Row],[Precio Lista CDR]]*0.8</f>
        <v>15.0871</v>
      </c>
      <c r="J137" s="10">
        <f>Tabla1[[#This Row],[Precio Lista CDR]]*0.7</f>
        <v>13.201212499999997</v>
      </c>
      <c r="K137" s="10">
        <f>Tabla1[[#This Row],[Precio Lista CDR]]*0.6</f>
        <v>11.315324999999998</v>
      </c>
      <c r="L137" s="12">
        <f>(Tabla1[[#This Row],[Precio Lista CDR]]-Tabla1[[#This Row],[PrecioFábrica]])/Tabla1[[#This Row],[Precio Lista CDR]]</f>
        <v>0.83429552399069407</v>
      </c>
      <c r="M137" s="12">
        <f>(Tabla1[[#This Row],[Lista 1 (20%)]]-Tabla1[[#This Row],[PrecioFábrica]])/Tabla1[[#This Row],[Lista 1 (20%)]]</f>
        <v>0.79286940498836755</v>
      </c>
      <c r="N137" s="12">
        <f>(Tabla1[[#This Row],[Lista 2 (30%)]]-Tabla1[[#This Row],[PrecioFábrica]])/Tabla1[[#This Row],[Lista 2 (30%)]]</f>
        <v>0.76327931998670573</v>
      </c>
      <c r="O137" s="12">
        <f>(Tabla1[[#This Row],[Lista 3 (40%)]]-Tabla1[[#This Row],[PrecioFábrica]])/Tabla1[[#This Row],[Lista 3 (40%)]]</f>
        <v>0.72382587331782333</v>
      </c>
    </row>
    <row r="138" spans="1:15">
      <c r="A138" t="s">
        <v>6</v>
      </c>
      <c r="B138" t="s">
        <v>147</v>
      </c>
      <c r="C138" t="s">
        <v>949</v>
      </c>
      <c r="D138" t="s">
        <v>811</v>
      </c>
      <c r="E138" t="s">
        <v>5</v>
      </c>
      <c r="F138" s="3">
        <v>3.1583333333333337</v>
      </c>
      <c r="G138" s="10">
        <f>VLOOKUP(Tabla1[[#This Row],[Código Unificador]],PRECIOS_COMPETENCIA!B:D,3,FALSE)</f>
        <v>19.342350000000003</v>
      </c>
      <c r="H138" s="10">
        <f>Tabla1[[#This Row],[PVP Competencia]]*0.98</f>
        <v>18.955503000000004</v>
      </c>
      <c r="I138" s="10">
        <f>Tabla1[[#This Row],[Precio Lista CDR]]*0.8</f>
        <v>15.164402400000004</v>
      </c>
      <c r="J138" s="10">
        <f>Tabla1[[#This Row],[Precio Lista CDR]]*0.7</f>
        <v>13.268852100000002</v>
      </c>
      <c r="K138" s="10">
        <f>Tabla1[[#This Row],[Precio Lista CDR]]*0.6</f>
        <v>11.373301800000002</v>
      </c>
      <c r="L138" s="12">
        <f>(Tabla1[[#This Row],[Precio Lista CDR]]-Tabla1[[#This Row],[PrecioFábrica]])/Tabla1[[#This Row],[Precio Lista CDR]]</f>
        <v>0.83338171857885635</v>
      </c>
      <c r="M138" s="12">
        <f>(Tabla1[[#This Row],[Lista 1 (20%)]]-Tabla1[[#This Row],[PrecioFábrica]])/Tabla1[[#This Row],[Lista 1 (20%)]]</f>
        <v>0.79172714822357049</v>
      </c>
      <c r="N138" s="12">
        <f>(Tabla1[[#This Row],[Lista 2 (30%)]]-Tabla1[[#This Row],[PrecioFábrica]])/Tabla1[[#This Row],[Lista 2 (30%)]]</f>
        <v>0.76197388368408048</v>
      </c>
      <c r="O138" s="12">
        <f>(Tabla1[[#This Row],[Lista 3 (40%)]]-Tabla1[[#This Row],[PrecioFábrica]])/Tabla1[[#This Row],[Lista 3 (40%)]]</f>
        <v>0.72230286429809387</v>
      </c>
    </row>
    <row r="139" spans="1:15">
      <c r="A139" t="s">
        <v>6</v>
      </c>
      <c r="B139" t="s">
        <v>148</v>
      </c>
      <c r="C139" t="s">
        <v>950</v>
      </c>
      <c r="D139" t="s">
        <v>811</v>
      </c>
      <c r="E139" t="s">
        <v>5</v>
      </c>
      <c r="F139" s="3">
        <v>3.0166666666666671</v>
      </c>
      <c r="G139" s="10">
        <f>VLOOKUP(Tabla1[[#This Row],[Código Unificador]],PRECIOS_COMPETENCIA!B:D,3,FALSE)</f>
        <v>19.098266666666667</v>
      </c>
      <c r="H139" s="10">
        <f>Tabla1[[#This Row],[PVP Competencia]]*0.98</f>
        <v>18.716301333333334</v>
      </c>
      <c r="I139" s="10">
        <f>Tabla1[[#This Row],[Precio Lista CDR]]*0.8</f>
        <v>14.973041066666667</v>
      </c>
      <c r="J139" s="10">
        <f>Tabla1[[#This Row],[Precio Lista CDR]]*0.7</f>
        <v>13.101410933333334</v>
      </c>
      <c r="K139" s="10">
        <f>Tabla1[[#This Row],[Precio Lista CDR]]*0.6</f>
        <v>11.2297808</v>
      </c>
      <c r="L139" s="12">
        <f>(Tabla1[[#This Row],[Precio Lista CDR]]-Tabla1[[#This Row],[PrecioFábrica]])/Tabla1[[#This Row],[Precio Lista CDR]]</f>
        <v>0.83882143095793993</v>
      </c>
      <c r="M139" s="12">
        <f>(Tabla1[[#This Row],[Lista 1 (20%)]]-Tabla1[[#This Row],[PrecioFábrica]])/Tabla1[[#This Row],[Lista 1 (20%)]]</f>
        <v>0.79852678869742488</v>
      </c>
      <c r="N139" s="12">
        <f>(Tabla1[[#This Row],[Lista 2 (30%)]]-Tabla1[[#This Row],[PrecioFábrica]])/Tabla1[[#This Row],[Lista 2 (30%)]]</f>
        <v>0.76974490136848561</v>
      </c>
      <c r="O139" s="12">
        <f>(Tabla1[[#This Row],[Lista 3 (40%)]]-Tabla1[[#This Row],[PrecioFábrica]])/Tabla1[[#This Row],[Lista 3 (40%)]]</f>
        <v>0.73136905159656662</v>
      </c>
    </row>
    <row r="140" spans="1:15">
      <c r="A140" t="s">
        <v>6</v>
      </c>
      <c r="B140" t="s">
        <v>149</v>
      </c>
      <c r="C140" t="s">
        <v>951</v>
      </c>
      <c r="D140" t="s">
        <v>811</v>
      </c>
      <c r="E140" t="s">
        <v>5</v>
      </c>
      <c r="F140" s="3">
        <v>3.2250000000000001</v>
      </c>
      <c r="G140" s="10">
        <f>VLOOKUP(Tabla1[[#This Row],[Código Unificador]],PRECIOS_COMPETENCIA!B:D,3,FALSE)</f>
        <v>19.539550000000002</v>
      </c>
      <c r="H140" s="10">
        <f>Tabla1[[#This Row],[PVP Competencia]]*0.98</f>
        <v>19.148759000000002</v>
      </c>
      <c r="I140" s="10">
        <f>Tabla1[[#This Row],[Precio Lista CDR]]*0.8</f>
        <v>15.319007200000001</v>
      </c>
      <c r="J140" s="10">
        <f>Tabla1[[#This Row],[Precio Lista CDR]]*0.7</f>
        <v>13.404131300000001</v>
      </c>
      <c r="K140" s="10">
        <f>Tabla1[[#This Row],[Precio Lista CDR]]*0.6</f>
        <v>11.489255400000001</v>
      </c>
      <c r="L140" s="12">
        <f>(Tabla1[[#This Row],[Precio Lista CDR]]-Tabla1[[#This Row],[PrecioFábrica]])/Tabla1[[#This Row],[Precio Lista CDR]]</f>
        <v>0.83158177509049025</v>
      </c>
      <c r="M140" s="12">
        <f>(Tabla1[[#This Row],[Lista 1 (20%)]]-Tabla1[[#This Row],[PrecioFábrica]])/Tabla1[[#This Row],[Lista 1 (20%)]]</f>
        <v>0.78947721886311284</v>
      </c>
      <c r="N140" s="12">
        <f>(Tabla1[[#This Row],[Lista 2 (30%)]]-Tabla1[[#This Row],[PrecioFábrica]])/Tabla1[[#This Row],[Lista 2 (30%)]]</f>
        <v>0.75940253584355744</v>
      </c>
      <c r="O140" s="12">
        <f>(Tabla1[[#This Row],[Lista 3 (40%)]]-Tabla1[[#This Row],[PrecioFábrica]])/Tabla1[[#This Row],[Lista 3 (40%)]]</f>
        <v>0.71930295848415038</v>
      </c>
    </row>
    <row r="141" spans="1:15">
      <c r="A141" t="s">
        <v>6</v>
      </c>
      <c r="B141" t="s">
        <v>150</v>
      </c>
      <c r="C141" t="s">
        <v>952</v>
      </c>
      <c r="D141" t="s">
        <v>811</v>
      </c>
      <c r="E141" t="s">
        <v>5</v>
      </c>
      <c r="F141" s="3">
        <v>3.291666666666667</v>
      </c>
      <c r="G141" s="10">
        <f>VLOOKUP(Tabla1[[#This Row],[Código Unificador]],PRECIOS_COMPETENCIA!B:D,3,FALSE)</f>
        <v>19.736750000000001</v>
      </c>
      <c r="H141" s="10">
        <f>Tabla1[[#This Row],[PVP Competencia]]*0.98</f>
        <v>19.342015</v>
      </c>
      <c r="I141" s="10">
        <f>Tabla1[[#This Row],[Precio Lista CDR]]*0.8</f>
        <v>15.473612000000001</v>
      </c>
      <c r="J141" s="10">
        <f>Tabla1[[#This Row],[Precio Lista CDR]]*0.7</f>
        <v>13.539410499999999</v>
      </c>
      <c r="K141" s="10">
        <f>Tabla1[[#This Row],[Precio Lista CDR]]*0.6</f>
        <v>11.605209</v>
      </c>
      <c r="L141" s="12">
        <f>(Tabla1[[#This Row],[Precio Lista CDR]]-Tabla1[[#This Row],[PrecioFábrica]])/Tabla1[[#This Row],[Precio Lista CDR]]</f>
        <v>0.82981779992070792</v>
      </c>
      <c r="M141" s="12">
        <f>(Tabla1[[#This Row],[Lista 1 (20%)]]-Tabla1[[#This Row],[PrecioFábrica]])/Tabla1[[#This Row],[Lista 1 (20%)]]</f>
        <v>0.78727224990088507</v>
      </c>
      <c r="N141" s="12">
        <f>(Tabla1[[#This Row],[Lista 2 (30%)]]-Tabla1[[#This Row],[PrecioFábrica]])/Tabla1[[#This Row],[Lista 2 (30%)]]</f>
        <v>0.75688257131529701</v>
      </c>
      <c r="O141" s="12">
        <f>(Tabla1[[#This Row],[Lista 3 (40%)]]-Tabla1[[#This Row],[PrecioFábrica]])/Tabla1[[#This Row],[Lista 3 (40%)]]</f>
        <v>0.71636299986784679</v>
      </c>
    </row>
    <row r="142" spans="1:15">
      <c r="A142" t="s">
        <v>6</v>
      </c>
      <c r="B142" t="s">
        <v>151</v>
      </c>
      <c r="C142" t="s">
        <v>953</v>
      </c>
      <c r="D142" t="s">
        <v>811</v>
      </c>
      <c r="E142" t="s">
        <v>5</v>
      </c>
      <c r="F142" s="3">
        <v>2.8083333333333336</v>
      </c>
      <c r="G142" s="10">
        <f>VLOOKUP(Tabla1[[#This Row],[Código Unificador]],PRECIOS_COMPETENCIA!B:D,3,FALSE)</f>
        <v>18.388491666666667</v>
      </c>
      <c r="H142" s="10">
        <f>Tabla1[[#This Row],[PVP Competencia]]*0.98</f>
        <v>18.020721833333333</v>
      </c>
      <c r="I142" s="10">
        <f>Tabla1[[#This Row],[Precio Lista CDR]]*0.8</f>
        <v>14.416577466666666</v>
      </c>
      <c r="J142" s="10">
        <f>Tabla1[[#This Row],[Precio Lista CDR]]*0.7</f>
        <v>12.614505283333333</v>
      </c>
      <c r="K142" s="10">
        <f>Tabla1[[#This Row],[Precio Lista CDR]]*0.6</f>
        <v>10.8124331</v>
      </c>
      <c r="L142" s="12">
        <f>(Tabla1[[#This Row],[Precio Lista CDR]]-Tabla1[[#This Row],[PrecioFábrica]])/Tabla1[[#This Row],[Precio Lista CDR]]</f>
        <v>0.84416088549024182</v>
      </c>
      <c r="M142" s="12">
        <f>(Tabla1[[#This Row],[Lista 1 (20%)]]-Tabla1[[#This Row],[PrecioFábrica]])/Tabla1[[#This Row],[Lista 1 (20%)]]</f>
        <v>0.80520110686280222</v>
      </c>
      <c r="N142" s="12">
        <f>(Tabla1[[#This Row],[Lista 2 (30%)]]-Tabla1[[#This Row],[PrecioFábrica]])/Tabla1[[#This Row],[Lista 2 (30%)]]</f>
        <v>0.77737269355748828</v>
      </c>
      <c r="O142" s="12">
        <f>(Tabla1[[#This Row],[Lista 3 (40%)]]-Tabla1[[#This Row],[PrecioFábrica]])/Tabla1[[#This Row],[Lista 3 (40%)]]</f>
        <v>0.74026814248373629</v>
      </c>
    </row>
    <row r="143" spans="1:15">
      <c r="A143" t="s">
        <v>6</v>
      </c>
      <c r="B143" t="s">
        <v>152</v>
      </c>
      <c r="C143" t="s">
        <v>954</v>
      </c>
      <c r="D143" t="s">
        <v>811</v>
      </c>
      <c r="E143" t="s">
        <v>5</v>
      </c>
      <c r="F143" s="3">
        <v>3.2250000000000001</v>
      </c>
      <c r="G143" s="10">
        <f>VLOOKUP(Tabla1[[#This Row],[Código Unificador]],PRECIOS_COMPETENCIA!B:D,3,FALSE)</f>
        <v>19.726600000000001</v>
      </c>
      <c r="H143" s="10">
        <f>Tabla1[[#This Row],[PVP Competencia]]*0.98</f>
        <v>19.332068</v>
      </c>
      <c r="I143" s="10">
        <f>Tabla1[[#This Row],[Precio Lista CDR]]*0.8</f>
        <v>15.4656544</v>
      </c>
      <c r="J143" s="10">
        <f>Tabla1[[#This Row],[Precio Lista CDR]]*0.7</f>
        <v>13.532447599999999</v>
      </c>
      <c r="K143" s="10">
        <f>Tabla1[[#This Row],[Precio Lista CDR]]*0.6</f>
        <v>11.599240799999999</v>
      </c>
      <c r="L143" s="12">
        <f>(Tabla1[[#This Row],[Precio Lista CDR]]-Tabla1[[#This Row],[PrecioFábrica]])/Tabla1[[#This Row],[Precio Lista CDR]]</f>
        <v>0.83317873700837375</v>
      </c>
      <c r="M143" s="12">
        <f>(Tabla1[[#This Row],[Lista 1 (20%)]]-Tabla1[[#This Row],[PrecioFábrica]])/Tabla1[[#This Row],[Lista 1 (20%)]]</f>
        <v>0.79147342126046738</v>
      </c>
      <c r="N143" s="12">
        <f>(Tabla1[[#This Row],[Lista 2 (30%)]]-Tabla1[[#This Row],[PrecioFábrica]])/Tabla1[[#This Row],[Lista 2 (30%)]]</f>
        <v>0.76168391001196267</v>
      </c>
      <c r="O143" s="12">
        <f>(Tabla1[[#This Row],[Lista 3 (40%)]]-Tabla1[[#This Row],[PrecioFábrica]])/Tabla1[[#This Row],[Lista 3 (40%)]]</f>
        <v>0.72196456168062306</v>
      </c>
    </row>
    <row r="144" spans="1:15">
      <c r="A144" t="s">
        <v>6</v>
      </c>
      <c r="B144" t="s">
        <v>153</v>
      </c>
      <c r="C144" t="s">
        <v>955</v>
      </c>
      <c r="D144" t="s">
        <v>811</v>
      </c>
      <c r="E144" t="s">
        <v>5</v>
      </c>
      <c r="F144" s="3">
        <v>3.625</v>
      </c>
      <c r="G144" s="10">
        <f>VLOOKUP(Tabla1[[#This Row],[Código Unificador]],PRECIOS_COMPETENCIA!B:D,3,FALSE)</f>
        <v>21.248374999999999</v>
      </c>
      <c r="H144" s="10">
        <f>Tabla1[[#This Row],[PVP Competencia]]*0.98</f>
        <v>20.823407499999998</v>
      </c>
      <c r="I144" s="10">
        <f>Tabla1[[#This Row],[Precio Lista CDR]]*0.8</f>
        <v>16.658725999999998</v>
      </c>
      <c r="J144" s="10">
        <f>Tabla1[[#This Row],[Precio Lista CDR]]*0.7</f>
        <v>14.576385249999998</v>
      </c>
      <c r="K144" s="10">
        <f>Tabla1[[#This Row],[Precio Lista CDR]]*0.6</f>
        <v>12.494044499999999</v>
      </c>
      <c r="L144" s="12">
        <f>(Tabla1[[#This Row],[Precio Lista CDR]]-Tabla1[[#This Row],[PrecioFábrica]])/Tabla1[[#This Row],[Precio Lista CDR]]</f>
        <v>0.82591705992403019</v>
      </c>
      <c r="M144" s="12">
        <f>(Tabla1[[#This Row],[Lista 1 (20%)]]-Tabla1[[#This Row],[PrecioFábrica]])/Tabla1[[#This Row],[Lista 1 (20%)]]</f>
        <v>0.78239632490503774</v>
      </c>
      <c r="N144" s="12">
        <f>(Tabla1[[#This Row],[Lista 2 (30%)]]-Tabla1[[#This Row],[PrecioFábrica]])/Tabla1[[#This Row],[Lista 2 (30%)]]</f>
        <v>0.75131008560575741</v>
      </c>
      <c r="O144" s="12">
        <f>(Tabla1[[#This Row],[Lista 3 (40%)]]-Tabla1[[#This Row],[PrecioFábrica]])/Tabla1[[#This Row],[Lista 3 (40%)]]</f>
        <v>0.70986176654005029</v>
      </c>
    </row>
    <row r="145" spans="1:15">
      <c r="A145" t="s">
        <v>6</v>
      </c>
      <c r="B145" t="s">
        <v>154</v>
      </c>
      <c r="C145" t="s">
        <v>956</v>
      </c>
      <c r="D145" t="s">
        <v>811</v>
      </c>
      <c r="E145" t="s">
        <v>5</v>
      </c>
      <c r="F145" s="3">
        <v>3.65</v>
      </c>
      <c r="G145" s="10">
        <f>VLOOKUP(Tabla1[[#This Row],[Código Unificador]],PRECIOS_COMPETENCIA!B:D,3,FALSE)</f>
        <v>20.902550000000002</v>
      </c>
      <c r="H145" s="10">
        <f>Tabla1[[#This Row],[PVP Competencia]]*0.98</f>
        <v>20.484499</v>
      </c>
      <c r="I145" s="10">
        <f>Tabla1[[#This Row],[Precio Lista CDR]]*0.8</f>
        <v>16.3875992</v>
      </c>
      <c r="J145" s="10">
        <f>Tabla1[[#This Row],[Precio Lista CDR]]*0.7</f>
        <v>14.339149299999999</v>
      </c>
      <c r="K145" s="10">
        <f>Tabla1[[#This Row],[Precio Lista CDR]]*0.6</f>
        <v>12.290699399999999</v>
      </c>
      <c r="L145" s="12">
        <f>(Tabla1[[#This Row],[Precio Lista CDR]]-Tabla1[[#This Row],[PrecioFábrica]])/Tabla1[[#This Row],[Precio Lista CDR]]</f>
        <v>0.82181648670050467</v>
      </c>
      <c r="M145" s="12">
        <f>(Tabla1[[#This Row],[Lista 1 (20%)]]-Tabla1[[#This Row],[PrecioFábrica]])/Tabla1[[#This Row],[Lista 1 (20%)]]</f>
        <v>0.77727060837563078</v>
      </c>
      <c r="N145" s="12">
        <f>(Tabla1[[#This Row],[Lista 2 (30%)]]-Tabla1[[#This Row],[PrecioFábrica]])/Tabla1[[#This Row],[Lista 2 (30%)]]</f>
        <v>0.74545212385786364</v>
      </c>
      <c r="O145" s="12">
        <f>(Tabla1[[#This Row],[Lista 3 (40%)]]-Tabla1[[#This Row],[PrecioFábrica]])/Tabla1[[#This Row],[Lista 3 (40%)]]</f>
        <v>0.7030274778341743</v>
      </c>
    </row>
    <row r="146" spans="1:15">
      <c r="A146" t="s">
        <v>7</v>
      </c>
      <c r="B146" t="s">
        <v>155</v>
      </c>
      <c r="C146" t="s">
        <v>957</v>
      </c>
      <c r="D146" t="s">
        <v>811</v>
      </c>
      <c r="E146" t="s">
        <v>5</v>
      </c>
      <c r="F146" s="3">
        <v>4.5083333333333337</v>
      </c>
      <c r="G146" s="10">
        <f>VLOOKUP(Tabla1[[#This Row],[Código Unificador]],PRECIOS_COMPETENCIA!B:D,3,FALSE)</f>
        <v>23.85861666666667</v>
      </c>
      <c r="H146" s="10">
        <f>Tabla1[[#This Row],[PVP Competencia]]*0.98</f>
        <v>23.381444333333334</v>
      </c>
      <c r="I146" s="10">
        <f>Tabla1[[#This Row],[Precio Lista CDR]]*0.8</f>
        <v>18.705155466666668</v>
      </c>
      <c r="J146" s="10">
        <f>Tabla1[[#This Row],[Precio Lista CDR]]*0.7</f>
        <v>16.367011033333334</v>
      </c>
      <c r="K146" s="10">
        <f>Tabla1[[#This Row],[Precio Lista CDR]]*0.6</f>
        <v>14.028866600000001</v>
      </c>
      <c r="L146" s="12">
        <f>(Tabla1[[#This Row],[Precio Lista CDR]]-Tabla1[[#This Row],[PrecioFábrica]])/Tabla1[[#This Row],[Precio Lista CDR]]</f>
        <v>0.80718328307434328</v>
      </c>
      <c r="M146" s="12">
        <f>(Tabla1[[#This Row],[Lista 1 (20%)]]-Tabla1[[#This Row],[PrecioFábrica]])/Tabla1[[#This Row],[Lista 1 (20%)]]</f>
        <v>0.7589791038429291</v>
      </c>
      <c r="N146" s="12">
        <f>(Tabla1[[#This Row],[Lista 2 (30%)]]-Tabla1[[#This Row],[PrecioFábrica]])/Tabla1[[#This Row],[Lista 2 (30%)]]</f>
        <v>0.7245475472490619</v>
      </c>
      <c r="O146" s="12">
        <f>(Tabla1[[#This Row],[Lista 3 (40%)]]-Tabla1[[#This Row],[PrecioFábrica]])/Tabla1[[#This Row],[Lista 3 (40%)]]</f>
        <v>0.67863880512390551</v>
      </c>
    </row>
    <row r="147" spans="1:15">
      <c r="A147" t="s">
        <v>6</v>
      </c>
      <c r="B147" t="s">
        <v>156</v>
      </c>
      <c r="C147" t="s">
        <v>958</v>
      </c>
      <c r="D147" t="s">
        <v>811</v>
      </c>
      <c r="E147" t="s">
        <v>5</v>
      </c>
      <c r="F147" s="3">
        <v>5.4416666666666673</v>
      </c>
      <c r="G147" s="10">
        <f>VLOOKUP(Tabla1[[#This Row],[Código Unificador]],PRECIOS_COMPETENCIA!B:D,3,FALSE)</f>
        <v>26.254258333333336</v>
      </c>
      <c r="H147" s="10">
        <f>Tabla1[[#This Row],[PVP Competencia]]*0.98</f>
        <v>25.729173166666669</v>
      </c>
      <c r="I147" s="10">
        <f>Tabla1[[#This Row],[Precio Lista CDR]]*0.8</f>
        <v>20.583338533333336</v>
      </c>
      <c r="J147" s="10">
        <f>Tabla1[[#This Row],[Precio Lista CDR]]*0.7</f>
        <v>18.010421216666668</v>
      </c>
      <c r="K147" s="10">
        <f>Tabla1[[#This Row],[Precio Lista CDR]]*0.6</f>
        <v>15.437503900000001</v>
      </c>
      <c r="L147" s="12">
        <f>(Tabla1[[#This Row],[Precio Lista CDR]]-Tabla1[[#This Row],[PrecioFábrica]])/Tabla1[[#This Row],[Precio Lista CDR]]</f>
        <v>0.7885020777225521</v>
      </c>
      <c r="M147" s="12">
        <f>(Tabla1[[#This Row],[Lista 1 (20%)]]-Tabla1[[#This Row],[PrecioFábrica]])/Tabla1[[#This Row],[Lista 1 (20%)]]</f>
        <v>0.73562759715319004</v>
      </c>
      <c r="N147" s="12">
        <f>(Tabla1[[#This Row],[Lista 2 (30%)]]-Tabla1[[#This Row],[PrecioFábrica]])/Tabla1[[#This Row],[Lista 2 (30%)]]</f>
        <v>0.69786011103221723</v>
      </c>
      <c r="O147" s="12">
        <f>(Tabla1[[#This Row],[Lista 3 (40%)]]-Tabla1[[#This Row],[PrecioFábrica]])/Tabla1[[#This Row],[Lista 3 (40%)]]</f>
        <v>0.64750346287091998</v>
      </c>
    </row>
    <row r="148" spans="1:15">
      <c r="A148" t="s">
        <v>6</v>
      </c>
      <c r="B148" t="s">
        <v>157</v>
      </c>
      <c r="C148" t="s">
        <v>959</v>
      </c>
      <c r="D148" t="s">
        <v>811</v>
      </c>
      <c r="E148" t="s">
        <v>5</v>
      </c>
      <c r="F148" s="3">
        <v>7.1916666666666673</v>
      </c>
      <c r="G148" s="10">
        <f>VLOOKUP(Tabla1[[#This Row],[Código Unificador]],PRECIOS_COMPETENCIA!B:D,3,FALSE)</f>
        <v>31.898625000000003</v>
      </c>
      <c r="H148" s="10">
        <f>Tabla1[[#This Row],[PVP Competencia]]*0.98</f>
        <v>31.260652500000003</v>
      </c>
      <c r="I148" s="10">
        <f>Tabla1[[#This Row],[Precio Lista CDR]]*0.8</f>
        <v>25.008522000000003</v>
      </c>
      <c r="J148" s="10">
        <f>Tabla1[[#This Row],[Precio Lista CDR]]*0.7</f>
        <v>21.882456749999999</v>
      </c>
      <c r="K148" s="10">
        <f>Tabla1[[#This Row],[Precio Lista CDR]]*0.6</f>
        <v>18.756391499999999</v>
      </c>
      <c r="L148" s="12">
        <f>(Tabla1[[#This Row],[Precio Lista CDR]]-Tabla1[[#This Row],[PrecioFábrica]])/Tabla1[[#This Row],[Precio Lista CDR]]</f>
        <v>0.76994508778514248</v>
      </c>
      <c r="M148" s="12">
        <f>(Tabla1[[#This Row],[Lista 1 (20%)]]-Tabla1[[#This Row],[PrecioFábrica]])/Tabla1[[#This Row],[Lista 1 (20%)]]</f>
        <v>0.71243135973142813</v>
      </c>
      <c r="N148" s="12">
        <f>(Tabla1[[#This Row],[Lista 2 (30%)]]-Tabla1[[#This Row],[PrecioFábrica]])/Tabla1[[#This Row],[Lista 2 (30%)]]</f>
        <v>0.6713501254073464</v>
      </c>
      <c r="O148" s="12">
        <f>(Tabla1[[#This Row],[Lista 3 (40%)]]-Tabla1[[#This Row],[PrecioFábrica]])/Tabla1[[#This Row],[Lista 3 (40%)]]</f>
        <v>0.6165751463085708</v>
      </c>
    </row>
    <row r="149" spans="1:15">
      <c r="A149" t="s">
        <v>6</v>
      </c>
      <c r="B149" t="s">
        <v>158</v>
      </c>
      <c r="C149" t="s">
        <v>960</v>
      </c>
      <c r="D149" t="s">
        <v>811</v>
      </c>
      <c r="E149" t="s">
        <v>5</v>
      </c>
      <c r="F149" s="3">
        <v>2.6333333333333337</v>
      </c>
      <c r="G149" s="10">
        <f>VLOOKUP(Tabla1[[#This Row],[Código Unificador]],PRECIOS_COMPETENCIA!B:D,3,FALSE)</f>
        <v>16.91</v>
      </c>
      <c r="H149" s="10">
        <f>Tabla1[[#This Row],[PVP Competencia]]*0.98</f>
        <v>16.5718</v>
      </c>
      <c r="I149" s="10">
        <f>Tabla1[[#This Row],[Precio Lista CDR]]*0.8</f>
        <v>13.257440000000001</v>
      </c>
      <c r="J149" s="10">
        <f>Tabla1[[#This Row],[Precio Lista CDR]]*0.7</f>
        <v>11.600259999999999</v>
      </c>
      <c r="K149" s="10">
        <f>Tabla1[[#This Row],[Precio Lista CDR]]*0.6</f>
        <v>9.9430800000000001</v>
      </c>
      <c r="L149" s="12">
        <f>(Tabla1[[#This Row],[Precio Lista CDR]]-Tabla1[[#This Row],[PrecioFábrica]])/Tabla1[[#This Row],[Precio Lista CDR]]</f>
        <v>0.84109551567522345</v>
      </c>
      <c r="M149" s="12">
        <f>(Tabla1[[#This Row],[Lista 1 (20%)]]-Tabla1[[#This Row],[PrecioFábrica]])/Tabla1[[#This Row],[Lista 1 (20%)]]</f>
        <v>0.80136939459402912</v>
      </c>
      <c r="N149" s="12">
        <f>(Tabla1[[#This Row],[Lista 2 (30%)]]-Tabla1[[#This Row],[PrecioFábrica]])/Tabla1[[#This Row],[Lista 2 (30%)]]</f>
        <v>0.7729935938217477</v>
      </c>
      <c r="O149" s="12">
        <f>(Tabla1[[#This Row],[Lista 3 (40%)]]-Tabla1[[#This Row],[PrecioFábrica]])/Tabla1[[#This Row],[Lista 3 (40%)]]</f>
        <v>0.7351591927920389</v>
      </c>
    </row>
    <row r="150" spans="1:15">
      <c r="A150" t="s">
        <v>6</v>
      </c>
      <c r="B150" t="s">
        <v>159</v>
      </c>
      <c r="C150" t="s">
        <v>961</v>
      </c>
      <c r="D150" t="s">
        <v>811</v>
      </c>
      <c r="E150" t="s">
        <v>5</v>
      </c>
      <c r="F150" s="3">
        <v>2.4750000000000001</v>
      </c>
      <c r="G150" s="10">
        <f>VLOOKUP(Tabla1[[#This Row],[Código Unificador]],PRECIOS_COMPETENCIA!B:D,3,FALSE)</f>
        <v>17.608150000000002</v>
      </c>
      <c r="H150" s="10">
        <f>Tabla1[[#This Row],[PVP Competencia]]*0.98</f>
        <v>17.255987000000001</v>
      </c>
      <c r="I150" s="10">
        <f>Tabla1[[#This Row],[Precio Lista CDR]]*0.8</f>
        <v>13.804789600000001</v>
      </c>
      <c r="J150" s="10">
        <f>Tabla1[[#This Row],[Precio Lista CDR]]*0.7</f>
        <v>12.0791909</v>
      </c>
      <c r="K150" s="10">
        <f>Tabla1[[#This Row],[Precio Lista CDR]]*0.6</f>
        <v>10.3535922</v>
      </c>
      <c r="L150" s="12">
        <f>(Tabla1[[#This Row],[Precio Lista CDR]]-Tabla1[[#This Row],[PrecioFábrica]])/Tabla1[[#This Row],[Precio Lista CDR]]</f>
        <v>0.85657151920663832</v>
      </c>
      <c r="M150" s="12">
        <f>(Tabla1[[#This Row],[Lista 1 (20%)]]-Tabla1[[#This Row],[PrecioFábrica]])/Tabla1[[#This Row],[Lista 1 (20%)]]</f>
        <v>0.8207143990082979</v>
      </c>
      <c r="N150" s="12">
        <f>(Tabla1[[#This Row],[Lista 2 (30%)]]-Tabla1[[#This Row],[PrecioFábrica]])/Tabla1[[#This Row],[Lista 2 (30%)]]</f>
        <v>0.79510217029519759</v>
      </c>
      <c r="O150" s="12">
        <f>(Tabla1[[#This Row],[Lista 3 (40%)]]-Tabla1[[#This Row],[PrecioFábrica]])/Tabla1[[#This Row],[Lista 3 (40%)]]</f>
        <v>0.76095253201106383</v>
      </c>
    </row>
    <row r="151" spans="1:15">
      <c r="A151" t="s">
        <v>6</v>
      </c>
      <c r="B151" t="s">
        <v>160</v>
      </c>
      <c r="C151" t="s">
        <v>962</v>
      </c>
      <c r="D151" t="s">
        <v>811</v>
      </c>
      <c r="E151" t="s">
        <v>5</v>
      </c>
      <c r="F151" s="3">
        <v>2.75</v>
      </c>
      <c r="G151" s="10">
        <f>VLOOKUP(Tabla1[[#This Row],[Código Unificador]],PRECIOS_COMPETENCIA!B:D,3,FALSE)</f>
        <v>18.134499999999999</v>
      </c>
      <c r="H151" s="10">
        <f>Tabla1[[#This Row],[PVP Competencia]]*0.98</f>
        <v>17.771809999999999</v>
      </c>
      <c r="I151" s="10">
        <f>Tabla1[[#This Row],[Precio Lista CDR]]*0.8</f>
        <v>14.217447999999999</v>
      </c>
      <c r="J151" s="10">
        <f>Tabla1[[#This Row],[Precio Lista CDR]]*0.7</f>
        <v>12.440266999999999</v>
      </c>
      <c r="K151" s="10">
        <f>Tabla1[[#This Row],[Precio Lista CDR]]*0.6</f>
        <v>10.663085999999998</v>
      </c>
      <c r="L151" s="12">
        <f>(Tabla1[[#This Row],[Precio Lista CDR]]-Tabla1[[#This Row],[PrecioFábrica]])/Tabla1[[#This Row],[Precio Lista CDR]]</f>
        <v>0.84526055590285964</v>
      </c>
      <c r="M151" s="12">
        <f>(Tabla1[[#This Row],[Lista 1 (20%)]]-Tabla1[[#This Row],[PrecioFábrica]])/Tabla1[[#This Row],[Lista 1 (20%)]]</f>
        <v>0.8065756948785745</v>
      </c>
      <c r="N151" s="12">
        <f>(Tabla1[[#This Row],[Lista 2 (30%)]]-Tabla1[[#This Row],[PrecioFábrica]])/Tabla1[[#This Row],[Lista 2 (30%)]]</f>
        <v>0.77894365128979948</v>
      </c>
      <c r="O151" s="12">
        <f>(Tabla1[[#This Row],[Lista 3 (40%)]]-Tabla1[[#This Row],[PrecioFábrica]])/Tabla1[[#This Row],[Lista 3 (40%)]]</f>
        <v>0.742100926504766</v>
      </c>
    </row>
    <row r="152" spans="1:15">
      <c r="A152" t="s">
        <v>6</v>
      </c>
      <c r="B152" t="s">
        <v>161</v>
      </c>
      <c r="C152" t="s">
        <v>963</v>
      </c>
      <c r="D152" t="s">
        <v>811</v>
      </c>
      <c r="E152" t="s">
        <v>5</v>
      </c>
      <c r="F152" s="3">
        <v>2.6916666666666669</v>
      </c>
      <c r="G152" s="10">
        <f>VLOOKUP(Tabla1[[#This Row],[Código Unificador]],PRECIOS_COMPETENCIA!B:D,3,FALSE)</f>
        <v>18.274183333333333</v>
      </c>
      <c r="H152" s="10">
        <f>Tabla1[[#This Row],[PVP Competencia]]*0.98</f>
        <v>17.908699666666667</v>
      </c>
      <c r="I152" s="10">
        <f>Tabla1[[#This Row],[Precio Lista CDR]]*0.8</f>
        <v>14.326959733333334</v>
      </c>
      <c r="J152" s="10">
        <f>Tabla1[[#This Row],[Precio Lista CDR]]*0.7</f>
        <v>12.536089766666667</v>
      </c>
      <c r="K152" s="10">
        <f>Tabla1[[#This Row],[Precio Lista CDR]]*0.6</f>
        <v>10.745219799999999</v>
      </c>
      <c r="L152" s="12">
        <f>(Tabla1[[#This Row],[Precio Lista CDR]]-Tabla1[[#This Row],[PrecioFábrica]])/Tabla1[[#This Row],[Precio Lista CDR]]</f>
        <v>0.84970060826489568</v>
      </c>
      <c r="M152" s="12">
        <f>(Tabla1[[#This Row],[Lista 1 (20%)]]-Tabla1[[#This Row],[PrecioFábrica]])/Tabla1[[#This Row],[Lista 1 (20%)]]</f>
        <v>0.8121257603311195</v>
      </c>
      <c r="N152" s="12">
        <f>(Tabla1[[#This Row],[Lista 2 (30%)]]-Tabla1[[#This Row],[PrecioFábrica]])/Tabla1[[#This Row],[Lista 2 (30%)]]</f>
        <v>0.78528658323556522</v>
      </c>
      <c r="O152" s="12">
        <f>(Tabla1[[#This Row],[Lista 3 (40%)]]-Tabla1[[#This Row],[PrecioFábrica]])/Tabla1[[#This Row],[Lista 3 (40%)]]</f>
        <v>0.74950101377482603</v>
      </c>
    </row>
    <row r="153" spans="1:15">
      <c r="A153" t="s">
        <v>6</v>
      </c>
      <c r="B153" t="s">
        <v>162</v>
      </c>
      <c r="C153" t="s">
        <v>964</v>
      </c>
      <c r="D153" t="s">
        <v>811</v>
      </c>
      <c r="E153" t="s">
        <v>5</v>
      </c>
      <c r="F153" s="3">
        <v>2.4</v>
      </c>
      <c r="G153" s="10">
        <f>VLOOKUP(Tabla1[[#This Row],[Código Unificador]],PRECIOS_COMPETENCIA!B:D,3,FALSE)</f>
        <v>17.516800000000003</v>
      </c>
      <c r="H153" s="10">
        <f>Tabla1[[#This Row],[PVP Competencia]]*0.98</f>
        <v>17.166464000000005</v>
      </c>
      <c r="I153" s="10">
        <f>Tabla1[[#This Row],[Precio Lista CDR]]*0.8</f>
        <v>13.733171200000005</v>
      </c>
      <c r="J153" s="10">
        <f>Tabla1[[#This Row],[Precio Lista CDR]]*0.7</f>
        <v>12.016524800000003</v>
      </c>
      <c r="K153" s="10">
        <f>Tabla1[[#This Row],[Precio Lista CDR]]*0.6</f>
        <v>10.299878400000003</v>
      </c>
      <c r="L153" s="12">
        <f>(Tabla1[[#This Row],[Precio Lista CDR]]-Tabla1[[#This Row],[PrecioFábrica]])/Tabla1[[#This Row],[Precio Lista CDR]]</f>
        <v>0.86019252421465486</v>
      </c>
      <c r="M153" s="12">
        <f>(Tabla1[[#This Row],[Lista 1 (20%)]]-Tabla1[[#This Row],[PrecioFábrica]])/Tabla1[[#This Row],[Lista 1 (20%)]]</f>
        <v>0.82524065526831858</v>
      </c>
      <c r="N153" s="12">
        <f>(Tabla1[[#This Row],[Lista 2 (30%)]]-Tabla1[[#This Row],[PrecioFábrica]])/Tabla1[[#This Row],[Lista 2 (30%)]]</f>
        <v>0.80027503459236404</v>
      </c>
      <c r="O153" s="12">
        <f>(Tabla1[[#This Row],[Lista 3 (40%)]]-Tabla1[[#This Row],[PrecioFábrica]])/Tabla1[[#This Row],[Lista 3 (40%)]]</f>
        <v>0.76698754035775807</v>
      </c>
    </row>
    <row r="154" spans="1:15">
      <c r="A154" t="s">
        <v>6</v>
      </c>
      <c r="B154" t="s">
        <v>163</v>
      </c>
      <c r="C154" t="s">
        <v>965</v>
      </c>
      <c r="D154" t="s">
        <v>811</v>
      </c>
      <c r="E154" t="s">
        <v>5</v>
      </c>
      <c r="F154" s="3">
        <v>2.2833333333333337</v>
      </c>
      <c r="G154" s="10">
        <f>VLOOKUP(Tabla1[[#This Row],[Código Unificador]],PRECIOS_COMPETENCIA!B:D,3,FALSE)</f>
        <v>16.886533333333333</v>
      </c>
      <c r="H154" s="10">
        <f>Tabla1[[#This Row],[PVP Competencia]]*0.98</f>
        <v>16.548802666666667</v>
      </c>
      <c r="I154" s="10">
        <f>Tabla1[[#This Row],[Precio Lista CDR]]*0.8</f>
        <v>13.239042133333335</v>
      </c>
      <c r="J154" s="10">
        <f>Tabla1[[#This Row],[Precio Lista CDR]]*0.7</f>
        <v>11.584161866666665</v>
      </c>
      <c r="K154" s="10">
        <f>Tabla1[[#This Row],[Precio Lista CDR]]*0.6</f>
        <v>9.9292815999999995</v>
      </c>
      <c r="L154" s="12">
        <f>(Tabla1[[#This Row],[Precio Lista CDR]]-Tabla1[[#This Row],[PrecioFábrica]])/Tabla1[[#This Row],[Precio Lista CDR]]</f>
        <v>0.86202425762605017</v>
      </c>
      <c r="M154" s="12">
        <f>(Tabla1[[#This Row],[Lista 1 (20%)]]-Tabla1[[#This Row],[PrecioFábrica]])/Tabla1[[#This Row],[Lista 1 (20%)]]</f>
        <v>0.82753032203256283</v>
      </c>
      <c r="N154" s="12">
        <f>(Tabla1[[#This Row],[Lista 2 (30%)]]-Tabla1[[#This Row],[PrecioFábrica]])/Tabla1[[#This Row],[Lista 2 (30%)]]</f>
        <v>0.80289179660864318</v>
      </c>
      <c r="O154" s="12">
        <f>(Tabla1[[#This Row],[Lista 3 (40%)]]-Tabla1[[#This Row],[PrecioFábrica]])/Tabla1[[#This Row],[Lista 3 (40%)]]</f>
        <v>0.77004042937675032</v>
      </c>
    </row>
    <row r="155" spans="1:15">
      <c r="A155" t="s">
        <v>6</v>
      </c>
      <c r="B155" t="s">
        <v>164</v>
      </c>
      <c r="C155" t="s">
        <v>966</v>
      </c>
      <c r="D155" t="s">
        <v>811</v>
      </c>
      <c r="E155" t="s">
        <v>5</v>
      </c>
      <c r="F155" s="3">
        <v>2.2083333333333335</v>
      </c>
      <c r="G155" s="10">
        <f>VLOOKUP(Tabla1[[#This Row],[Código Unificador]],PRECIOS_COMPETENCIA!B:D,3,FALSE)</f>
        <v>16.916500000000003</v>
      </c>
      <c r="H155" s="10">
        <f>Tabla1[[#This Row],[PVP Competencia]]*0.98</f>
        <v>16.578170000000004</v>
      </c>
      <c r="I155" s="10">
        <f>Tabla1[[#This Row],[Precio Lista CDR]]*0.8</f>
        <v>13.262536000000004</v>
      </c>
      <c r="J155" s="10">
        <f>Tabla1[[#This Row],[Precio Lista CDR]]*0.7</f>
        <v>11.604719000000001</v>
      </c>
      <c r="K155" s="10">
        <f>Tabla1[[#This Row],[Precio Lista CDR]]*0.6</f>
        <v>9.9469020000000015</v>
      </c>
      <c r="L155" s="12">
        <f>(Tabla1[[#This Row],[Precio Lista CDR]]-Tabla1[[#This Row],[PrecioFábrica]])/Tabla1[[#This Row],[Precio Lista CDR]]</f>
        <v>0.86679269585645857</v>
      </c>
      <c r="M155" s="12">
        <f>(Tabla1[[#This Row],[Lista 1 (20%)]]-Tabla1[[#This Row],[PrecioFábrica]])/Tabla1[[#This Row],[Lista 1 (20%)]]</f>
        <v>0.8334908698205733</v>
      </c>
      <c r="N155" s="12">
        <f>(Tabla1[[#This Row],[Lista 2 (30%)]]-Tabla1[[#This Row],[PrecioFábrica]])/Tabla1[[#This Row],[Lista 2 (30%)]]</f>
        <v>0.80970385122351229</v>
      </c>
      <c r="O155" s="12">
        <f>(Tabla1[[#This Row],[Lista 3 (40%)]]-Tabla1[[#This Row],[PrecioFábrica]])/Tabla1[[#This Row],[Lista 3 (40%)]]</f>
        <v>0.77798782642743103</v>
      </c>
    </row>
    <row r="156" spans="1:15">
      <c r="A156" t="s">
        <v>6</v>
      </c>
      <c r="B156" t="s">
        <v>165</v>
      </c>
      <c r="C156" t="s">
        <v>967</v>
      </c>
      <c r="D156" t="s">
        <v>811</v>
      </c>
      <c r="E156" t="s">
        <v>5</v>
      </c>
      <c r="F156" s="3">
        <v>2.5</v>
      </c>
      <c r="G156" s="10">
        <f>VLOOKUP(Tabla1[[#This Row],[Código Unificador]],PRECIOS_COMPETENCIA!B:D,3,FALSE)</f>
        <v>17.395</v>
      </c>
      <c r="H156" s="10">
        <f>Tabla1[[#This Row],[PVP Competencia]]*0.98</f>
        <v>17.0471</v>
      </c>
      <c r="I156" s="10">
        <f>Tabla1[[#This Row],[Precio Lista CDR]]*0.8</f>
        <v>13.637680000000001</v>
      </c>
      <c r="J156" s="10">
        <f>Tabla1[[#This Row],[Precio Lista CDR]]*0.7</f>
        <v>11.932969999999999</v>
      </c>
      <c r="K156" s="10">
        <f>Tabla1[[#This Row],[Precio Lista CDR]]*0.6</f>
        <v>10.228260000000001</v>
      </c>
      <c r="L156" s="12">
        <f>(Tabla1[[#This Row],[Precio Lista CDR]]-Tabla1[[#This Row],[PrecioFábrica]])/Tabla1[[#This Row],[Precio Lista CDR]]</f>
        <v>0.85334749018894707</v>
      </c>
      <c r="M156" s="12">
        <f>(Tabla1[[#This Row],[Lista 1 (20%)]]-Tabla1[[#This Row],[PrecioFábrica]])/Tabla1[[#This Row],[Lista 1 (20%)]]</f>
        <v>0.81668436273618383</v>
      </c>
      <c r="N156" s="12">
        <f>(Tabla1[[#This Row],[Lista 2 (30%)]]-Tabla1[[#This Row],[PrecioFábrica]])/Tabla1[[#This Row],[Lista 2 (30%)]]</f>
        <v>0.79049641455563868</v>
      </c>
      <c r="O156" s="12">
        <f>(Tabla1[[#This Row],[Lista 3 (40%)]]-Tabla1[[#This Row],[PrecioFábrica]])/Tabla1[[#This Row],[Lista 3 (40%)]]</f>
        <v>0.75557915031491185</v>
      </c>
    </row>
    <row r="157" spans="1:15">
      <c r="A157" t="s">
        <v>6</v>
      </c>
      <c r="B157" t="s">
        <v>166</v>
      </c>
      <c r="C157" t="s">
        <v>968</v>
      </c>
      <c r="D157" t="s">
        <v>811</v>
      </c>
      <c r="E157" t="s">
        <v>5</v>
      </c>
      <c r="F157" s="3">
        <v>2.166666666666667</v>
      </c>
      <c r="G157" s="10">
        <f>VLOOKUP(Tabla1[[#This Row],[Código Unificador]],PRECIOS_COMPETENCIA!B:D,3,FALSE)</f>
        <v>16.408999999999999</v>
      </c>
      <c r="H157" s="10">
        <f>Tabla1[[#This Row],[PVP Competencia]]*0.98</f>
        <v>16.080819999999999</v>
      </c>
      <c r="I157" s="10">
        <f>Tabla1[[#This Row],[Precio Lista CDR]]*0.8</f>
        <v>12.864656</v>
      </c>
      <c r="J157" s="10">
        <f>Tabla1[[#This Row],[Precio Lista CDR]]*0.7</f>
        <v>11.256573999999999</v>
      </c>
      <c r="K157" s="10">
        <f>Tabla1[[#This Row],[Precio Lista CDR]]*0.6</f>
        <v>9.6484919999999992</v>
      </c>
      <c r="L157" s="12">
        <f>(Tabla1[[#This Row],[Precio Lista CDR]]-Tabla1[[#This Row],[PrecioFábrica]])/Tabla1[[#This Row],[Precio Lista CDR]]</f>
        <v>0.86526391896267307</v>
      </c>
      <c r="M157" s="12">
        <f>(Tabla1[[#This Row],[Lista 1 (20%)]]-Tabla1[[#This Row],[PrecioFábrica]])/Tabla1[[#This Row],[Lista 1 (20%)]]</f>
        <v>0.83157989870334137</v>
      </c>
      <c r="N157" s="12">
        <f>(Tabla1[[#This Row],[Lista 2 (30%)]]-Tabla1[[#This Row],[PrecioFábrica]])/Tabla1[[#This Row],[Lista 2 (30%)]]</f>
        <v>0.80751988423239018</v>
      </c>
      <c r="O157" s="12">
        <f>(Tabla1[[#This Row],[Lista 3 (40%)]]-Tabla1[[#This Row],[PrecioFábrica]])/Tabla1[[#This Row],[Lista 3 (40%)]]</f>
        <v>0.77543986493778849</v>
      </c>
    </row>
    <row r="158" spans="1:15">
      <c r="A158" t="s">
        <v>6</v>
      </c>
      <c r="B158" t="s">
        <v>167</v>
      </c>
      <c r="C158" t="s">
        <v>969</v>
      </c>
      <c r="D158" t="s">
        <v>811</v>
      </c>
      <c r="E158" t="s">
        <v>5</v>
      </c>
      <c r="F158" s="3">
        <v>2.2083333333333335</v>
      </c>
      <c r="G158" s="10">
        <f>VLOOKUP(Tabla1[[#This Row],[Código Unificador]],PRECIOS_COMPETENCIA!B:D,3,FALSE)</f>
        <v>16.78841666666667</v>
      </c>
      <c r="H158" s="10">
        <f>Tabla1[[#This Row],[PVP Competencia]]*0.98</f>
        <v>16.452648333333336</v>
      </c>
      <c r="I158" s="10">
        <f>Tabla1[[#This Row],[Precio Lista CDR]]*0.8</f>
        <v>13.16211866666667</v>
      </c>
      <c r="J158" s="10">
        <f>Tabla1[[#This Row],[Precio Lista CDR]]*0.7</f>
        <v>11.516853833333334</v>
      </c>
      <c r="K158" s="10">
        <f>Tabla1[[#This Row],[Precio Lista CDR]]*0.6</f>
        <v>9.8715890000000019</v>
      </c>
      <c r="L158" s="12">
        <f>(Tabla1[[#This Row],[Precio Lista CDR]]-Tabla1[[#This Row],[PrecioFábrica]])/Tabla1[[#This Row],[Precio Lista CDR]]</f>
        <v>0.86577642160750412</v>
      </c>
      <c r="M158" s="12">
        <f>(Tabla1[[#This Row],[Lista 1 (20%)]]-Tabla1[[#This Row],[PrecioFábrica]])/Tabla1[[#This Row],[Lista 1 (20%)]]</f>
        <v>0.8322205270093801</v>
      </c>
      <c r="N158" s="12">
        <f>(Tabla1[[#This Row],[Lista 2 (30%)]]-Tabla1[[#This Row],[PrecioFábrica]])/Tabla1[[#This Row],[Lista 2 (30%)]]</f>
        <v>0.80825203086786301</v>
      </c>
      <c r="O158" s="12">
        <f>(Tabla1[[#This Row],[Lista 3 (40%)]]-Tabla1[[#This Row],[PrecioFábrica]])/Tabla1[[#This Row],[Lista 3 (40%)]]</f>
        <v>0.77629403601250691</v>
      </c>
    </row>
    <row r="159" spans="1:15">
      <c r="A159" t="s">
        <v>6</v>
      </c>
      <c r="B159" t="s">
        <v>168</v>
      </c>
      <c r="C159" t="s">
        <v>970</v>
      </c>
      <c r="D159" t="s">
        <v>811</v>
      </c>
      <c r="E159" t="s">
        <v>5</v>
      </c>
      <c r="F159" s="3">
        <v>2.3583333333333334</v>
      </c>
      <c r="G159" s="10">
        <f>VLOOKUP(Tabla1[[#This Row],[Código Unificador]],PRECIOS_COMPETENCIA!B:D,3,FALSE)</f>
        <v>17.044341666666668</v>
      </c>
      <c r="H159" s="10">
        <f>Tabla1[[#This Row],[PVP Competencia]]*0.98</f>
        <v>16.703454833333335</v>
      </c>
      <c r="I159" s="10">
        <f>Tabla1[[#This Row],[Precio Lista CDR]]*0.8</f>
        <v>13.362763866666668</v>
      </c>
      <c r="J159" s="10">
        <f>Tabla1[[#This Row],[Precio Lista CDR]]*0.7</f>
        <v>11.692418383333335</v>
      </c>
      <c r="K159" s="10">
        <f>Tabla1[[#This Row],[Precio Lista CDR]]*0.6</f>
        <v>10.022072900000001</v>
      </c>
      <c r="L159" s="12">
        <f>(Tabla1[[#This Row],[Precio Lista CDR]]-Tabla1[[#This Row],[PrecioFábrica]])/Tabla1[[#This Row],[Precio Lista CDR]]</f>
        <v>0.85881164364709417</v>
      </c>
      <c r="M159" s="12">
        <f>(Tabla1[[#This Row],[Lista 1 (20%)]]-Tabla1[[#This Row],[PrecioFábrica]])/Tabla1[[#This Row],[Lista 1 (20%)]]</f>
        <v>0.82351455455886768</v>
      </c>
      <c r="N159" s="12">
        <f>(Tabla1[[#This Row],[Lista 2 (30%)]]-Tabla1[[#This Row],[PrecioFábrica]])/Tabla1[[#This Row],[Lista 2 (30%)]]</f>
        <v>0.79830234806727751</v>
      </c>
      <c r="O159" s="12">
        <f>(Tabla1[[#This Row],[Lista 3 (40%)]]-Tabla1[[#This Row],[PrecioFábrica]])/Tabla1[[#This Row],[Lista 3 (40%)]]</f>
        <v>0.76468607274515699</v>
      </c>
    </row>
    <row r="160" spans="1:15">
      <c r="A160" t="s">
        <v>6</v>
      </c>
      <c r="B160" t="s">
        <v>169</v>
      </c>
      <c r="C160" t="s">
        <v>971</v>
      </c>
      <c r="D160" t="s">
        <v>811</v>
      </c>
      <c r="E160" t="s">
        <v>5</v>
      </c>
      <c r="F160" s="3">
        <v>2.4</v>
      </c>
      <c r="G160" s="10">
        <f>VLOOKUP(Tabla1[[#This Row],[Código Unificador]],PRECIOS_COMPETENCIA!B:D,3,FALSE)</f>
        <v>17.377600000000001</v>
      </c>
      <c r="H160" s="10">
        <f>Tabla1[[#This Row],[PVP Competencia]]*0.98</f>
        <v>17.030048000000001</v>
      </c>
      <c r="I160" s="10">
        <f>Tabla1[[#This Row],[Precio Lista CDR]]*0.8</f>
        <v>13.624038400000002</v>
      </c>
      <c r="J160" s="10">
        <f>Tabla1[[#This Row],[Precio Lista CDR]]*0.7</f>
        <v>11.921033599999999</v>
      </c>
      <c r="K160" s="10">
        <f>Tabla1[[#This Row],[Precio Lista CDR]]*0.6</f>
        <v>10.218028800000001</v>
      </c>
      <c r="L160" s="12">
        <f>(Tabla1[[#This Row],[Precio Lista CDR]]-Tabla1[[#This Row],[PrecioFábrica]])/Tabla1[[#This Row],[Precio Lista CDR]]</f>
        <v>0.85907262269607221</v>
      </c>
      <c r="M160" s="12">
        <f>(Tabla1[[#This Row],[Lista 1 (20%)]]-Tabla1[[#This Row],[PrecioFábrica]])/Tabla1[[#This Row],[Lista 1 (20%)]]</f>
        <v>0.82384077837009029</v>
      </c>
      <c r="N160" s="12">
        <f>(Tabla1[[#This Row],[Lista 2 (30%)]]-Tabla1[[#This Row],[PrecioFábrica]])/Tabla1[[#This Row],[Lista 2 (30%)]]</f>
        <v>0.79867517528010323</v>
      </c>
      <c r="O160" s="12">
        <f>(Tabla1[[#This Row],[Lista 3 (40%)]]-Tabla1[[#This Row],[PrecioFábrica]])/Tabla1[[#This Row],[Lista 3 (40%)]]</f>
        <v>0.76512103782678709</v>
      </c>
    </row>
    <row r="161" spans="1:15">
      <c r="A161" t="s">
        <v>9</v>
      </c>
      <c r="B161" t="s">
        <v>170</v>
      </c>
      <c r="C161" t="s">
        <v>972</v>
      </c>
      <c r="D161" t="s">
        <v>811</v>
      </c>
      <c r="E161" t="s">
        <v>5</v>
      </c>
      <c r="F161" s="3">
        <v>11.691666666666666</v>
      </c>
      <c r="G161" s="10">
        <f>VLOOKUP(Tabla1[[#This Row],[Código Unificador]],PRECIOS_COMPETENCIA!B:D,3,FALSE)</f>
        <v>44.923008333333335</v>
      </c>
      <c r="H161" s="10">
        <f>Tabla1[[#This Row],[PVP Competencia]]*0.98</f>
        <v>44.024548166666669</v>
      </c>
      <c r="I161" s="10">
        <f>Tabla1[[#This Row],[Precio Lista CDR]]*0.8</f>
        <v>35.219638533333338</v>
      </c>
      <c r="J161" s="10">
        <f>Tabla1[[#This Row],[Precio Lista CDR]]*0.7</f>
        <v>30.817183716666666</v>
      </c>
      <c r="K161" s="10">
        <f>Tabla1[[#This Row],[Precio Lista CDR]]*0.6</f>
        <v>26.4147289</v>
      </c>
      <c r="L161" s="12">
        <f>(Tabla1[[#This Row],[Precio Lista CDR]]-Tabla1[[#This Row],[PrecioFábrica]])/Tabla1[[#This Row],[Precio Lista CDR]]</f>
        <v>0.73442846880779455</v>
      </c>
      <c r="M161" s="12">
        <f>(Tabla1[[#This Row],[Lista 1 (20%)]]-Tabla1[[#This Row],[PrecioFábrica]])/Tabla1[[#This Row],[Lista 1 (20%)]]</f>
        <v>0.66803558600974322</v>
      </c>
      <c r="N161" s="12">
        <f>(Tabla1[[#This Row],[Lista 2 (30%)]]-Tabla1[[#This Row],[PrecioFábrica]])/Tabla1[[#This Row],[Lista 2 (30%)]]</f>
        <v>0.62061209829684938</v>
      </c>
      <c r="O161" s="12">
        <f>(Tabla1[[#This Row],[Lista 3 (40%)]]-Tabla1[[#This Row],[PrecioFábrica]])/Tabla1[[#This Row],[Lista 3 (40%)]]</f>
        <v>0.55738078134632429</v>
      </c>
    </row>
    <row r="162" spans="1:15">
      <c r="A162" t="s">
        <v>7</v>
      </c>
      <c r="B162" t="s">
        <v>171</v>
      </c>
      <c r="C162" t="s">
        <v>973</v>
      </c>
      <c r="D162" t="s">
        <v>811</v>
      </c>
      <c r="E162" t="s">
        <v>5</v>
      </c>
      <c r="F162" s="3">
        <v>16.708333333333336</v>
      </c>
      <c r="G162" s="10">
        <f>VLOOKUP(Tabla1[[#This Row],[Código Unificador]],PRECIOS_COMPETENCIA!B:D,3,FALSE)</f>
        <v>59.423250000000017</v>
      </c>
      <c r="H162" s="10">
        <f>Tabla1[[#This Row],[PVP Competencia]]*0.98</f>
        <v>58.234785000000016</v>
      </c>
      <c r="I162" s="10">
        <f>Tabla1[[#This Row],[Precio Lista CDR]]*0.8</f>
        <v>46.587828000000016</v>
      </c>
      <c r="J162" s="10">
        <f>Tabla1[[#This Row],[Precio Lista CDR]]*0.7</f>
        <v>40.764349500000009</v>
      </c>
      <c r="K162" s="10">
        <f>Tabla1[[#This Row],[Precio Lista CDR]]*0.6</f>
        <v>34.940871000000008</v>
      </c>
      <c r="L162" s="12">
        <f>(Tabla1[[#This Row],[Precio Lista CDR]]-Tabla1[[#This Row],[PrecioFábrica]])/Tabla1[[#This Row],[Precio Lista CDR]]</f>
        <v>0.71308671727158723</v>
      </c>
      <c r="M162" s="12">
        <f>(Tabla1[[#This Row],[Lista 1 (20%)]]-Tabla1[[#This Row],[PrecioFábrica]])/Tabla1[[#This Row],[Lista 1 (20%)]]</f>
        <v>0.64135839658948401</v>
      </c>
      <c r="N162" s="12">
        <f>(Tabla1[[#This Row],[Lista 2 (30%)]]-Tabla1[[#This Row],[PrecioFábrica]])/Tabla1[[#This Row],[Lista 2 (30%)]]</f>
        <v>0.59012388181655318</v>
      </c>
      <c r="O162" s="12">
        <f>(Tabla1[[#This Row],[Lista 3 (40%)]]-Tabla1[[#This Row],[PrecioFábrica]])/Tabla1[[#This Row],[Lista 3 (40%)]]</f>
        <v>0.52181119545264532</v>
      </c>
    </row>
    <row r="163" spans="1:15">
      <c r="A163" t="s">
        <v>7</v>
      </c>
      <c r="B163" t="s">
        <v>172</v>
      </c>
      <c r="C163" t="s">
        <v>974</v>
      </c>
      <c r="D163" t="s">
        <v>811</v>
      </c>
      <c r="E163" t="s">
        <v>5</v>
      </c>
      <c r="F163" s="3">
        <v>6.416666666666667</v>
      </c>
      <c r="G163" s="10">
        <f>VLOOKUP(Tabla1[[#This Row],[Código Unificador]],PRECIOS_COMPETENCIA!B:D,3,FALSE)</f>
        <v>29.910916666666669</v>
      </c>
      <c r="H163" s="10">
        <f>Tabla1[[#This Row],[PVP Competencia]]*0.98</f>
        <v>29.312698333333334</v>
      </c>
      <c r="I163" s="10">
        <f>Tabla1[[#This Row],[Precio Lista CDR]]*0.8</f>
        <v>23.450158666666667</v>
      </c>
      <c r="J163" s="10">
        <f>Tabla1[[#This Row],[Precio Lista CDR]]*0.7</f>
        <v>20.518888833333332</v>
      </c>
      <c r="K163" s="10">
        <f>Tabla1[[#This Row],[Precio Lista CDR]]*0.6</f>
        <v>17.587619</v>
      </c>
      <c r="L163" s="12">
        <f>(Tabla1[[#This Row],[Precio Lista CDR]]-Tabla1[[#This Row],[PrecioFábrica]])/Tabla1[[#This Row],[Precio Lista CDR]]</f>
        <v>0.78109600850461902</v>
      </c>
      <c r="M163" s="12">
        <f>(Tabla1[[#This Row],[Lista 1 (20%)]]-Tabla1[[#This Row],[PrecioFábrica]])/Tabla1[[#This Row],[Lista 1 (20%)]]</f>
        <v>0.72637001063077378</v>
      </c>
      <c r="N163" s="12">
        <f>(Tabla1[[#This Row],[Lista 2 (30%)]]-Tabla1[[#This Row],[PrecioFábrica]])/Tabla1[[#This Row],[Lista 2 (30%)]]</f>
        <v>0.68728001214945578</v>
      </c>
      <c r="O163" s="12">
        <f>(Tabla1[[#This Row],[Lista 3 (40%)]]-Tabla1[[#This Row],[PrecioFábrica]])/Tabla1[[#This Row],[Lista 3 (40%)]]</f>
        <v>0.63516001417436507</v>
      </c>
    </row>
    <row r="164" spans="1:15">
      <c r="A164" t="s">
        <v>9</v>
      </c>
      <c r="B164" t="s">
        <v>173</v>
      </c>
      <c r="C164" t="s">
        <v>975</v>
      </c>
      <c r="D164" t="s">
        <v>811</v>
      </c>
      <c r="E164" t="s">
        <v>5</v>
      </c>
      <c r="F164" s="3">
        <v>5.9750000000000005</v>
      </c>
      <c r="G164" s="10">
        <f>VLOOKUP(Tabla1[[#This Row],[Código Unificador]],PRECIOS_COMPETENCIA!B:D,3,FALSE)</f>
        <v>28.193875000000006</v>
      </c>
      <c r="H164" s="10">
        <f>Tabla1[[#This Row],[PVP Competencia]]*0.98</f>
        <v>27.629997500000005</v>
      </c>
      <c r="I164" s="10">
        <f>Tabla1[[#This Row],[Precio Lista CDR]]*0.8</f>
        <v>22.103998000000004</v>
      </c>
      <c r="J164" s="10">
        <f>Tabla1[[#This Row],[Precio Lista CDR]]*0.7</f>
        <v>19.340998250000002</v>
      </c>
      <c r="K164" s="10">
        <f>Tabla1[[#This Row],[Precio Lista CDR]]*0.6</f>
        <v>16.577998500000003</v>
      </c>
      <c r="L164" s="12">
        <f>(Tabla1[[#This Row],[Precio Lista CDR]]-Tabla1[[#This Row],[PrecioFábrica]])/Tabla1[[#This Row],[Precio Lista CDR]]</f>
        <v>0.78374952802655884</v>
      </c>
      <c r="M164" s="12">
        <f>(Tabla1[[#This Row],[Lista 1 (20%)]]-Tabla1[[#This Row],[PrecioFábrica]])/Tabla1[[#This Row],[Lista 1 (20%)]]</f>
        <v>0.72968691003319852</v>
      </c>
      <c r="N164" s="12">
        <f>(Tabla1[[#This Row],[Lista 2 (30%)]]-Tabla1[[#This Row],[PrecioFábrica]])/Tabla1[[#This Row],[Lista 2 (30%)]]</f>
        <v>0.69107075432365539</v>
      </c>
      <c r="O164" s="12">
        <f>(Tabla1[[#This Row],[Lista 3 (40%)]]-Tabla1[[#This Row],[PrecioFábrica]])/Tabla1[[#This Row],[Lista 3 (40%)]]</f>
        <v>0.63958254671093129</v>
      </c>
    </row>
    <row r="165" spans="1:15">
      <c r="A165" t="s">
        <v>6</v>
      </c>
      <c r="B165" t="s">
        <v>174</v>
      </c>
      <c r="C165" t="s">
        <v>976</v>
      </c>
      <c r="D165" t="s">
        <v>811</v>
      </c>
      <c r="E165" t="s">
        <v>5</v>
      </c>
      <c r="F165" s="3">
        <v>2.9416666666666669</v>
      </c>
      <c r="G165" s="10">
        <f>VLOOKUP(Tabla1[[#This Row],[Código Unificador]],PRECIOS_COMPETENCIA!B:D,3,FALSE)</f>
        <v>19.127991666666667</v>
      </c>
      <c r="H165" s="10">
        <f>Tabla1[[#This Row],[PVP Competencia]]*0.98</f>
        <v>18.745431833333331</v>
      </c>
      <c r="I165" s="10">
        <f>Tabla1[[#This Row],[Precio Lista CDR]]*0.8</f>
        <v>14.996345466666666</v>
      </c>
      <c r="J165" s="10">
        <f>Tabla1[[#This Row],[Precio Lista CDR]]*0.7</f>
        <v>13.121802283333331</v>
      </c>
      <c r="K165" s="10">
        <f>Tabla1[[#This Row],[Precio Lista CDR]]*0.6</f>
        <v>11.247259099999999</v>
      </c>
      <c r="L165" s="12">
        <f>(Tabla1[[#This Row],[Precio Lista CDR]]-Tabla1[[#This Row],[PrecioFábrica]])/Tabla1[[#This Row],[Precio Lista CDR]]</f>
        <v>0.84307287808458153</v>
      </c>
      <c r="M165" s="12">
        <f>(Tabla1[[#This Row],[Lista 1 (20%)]]-Tabla1[[#This Row],[PrecioFábrica]])/Tabla1[[#This Row],[Lista 1 (20%)]]</f>
        <v>0.80384109760572686</v>
      </c>
      <c r="N165" s="12">
        <f>(Tabla1[[#This Row],[Lista 2 (30%)]]-Tabla1[[#This Row],[PrecioFábrica]])/Tabla1[[#This Row],[Lista 2 (30%)]]</f>
        <v>0.77581839726368784</v>
      </c>
      <c r="O165" s="12">
        <f>(Tabla1[[#This Row],[Lista 3 (40%)]]-Tabla1[[#This Row],[PrecioFábrica]])/Tabla1[[#This Row],[Lista 3 (40%)]]</f>
        <v>0.73845479680763582</v>
      </c>
    </row>
    <row r="166" spans="1:15">
      <c r="A166" t="s">
        <v>6</v>
      </c>
      <c r="B166" t="s">
        <v>175</v>
      </c>
      <c r="C166" t="s">
        <v>977</v>
      </c>
      <c r="D166" t="s">
        <v>811</v>
      </c>
      <c r="E166" t="s">
        <v>5</v>
      </c>
      <c r="F166" s="3">
        <v>2.291666666666667</v>
      </c>
      <c r="G166" s="10">
        <f>VLOOKUP(Tabla1[[#This Row],[Código Unificador]],PRECIOS_COMPETENCIA!B:D,3,FALSE)</f>
        <v>17.044583333333335</v>
      </c>
      <c r="H166" s="10">
        <f>Tabla1[[#This Row],[PVP Competencia]]*0.98</f>
        <v>16.703691666666668</v>
      </c>
      <c r="I166" s="10">
        <f>Tabla1[[#This Row],[Precio Lista CDR]]*0.8</f>
        <v>13.362953333333335</v>
      </c>
      <c r="J166" s="10">
        <f>Tabla1[[#This Row],[Precio Lista CDR]]*0.7</f>
        <v>11.692584166666666</v>
      </c>
      <c r="K166" s="10">
        <f>Tabla1[[#This Row],[Precio Lista CDR]]*0.6</f>
        <v>10.022215000000001</v>
      </c>
      <c r="L166" s="12">
        <f>(Tabla1[[#This Row],[Precio Lista CDR]]-Tabla1[[#This Row],[PrecioFábrica]])/Tabla1[[#This Row],[Precio Lista CDR]]</f>
        <v>0.86280477918304477</v>
      </c>
      <c r="M166" s="12">
        <f>(Tabla1[[#This Row],[Lista 1 (20%)]]-Tabla1[[#This Row],[PrecioFábrica]])/Tabla1[[#This Row],[Lista 1 (20%)]]</f>
        <v>0.8285059739788061</v>
      </c>
      <c r="N166" s="12">
        <f>(Tabla1[[#This Row],[Lista 2 (30%)]]-Tabla1[[#This Row],[PrecioFábrica]])/Tabla1[[#This Row],[Lista 2 (30%)]]</f>
        <v>0.8040068274043497</v>
      </c>
      <c r="O166" s="12">
        <f>(Tabla1[[#This Row],[Lista 3 (40%)]]-Tabla1[[#This Row],[PrecioFábrica]])/Tabla1[[#This Row],[Lista 3 (40%)]]</f>
        <v>0.77134129863840806</v>
      </c>
    </row>
    <row r="167" spans="1:15">
      <c r="A167" t="s">
        <v>7</v>
      </c>
      <c r="B167" t="s">
        <v>176</v>
      </c>
      <c r="C167" t="s">
        <v>978</v>
      </c>
      <c r="D167" t="s">
        <v>811</v>
      </c>
      <c r="E167" t="s">
        <v>5</v>
      </c>
      <c r="F167" s="3">
        <v>2.7166666666666668</v>
      </c>
      <c r="G167" s="10">
        <f>VLOOKUP(Tabla1[[#This Row],[Código Unificador]],PRECIOS_COMPETENCIA!B:D,3,FALSE)</f>
        <v>18.351033333333334</v>
      </c>
      <c r="H167" s="10">
        <f>Tabla1[[#This Row],[PVP Competencia]]*0.98</f>
        <v>17.984012666666665</v>
      </c>
      <c r="I167" s="10">
        <f>Tabla1[[#This Row],[Precio Lista CDR]]*0.8</f>
        <v>14.387210133333333</v>
      </c>
      <c r="J167" s="10">
        <f>Tabla1[[#This Row],[Precio Lista CDR]]*0.7</f>
        <v>12.588808866666664</v>
      </c>
      <c r="K167" s="10">
        <f>Tabla1[[#This Row],[Precio Lista CDR]]*0.6</f>
        <v>10.790407599999998</v>
      </c>
      <c r="L167" s="12">
        <f>(Tabla1[[#This Row],[Precio Lista CDR]]-Tabla1[[#This Row],[PrecioFábrica]])/Tabla1[[#This Row],[Precio Lista CDR]]</f>
        <v>0.84893990473538739</v>
      </c>
      <c r="M167" s="12">
        <f>(Tabla1[[#This Row],[Lista 1 (20%)]]-Tabla1[[#This Row],[PrecioFábrica]])/Tabla1[[#This Row],[Lista 1 (20%)]]</f>
        <v>0.81117488091923418</v>
      </c>
      <c r="N167" s="12">
        <f>(Tabla1[[#This Row],[Lista 2 (30%)]]-Tabla1[[#This Row],[PrecioFábrica]])/Tabla1[[#This Row],[Lista 2 (30%)]]</f>
        <v>0.78419986390769625</v>
      </c>
      <c r="O167" s="12">
        <f>(Tabla1[[#This Row],[Lista 3 (40%)]]-Tabla1[[#This Row],[PrecioFábrica]])/Tabla1[[#This Row],[Lista 3 (40%)]]</f>
        <v>0.74823317455897886</v>
      </c>
    </row>
    <row r="168" spans="1:15">
      <c r="A168" t="s">
        <v>6</v>
      </c>
      <c r="B168" t="s">
        <v>177</v>
      </c>
      <c r="C168" t="s">
        <v>979</v>
      </c>
      <c r="D168" t="s">
        <v>811</v>
      </c>
      <c r="E168" t="s">
        <v>5</v>
      </c>
      <c r="F168" s="3">
        <v>2.2999999999999998</v>
      </c>
      <c r="G168" s="10">
        <f>VLOOKUP(Tabla1[[#This Row],[Código Unificador]],PRECIOS_COMPETENCIA!B:D,3,FALSE)</f>
        <v>17.136900000000001</v>
      </c>
      <c r="H168" s="10">
        <f>Tabla1[[#This Row],[PVP Competencia]]*0.98</f>
        <v>16.794162</v>
      </c>
      <c r="I168" s="10">
        <f>Tabla1[[#This Row],[Precio Lista CDR]]*0.8</f>
        <v>13.435329600000001</v>
      </c>
      <c r="J168" s="10">
        <f>Tabla1[[#This Row],[Precio Lista CDR]]*0.7</f>
        <v>11.755913399999999</v>
      </c>
      <c r="K168" s="10">
        <f>Tabla1[[#This Row],[Precio Lista CDR]]*0.6</f>
        <v>10.0764972</v>
      </c>
      <c r="L168" s="12">
        <f>(Tabla1[[#This Row],[Precio Lista CDR]]-Tabla1[[#This Row],[PrecioFábrica]])/Tabla1[[#This Row],[Precio Lista CDR]]</f>
        <v>0.86304764715262361</v>
      </c>
      <c r="M168" s="12">
        <f>(Tabla1[[#This Row],[Lista 1 (20%)]]-Tabla1[[#This Row],[PrecioFábrica]])/Tabla1[[#This Row],[Lista 1 (20%)]]</f>
        <v>0.82880955894077968</v>
      </c>
      <c r="N168" s="12">
        <f>(Tabla1[[#This Row],[Lista 2 (30%)]]-Tabla1[[#This Row],[PrecioFábrica]])/Tabla1[[#This Row],[Lista 2 (30%)]]</f>
        <v>0.80435378164660531</v>
      </c>
      <c r="O168" s="12">
        <f>(Tabla1[[#This Row],[Lista 3 (40%)]]-Tabla1[[#This Row],[PrecioFábrica]])/Tabla1[[#This Row],[Lista 3 (40%)]]</f>
        <v>0.77174607858770605</v>
      </c>
    </row>
    <row r="169" spans="1:15">
      <c r="A169" t="s">
        <v>6</v>
      </c>
      <c r="B169" t="s">
        <v>178</v>
      </c>
      <c r="C169" t="s">
        <v>980</v>
      </c>
      <c r="D169" t="s">
        <v>811</v>
      </c>
      <c r="E169" t="s">
        <v>5</v>
      </c>
      <c r="F169" s="3">
        <v>2.5583333333333336</v>
      </c>
      <c r="G169" s="10">
        <f>VLOOKUP(Tabla1[[#This Row],[Código Unificador]],PRECIOS_COMPETENCIA!B:D,3,FALSE)</f>
        <v>17.567550000000001</v>
      </c>
      <c r="H169" s="10">
        <f>Tabla1[[#This Row],[PVP Competencia]]*0.98</f>
        <v>17.216199</v>
      </c>
      <c r="I169" s="10">
        <f>Tabla1[[#This Row],[Precio Lista CDR]]*0.8</f>
        <v>13.772959200000001</v>
      </c>
      <c r="J169" s="10">
        <f>Tabla1[[#This Row],[Precio Lista CDR]]*0.7</f>
        <v>12.051339299999999</v>
      </c>
      <c r="K169" s="10">
        <f>Tabla1[[#This Row],[Precio Lista CDR]]*0.6</f>
        <v>10.3297194</v>
      </c>
      <c r="L169" s="12">
        <f>(Tabla1[[#This Row],[Precio Lista CDR]]-Tabla1[[#This Row],[PrecioFábrica]])/Tabla1[[#This Row],[Precio Lista CDR]]</f>
        <v>0.85139964208514707</v>
      </c>
      <c r="M169" s="12">
        <f>(Tabla1[[#This Row],[Lista 1 (20%)]]-Tabla1[[#This Row],[PrecioFábrica]])/Tabla1[[#This Row],[Lista 1 (20%)]]</f>
        <v>0.81424955260643384</v>
      </c>
      <c r="N169" s="12">
        <f>(Tabla1[[#This Row],[Lista 2 (30%)]]-Tabla1[[#This Row],[PrecioFábrica]])/Tabla1[[#This Row],[Lista 2 (30%)]]</f>
        <v>0.78771377440735291</v>
      </c>
      <c r="O169" s="12">
        <f>(Tabla1[[#This Row],[Lista 3 (40%)]]-Tabla1[[#This Row],[PrecioFábrica]])/Tabla1[[#This Row],[Lista 3 (40%)]]</f>
        <v>0.75233273680857837</v>
      </c>
    </row>
    <row r="170" spans="1:15">
      <c r="A170" t="s">
        <v>6</v>
      </c>
      <c r="B170" t="s">
        <v>179</v>
      </c>
      <c r="C170" t="s">
        <v>981</v>
      </c>
      <c r="D170" t="s">
        <v>811</v>
      </c>
      <c r="E170" t="s">
        <v>5</v>
      </c>
      <c r="F170" s="3">
        <v>2.2500000000000004</v>
      </c>
      <c r="G170" s="10">
        <f>VLOOKUP(Tabla1[[#This Row],[Código Unificador]],PRECIOS_COMPETENCIA!B:D,3,FALSE)</f>
        <v>16.981750000000002</v>
      </c>
      <c r="H170" s="10">
        <f>Tabla1[[#This Row],[PVP Competencia]]*0.98</f>
        <v>16.642115</v>
      </c>
      <c r="I170" s="10">
        <f>Tabla1[[#This Row],[Precio Lista CDR]]*0.8</f>
        <v>13.313692000000001</v>
      </c>
      <c r="J170" s="10">
        <f>Tabla1[[#This Row],[Precio Lista CDR]]*0.7</f>
        <v>11.649480499999999</v>
      </c>
      <c r="K170" s="10">
        <f>Tabla1[[#This Row],[Precio Lista CDR]]*0.6</f>
        <v>9.9852690000000006</v>
      </c>
      <c r="L170" s="12">
        <f>(Tabla1[[#This Row],[Precio Lista CDR]]-Tabla1[[#This Row],[PrecioFábrica]])/Tabla1[[#This Row],[Precio Lista CDR]]</f>
        <v>0.86480083811462671</v>
      </c>
      <c r="M170" s="12">
        <f>(Tabla1[[#This Row],[Lista 1 (20%)]]-Tabla1[[#This Row],[PrecioFábrica]])/Tabla1[[#This Row],[Lista 1 (20%)]]</f>
        <v>0.83100104764328331</v>
      </c>
      <c r="N170" s="12">
        <f>(Tabla1[[#This Row],[Lista 2 (30%)]]-Tabla1[[#This Row],[PrecioFábrica]])/Tabla1[[#This Row],[Lista 2 (30%)]]</f>
        <v>0.80685834016375235</v>
      </c>
      <c r="O170" s="12">
        <f>(Tabla1[[#This Row],[Lista 3 (40%)]]-Tabla1[[#This Row],[PrecioFábrica]])/Tabla1[[#This Row],[Lista 3 (40%)]]</f>
        <v>0.77466806352437778</v>
      </c>
    </row>
    <row r="171" spans="1:15">
      <c r="A171" t="s">
        <v>6</v>
      </c>
      <c r="B171" t="s">
        <v>180</v>
      </c>
      <c r="C171" t="s">
        <v>982</v>
      </c>
      <c r="D171" t="s">
        <v>811</v>
      </c>
      <c r="E171" t="s">
        <v>5</v>
      </c>
      <c r="F171" s="3">
        <v>2.2833333333333337</v>
      </c>
      <c r="G171" s="10">
        <f>VLOOKUP(Tabla1[[#This Row],[Código Unificador]],PRECIOS_COMPETENCIA!B:D,3,FALSE)</f>
        <v>17.151400000000002</v>
      </c>
      <c r="H171" s="10">
        <f>Tabla1[[#This Row],[PVP Competencia]]*0.98</f>
        <v>16.808372000000002</v>
      </c>
      <c r="I171" s="10">
        <f>Tabla1[[#This Row],[Precio Lista CDR]]*0.8</f>
        <v>13.446697600000002</v>
      </c>
      <c r="J171" s="10">
        <f>Tabla1[[#This Row],[Precio Lista CDR]]*0.7</f>
        <v>11.765860400000001</v>
      </c>
      <c r="K171" s="10">
        <f>Tabla1[[#This Row],[Precio Lista CDR]]*0.6</f>
        <v>10.0850232</v>
      </c>
      <c r="L171" s="12">
        <f>(Tabla1[[#This Row],[Precio Lista CDR]]-Tabla1[[#This Row],[PrecioFábrica]])/Tabla1[[#This Row],[Precio Lista CDR]]</f>
        <v>0.86415499768012438</v>
      </c>
      <c r="M171" s="12">
        <f>(Tabla1[[#This Row],[Lista 1 (20%)]]-Tabla1[[#This Row],[PrecioFábrica]])/Tabla1[[#This Row],[Lista 1 (20%)]]</f>
        <v>0.83019374710015548</v>
      </c>
      <c r="N171" s="12">
        <f>(Tabla1[[#This Row],[Lista 2 (30%)]]-Tabla1[[#This Row],[PrecioFábrica]])/Tabla1[[#This Row],[Lista 2 (30%)]]</f>
        <v>0.80593571097160621</v>
      </c>
      <c r="O171" s="12">
        <f>(Tabla1[[#This Row],[Lista 3 (40%)]]-Tabla1[[#This Row],[PrecioFábrica]])/Tabla1[[#This Row],[Lista 3 (40%)]]</f>
        <v>0.77359166280020719</v>
      </c>
    </row>
    <row r="172" spans="1:15">
      <c r="A172" t="s">
        <v>7</v>
      </c>
      <c r="B172" t="s">
        <v>181</v>
      </c>
      <c r="C172" t="s">
        <v>983</v>
      </c>
      <c r="D172" t="s">
        <v>811</v>
      </c>
      <c r="E172" t="s">
        <v>5</v>
      </c>
      <c r="F172" s="3">
        <v>3.1833333333333336</v>
      </c>
      <c r="G172" s="10">
        <f>VLOOKUP(Tabla1[[#This Row],[Código Unificador]],PRECIOS_COMPETENCIA!B:D,3,FALSE)</f>
        <v>19.600933333333334</v>
      </c>
      <c r="H172" s="10">
        <f>Tabla1[[#This Row],[PVP Competencia]]*0.98</f>
        <v>19.208914666666665</v>
      </c>
      <c r="I172" s="10">
        <f>Tabla1[[#This Row],[Precio Lista CDR]]*0.8</f>
        <v>15.367131733333332</v>
      </c>
      <c r="J172" s="10">
        <f>Tabla1[[#This Row],[Precio Lista CDR]]*0.7</f>
        <v>13.446240266666665</v>
      </c>
      <c r="K172" s="10">
        <f>Tabla1[[#This Row],[Precio Lista CDR]]*0.6</f>
        <v>11.525348799999998</v>
      </c>
      <c r="L172" s="12">
        <f>(Tabla1[[#This Row],[Precio Lista CDR]]-Tabla1[[#This Row],[PrecioFábrica]])/Tabla1[[#This Row],[Precio Lista CDR]]</f>
        <v>0.83427833437891263</v>
      </c>
      <c r="M172" s="12">
        <f>(Tabla1[[#This Row],[Lista 1 (20%)]]-Tabla1[[#This Row],[PrecioFábrica]])/Tabla1[[#This Row],[Lista 1 (20%)]]</f>
        <v>0.79284791797364085</v>
      </c>
      <c r="N172" s="12">
        <f>(Tabla1[[#This Row],[Lista 2 (30%)]]-Tabla1[[#This Row],[PrecioFábrica]])/Tabla1[[#This Row],[Lista 2 (30%)]]</f>
        <v>0.76325476339844667</v>
      </c>
      <c r="O172" s="12">
        <f>(Tabla1[[#This Row],[Lista 3 (40%)]]-Tabla1[[#This Row],[PrecioFábrica]])/Tabla1[[#This Row],[Lista 3 (40%)]]</f>
        <v>0.72379722396485435</v>
      </c>
    </row>
    <row r="173" spans="1:15">
      <c r="A173" t="s">
        <v>6</v>
      </c>
      <c r="B173" t="s">
        <v>182</v>
      </c>
      <c r="C173" t="s">
        <v>984</v>
      </c>
      <c r="D173" t="s">
        <v>811</v>
      </c>
      <c r="E173" t="s">
        <v>5</v>
      </c>
      <c r="F173" s="3">
        <v>2.7166666666666668</v>
      </c>
      <c r="G173" s="10">
        <f>VLOOKUP(Tabla1[[#This Row],[Código Unificador]],PRECIOS_COMPETENCIA!B:D,3,FALSE)</f>
        <v>18.351033333333334</v>
      </c>
      <c r="H173" s="10">
        <f>Tabla1[[#This Row],[PVP Competencia]]*0.98</f>
        <v>17.984012666666665</v>
      </c>
      <c r="I173" s="10">
        <f>Tabla1[[#This Row],[Precio Lista CDR]]*0.8</f>
        <v>14.387210133333333</v>
      </c>
      <c r="J173" s="10">
        <f>Tabla1[[#This Row],[Precio Lista CDR]]*0.7</f>
        <v>12.588808866666664</v>
      </c>
      <c r="K173" s="10">
        <f>Tabla1[[#This Row],[Precio Lista CDR]]*0.6</f>
        <v>10.790407599999998</v>
      </c>
      <c r="L173" s="12">
        <f>(Tabla1[[#This Row],[Precio Lista CDR]]-Tabla1[[#This Row],[PrecioFábrica]])/Tabla1[[#This Row],[Precio Lista CDR]]</f>
        <v>0.84893990473538739</v>
      </c>
      <c r="M173" s="12">
        <f>(Tabla1[[#This Row],[Lista 1 (20%)]]-Tabla1[[#This Row],[PrecioFábrica]])/Tabla1[[#This Row],[Lista 1 (20%)]]</f>
        <v>0.81117488091923418</v>
      </c>
      <c r="N173" s="12">
        <f>(Tabla1[[#This Row],[Lista 2 (30%)]]-Tabla1[[#This Row],[PrecioFábrica]])/Tabla1[[#This Row],[Lista 2 (30%)]]</f>
        <v>0.78419986390769625</v>
      </c>
      <c r="O173" s="12">
        <f>(Tabla1[[#This Row],[Lista 3 (40%)]]-Tabla1[[#This Row],[PrecioFábrica]])/Tabla1[[#This Row],[Lista 3 (40%)]]</f>
        <v>0.74823317455897886</v>
      </c>
    </row>
    <row r="174" spans="1:15">
      <c r="A174" t="s">
        <v>6</v>
      </c>
      <c r="B174" t="s">
        <v>183</v>
      </c>
      <c r="C174" t="s">
        <v>985</v>
      </c>
      <c r="D174" t="s">
        <v>811</v>
      </c>
      <c r="E174" t="s">
        <v>5</v>
      </c>
      <c r="F174" s="3">
        <v>2.3583333333333334</v>
      </c>
      <c r="G174" s="10">
        <f>VLOOKUP(Tabla1[[#This Row],[Código Unificador]],PRECIOS_COMPETENCIA!B:D,3,FALSE)</f>
        <v>17.386300000000002</v>
      </c>
      <c r="H174" s="10">
        <f>Tabla1[[#This Row],[PVP Competencia]]*0.98</f>
        <v>17.038574000000001</v>
      </c>
      <c r="I174" s="10">
        <f>Tabla1[[#This Row],[Precio Lista CDR]]*0.8</f>
        <v>13.630859200000002</v>
      </c>
      <c r="J174" s="10">
        <f>Tabla1[[#This Row],[Precio Lista CDR]]*0.7</f>
        <v>11.927001799999999</v>
      </c>
      <c r="K174" s="10">
        <f>Tabla1[[#This Row],[Precio Lista CDR]]*0.6</f>
        <v>10.223144400000001</v>
      </c>
      <c r="L174" s="12">
        <f>(Tabla1[[#This Row],[Precio Lista CDR]]-Tabla1[[#This Row],[PrecioFábrica]])/Tabla1[[#This Row],[Precio Lista CDR]]</f>
        <v>0.8615885734725609</v>
      </c>
      <c r="M174" s="12">
        <f>(Tabla1[[#This Row],[Lista 1 (20%)]]-Tabla1[[#This Row],[PrecioFábrica]])/Tabla1[[#This Row],[Lista 1 (20%)]]</f>
        <v>0.82698571684070121</v>
      </c>
      <c r="N174" s="12">
        <f>(Tabla1[[#This Row],[Lista 2 (30%)]]-Tabla1[[#This Row],[PrecioFábrica]])/Tabla1[[#This Row],[Lista 2 (30%)]]</f>
        <v>0.80226939067508696</v>
      </c>
      <c r="O174" s="12">
        <f>(Tabla1[[#This Row],[Lista 3 (40%)]]-Tabla1[[#This Row],[PrecioFábrica]])/Tabla1[[#This Row],[Lista 3 (40%)]]</f>
        <v>0.76931428912093491</v>
      </c>
    </row>
    <row r="175" spans="1:15">
      <c r="A175" t="s">
        <v>6</v>
      </c>
      <c r="B175" t="s">
        <v>184</v>
      </c>
      <c r="C175" t="s">
        <v>986</v>
      </c>
      <c r="D175" t="s">
        <v>811</v>
      </c>
      <c r="E175" t="s">
        <v>5</v>
      </c>
      <c r="F175" s="3">
        <v>2.85</v>
      </c>
      <c r="G175" s="10">
        <f>VLOOKUP(Tabla1[[#This Row],[Código Unificador]],PRECIOS_COMPETENCIA!B:D,3,FALSE)</f>
        <v>18.84355</v>
      </c>
      <c r="H175" s="10">
        <f>Tabla1[[#This Row],[PVP Competencia]]*0.98</f>
        <v>18.466678999999999</v>
      </c>
      <c r="I175" s="10">
        <f>Tabla1[[#This Row],[Precio Lista CDR]]*0.8</f>
        <v>14.773343199999999</v>
      </c>
      <c r="J175" s="10">
        <f>Tabla1[[#This Row],[Precio Lista CDR]]*0.7</f>
        <v>12.926675299999999</v>
      </c>
      <c r="K175" s="10">
        <f>Tabla1[[#This Row],[Precio Lista CDR]]*0.6</f>
        <v>11.0800074</v>
      </c>
      <c r="L175" s="12">
        <f>(Tabla1[[#This Row],[Precio Lista CDR]]-Tabla1[[#This Row],[PrecioFábrica]])/Tabla1[[#This Row],[Precio Lista CDR]]</f>
        <v>0.84566797310983743</v>
      </c>
      <c r="M175" s="12">
        <f>(Tabla1[[#This Row],[Lista 1 (20%)]]-Tabla1[[#This Row],[PrecioFábrica]])/Tabla1[[#This Row],[Lista 1 (20%)]]</f>
        <v>0.80708496638729688</v>
      </c>
      <c r="N175" s="12">
        <f>(Tabla1[[#This Row],[Lista 2 (30%)]]-Tabla1[[#This Row],[PrecioFábrica]])/Tabla1[[#This Row],[Lista 2 (30%)]]</f>
        <v>0.77952567587119637</v>
      </c>
      <c r="O175" s="12">
        <f>(Tabla1[[#This Row],[Lista 3 (40%)]]-Tabla1[[#This Row],[PrecioFábrica]])/Tabla1[[#This Row],[Lista 3 (40%)]]</f>
        <v>0.74277995518306239</v>
      </c>
    </row>
    <row r="176" spans="1:15">
      <c r="A176" t="s">
        <v>6</v>
      </c>
      <c r="B176" t="s">
        <v>185</v>
      </c>
      <c r="C176" t="s">
        <v>987</v>
      </c>
      <c r="D176" t="s">
        <v>811</v>
      </c>
      <c r="E176" t="s">
        <v>5</v>
      </c>
      <c r="F176" s="3">
        <v>3.7833333333333337</v>
      </c>
      <c r="G176" s="10">
        <f>VLOOKUP(Tabla1[[#This Row],[Código Unificador]],PRECIOS_COMPETENCIA!B:D,3,FALSE)</f>
        <v>21.410533333333337</v>
      </c>
      <c r="H176" s="10">
        <f>Tabla1[[#This Row],[PVP Competencia]]*0.98</f>
        <v>20.982322666666668</v>
      </c>
      <c r="I176" s="10">
        <f>Tabla1[[#This Row],[Precio Lista CDR]]*0.8</f>
        <v>16.785858133333335</v>
      </c>
      <c r="J176" s="10">
        <f>Tabla1[[#This Row],[Precio Lista CDR]]*0.7</f>
        <v>14.687625866666666</v>
      </c>
      <c r="K176" s="10">
        <f>Tabla1[[#This Row],[Precio Lista CDR]]*0.6</f>
        <v>12.589393600000001</v>
      </c>
      <c r="L176" s="12">
        <f>(Tabla1[[#This Row],[Precio Lista CDR]]-Tabla1[[#This Row],[PrecioFábrica]])/Tabla1[[#This Row],[Precio Lista CDR]]</f>
        <v>0.81968948845955525</v>
      </c>
      <c r="M176" s="12">
        <f>(Tabla1[[#This Row],[Lista 1 (20%)]]-Tabla1[[#This Row],[PrecioFábrica]])/Tabla1[[#This Row],[Lista 1 (20%)]]</f>
        <v>0.7746118605744442</v>
      </c>
      <c r="N176" s="12">
        <f>(Tabla1[[#This Row],[Lista 2 (30%)]]-Tabla1[[#This Row],[PrecioFábrica]])/Tabla1[[#This Row],[Lista 2 (30%)]]</f>
        <v>0.74241355494222194</v>
      </c>
      <c r="O176" s="12">
        <f>(Tabla1[[#This Row],[Lista 3 (40%)]]-Tabla1[[#This Row],[PrecioFábrica]])/Tabla1[[#This Row],[Lista 3 (40%)]]</f>
        <v>0.69948248076592567</v>
      </c>
    </row>
    <row r="177" spans="1:15">
      <c r="A177" t="s">
        <v>6</v>
      </c>
      <c r="B177" t="s">
        <v>186</v>
      </c>
      <c r="C177" t="s">
        <v>988</v>
      </c>
      <c r="D177" t="s">
        <v>811</v>
      </c>
      <c r="E177" t="s">
        <v>5</v>
      </c>
      <c r="F177" s="3">
        <v>3.8250000000000002</v>
      </c>
      <c r="G177" s="10">
        <f>VLOOKUP(Tabla1[[#This Row],[Código Unificador]],PRECIOS_COMPETENCIA!B:D,3,FALSE)</f>
        <v>21.425274999999999</v>
      </c>
      <c r="H177" s="10">
        <f>Tabla1[[#This Row],[PVP Competencia]]*0.98</f>
        <v>20.996769499999999</v>
      </c>
      <c r="I177" s="10">
        <f>Tabla1[[#This Row],[Precio Lista CDR]]*0.8</f>
        <v>16.797415600000001</v>
      </c>
      <c r="J177" s="10">
        <f>Tabla1[[#This Row],[Precio Lista CDR]]*0.7</f>
        <v>14.697738649999998</v>
      </c>
      <c r="K177" s="10">
        <f>Tabla1[[#This Row],[Precio Lista CDR]]*0.6</f>
        <v>12.598061699999999</v>
      </c>
      <c r="L177" s="12">
        <f>(Tabla1[[#This Row],[Precio Lista CDR]]-Tabla1[[#This Row],[PrecioFábrica]])/Tabla1[[#This Row],[Precio Lista CDR]]</f>
        <v>0.81782911890326748</v>
      </c>
      <c r="M177" s="12">
        <f>(Tabla1[[#This Row],[Lista 1 (20%)]]-Tabla1[[#This Row],[PrecioFábrica]])/Tabla1[[#This Row],[Lista 1 (20%)]]</f>
        <v>0.77228639862908444</v>
      </c>
      <c r="N177" s="12">
        <f>(Tabla1[[#This Row],[Lista 2 (30%)]]-Tabla1[[#This Row],[PrecioFábrica]])/Tabla1[[#This Row],[Lista 2 (30%)]]</f>
        <v>0.73975588414752502</v>
      </c>
      <c r="O177" s="12">
        <f>(Tabla1[[#This Row],[Lista 3 (40%)]]-Tabla1[[#This Row],[PrecioFábrica]])/Tabla1[[#This Row],[Lista 3 (40%)]]</f>
        <v>0.69638186483877917</v>
      </c>
    </row>
    <row r="178" spans="1:15">
      <c r="A178" t="s">
        <v>6</v>
      </c>
      <c r="B178" t="s">
        <v>187</v>
      </c>
      <c r="C178" t="s">
        <v>989</v>
      </c>
      <c r="D178" t="s">
        <v>811</v>
      </c>
      <c r="E178" t="s">
        <v>5</v>
      </c>
      <c r="F178" s="3">
        <v>2.5666666666666669</v>
      </c>
      <c r="G178" s="10">
        <f>VLOOKUP(Tabla1[[#This Row],[Código Unificador]],PRECIOS_COMPETENCIA!B:D,3,FALSE)</f>
        <v>17.741066666666669</v>
      </c>
      <c r="H178" s="10">
        <f>Tabla1[[#This Row],[PVP Competencia]]*0.98</f>
        <v>17.386245333333335</v>
      </c>
      <c r="I178" s="10">
        <f>Tabla1[[#This Row],[Precio Lista CDR]]*0.8</f>
        <v>13.908996266666669</v>
      </c>
      <c r="J178" s="10">
        <f>Tabla1[[#This Row],[Precio Lista CDR]]*0.7</f>
        <v>12.170371733333333</v>
      </c>
      <c r="K178" s="10">
        <f>Tabla1[[#This Row],[Precio Lista CDR]]*0.6</f>
        <v>10.4317472</v>
      </c>
      <c r="L178" s="12">
        <f>(Tabla1[[#This Row],[Precio Lista CDR]]-Tabla1[[#This Row],[PrecioFábrica]])/Tabla1[[#This Row],[Precio Lista CDR]]</f>
        <v>0.85237372316691118</v>
      </c>
      <c r="M178" s="12">
        <f>(Tabla1[[#This Row],[Lista 1 (20%)]]-Tabla1[[#This Row],[PrecioFábrica]])/Tabla1[[#This Row],[Lista 1 (20%)]]</f>
        <v>0.81546715395863889</v>
      </c>
      <c r="N178" s="12">
        <f>(Tabla1[[#This Row],[Lista 2 (30%)]]-Tabla1[[#This Row],[PrecioFábrica]])/Tabla1[[#This Row],[Lista 2 (30%)]]</f>
        <v>0.789105318809873</v>
      </c>
      <c r="O178" s="12">
        <f>(Tabla1[[#This Row],[Lista 3 (40%)]]-Tabla1[[#This Row],[PrecioFábrica]])/Tabla1[[#This Row],[Lista 3 (40%)]]</f>
        <v>0.75395620527818519</v>
      </c>
    </row>
    <row r="179" spans="1:15">
      <c r="A179" t="s">
        <v>6</v>
      </c>
      <c r="B179" t="s">
        <v>188</v>
      </c>
      <c r="C179" t="s">
        <v>990</v>
      </c>
      <c r="D179" t="s">
        <v>811</v>
      </c>
      <c r="E179" t="s">
        <v>5</v>
      </c>
      <c r="F179" s="3">
        <v>3.9583333333333335</v>
      </c>
      <c r="G179" s="10">
        <f>VLOOKUP(Tabla1[[#This Row],[Código Unificador]],PRECIOS_COMPETENCIA!B:D,3,FALSE)</f>
        <v>21.708750000000002</v>
      </c>
      <c r="H179" s="10">
        <f>Tabla1[[#This Row],[PVP Competencia]]*0.98</f>
        <v>21.274575000000002</v>
      </c>
      <c r="I179" s="10">
        <f>Tabla1[[#This Row],[Precio Lista CDR]]*0.8</f>
        <v>17.019660000000002</v>
      </c>
      <c r="J179" s="10">
        <f>Tabla1[[#This Row],[Precio Lista CDR]]*0.7</f>
        <v>14.8922025</v>
      </c>
      <c r="K179" s="10">
        <f>Tabla1[[#This Row],[Precio Lista CDR]]*0.6</f>
        <v>12.764745000000001</v>
      </c>
      <c r="L179" s="12">
        <f>(Tabla1[[#This Row],[Precio Lista CDR]]-Tabla1[[#This Row],[PrecioFábrica]])/Tabla1[[#This Row],[Precio Lista CDR]]</f>
        <v>0.81394066234773987</v>
      </c>
      <c r="M179" s="12">
        <f>(Tabla1[[#This Row],[Lista 1 (20%)]]-Tabla1[[#This Row],[PrecioFábrica]])/Tabla1[[#This Row],[Lista 1 (20%)]]</f>
        <v>0.76742582793467473</v>
      </c>
      <c r="N179" s="12">
        <f>(Tabla1[[#This Row],[Lista 2 (30%)]]-Tabla1[[#This Row],[PrecioFábrica]])/Tabla1[[#This Row],[Lista 2 (30%)]]</f>
        <v>0.7342009462110568</v>
      </c>
      <c r="O179" s="12">
        <f>(Tabla1[[#This Row],[Lista 3 (40%)]]-Tabla1[[#This Row],[PrecioFábrica]])/Tabla1[[#This Row],[Lista 3 (40%)]]</f>
        <v>0.68990110391289972</v>
      </c>
    </row>
    <row r="180" spans="1:15">
      <c r="A180" t="s">
        <v>6</v>
      </c>
      <c r="B180" t="s">
        <v>189</v>
      </c>
      <c r="C180" t="s">
        <v>991</v>
      </c>
      <c r="D180" t="s">
        <v>811</v>
      </c>
      <c r="E180" t="s">
        <v>5</v>
      </c>
      <c r="F180" s="3">
        <v>2.8750000000000004</v>
      </c>
      <c r="G180" s="10">
        <f>VLOOKUP(Tabla1[[#This Row],[Código Unificador]],PRECIOS_COMPETENCIA!B:D,3,FALSE)</f>
        <v>18.83775</v>
      </c>
      <c r="H180" s="10">
        <f>Tabla1[[#This Row],[PVP Competencia]]*0.98</f>
        <v>18.460995</v>
      </c>
      <c r="I180" s="10">
        <f>Tabla1[[#This Row],[Precio Lista CDR]]*0.8</f>
        <v>14.768796000000002</v>
      </c>
      <c r="J180" s="10">
        <f>Tabla1[[#This Row],[Precio Lista CDR]]*0.7</f>
        <v>12.922696499999999</v>
      </c>
      <c r="K180" s="10">
        <f>Tabla1[[#This Row],[Precio Lista CDR]]*0.6</f>
        <v>11.076597</v>
      </c>
      <c r="L180" s="12">
        <f>(Tabla1[[#This Row],[Precio Lista CDR]]-Tabla1[[#This Row],[PrecioFábrica]])/Tabla1[[#This Row],[Precio Lista CDR]]</f>
        <v>0.84426624892103597</v>
      </c>
      <c r="M180" s="12">
        <f>(Tabla1[[#This Row],[Lista 1 (20%)]]-Tabla1[[#This Row],[PrecioFábrica]])/Tabla1[[#This Row],[Lista 1 (20%)]]</f>
        <v>0.80533281115129496</v>
      </c>
      <c r="N180" s="12">
        <f>(Tabla1[[#This Row],[Lista 2 (30%)]]-Tabla1[[#This Row],[PrecioFábrica]])/Tabla1[[#This Row],[Lista 2 (30%)]]</f>
        <v>0.777523212744337</v>
      </c>
      <c r="O180" s="12">
        <f>(Tabla1[[#This Row],[Lista 3 (40%)]]-Tabla1[[#This Row],[PrecioFábrica]])/Tabla1[[#This Row],[Lista 3 (40%)]]</f>
        <v>0.74044374820172654</v>
      </c>
    </row>
    <row r="181" spans="1:15">
      <c r="A181" t="s">
        <v>6</v>
      </c>
      <c r="B181" t="s">
        <v>190</v>
      </c>
      <c r="C181" t="s">
        <v>992</v>
      </c>
      <c r="D181" t="s">
        <v>811</v>
      </c>
      <c r="E181" t="s">
        <v>5</v>
      </c>
      <c r="F181" s="3">
        <v>2.8083333333333336</v>
      </c>
      <c r="G181" s="10">
        <f>VLOOKUP(Tabla1[[#This Row],[Código Unificador]],PRECIOS_COMPETENCIA!B:D,3,FALSE)</f>
        <v>18.551375</v>
      </c>
      <c r="H181" s="10">
        <f>Tabla1[[#This Row],[PVP Competencia]]*0.98</f>
        <v>18.1803475</v>
      </c>
      <c r="I181" s="10">
        <f>Tabla1[[#This Row],[Precio Lista CDR]]*0.8</f>
        <v>14.544278</v>
      </c>
      <c r="J181" s="10">
        <f>Tabla1[[#This Row],[Precio Lista CDR]]*0.7</f>
        <v>12.72624325</v>
      </c>
      <c r="K181" s="10">
        <f>Tabla1[[#This Row],[Precio Lista CDR]]*0.6</f>
        <v>10.908208499999999</v>
      </c>
      <c r="L181" s="12">
        <f>(Tabla1[[#This Row],[Precio Lista CDR]]-Tabla1[[#This Row],[PrecioFábrica]])/Tabla1[[#This Row],[Precio Lista CDR]]</f>
        <v>0.84552917190755927</v>
      </c>
      <c r="M181" s="12">
        <f>(Tabla1[[#This Row],[Lista 1 (20%)]]-Tabla1[[#This Row],[PrecioFábrica]])/Tabla1[[#This Row],[Lista 1 (20%)]]</f>
        <v>0.8069114648844492</v>
      </c>
      <c r="N181" s="12">
        <f>(Tabla1[[#This Row],[Lista 2 (30%)]]-Tabla1[[#This Row],[PrecioFábrica]])/Tabla1[[#This Row],[Lista 2 (30%)]]</f>
        <v>0.77932738843937044</v>
      </c>
      <c r="O181" s="12">
        <f>(Tabla1[[#This Row],[Lista 3 (40%)]]-Tabla1[[#This Row],[PrecioFábrica]])/Tabla1[[#This Row],[Lista 3 (40%)]]</f>
        <v>0.74254861984593223</v>
      </c>
    </row>
    <row r="182" spans="1:15">
      <c r="A182" t="s">
        <v>6</v>
      </c>
      <c r="B182" t="s">
        <v>191</v>
      </c>
      <c r="C182" t="s">
        <v>993</v>
      </c>
      <c r="D182" t="s">
        <v>811</v>
      </c>
      <c r="E182" t="s">
        <v>5</v>
      </c>
      <c r="F182" s="3">
        <v>3.125</v>
      </c>
      <c r="G182" s="10">
        <f>VLOOKUP(Tabla1[[#This Row],[Código Unificador]],PRECIOS_COMPETENCIA!B:D,3,FALSE)</f>
        <v>19.243749999999999</v>
      </c>
      <c r="H182" s="10">
        <f>Tabla1[[#This Row],[PVP Competencia]]*0.98</f>
        <v>18.858874999999998</v>
      </c>
      <c r="I182" s="10">
        <f>Tabla1[[#This Row],[Precio Lista CDR]]*0.8</f>
        <v>15.0871</v>
      </c>
      <c r="J182" s="10">
        <f>Tabla1[[#This Row],[Precio Lista CDR]]*0.7</f>
        <v>13.201212499999997</v>
      </c>
      <c r="K182" s="10">
        <f>Tabla1[[#This Row],[Precio Lista CDR]]*0.6</f>
        <v>11.315324999999998</v>
      </c>
      <c r="L182" s="12">
        <f>(Tabla1[[#This Row],[Precio Lista CDR]]-Tabla1[[#This Row],[PrecioFábrica]])/Tabla1[[#This Row],[Precio Lista CDR]]</f>
        <v>0.83429552399069407</v>
      </c>
      <c r="M182" s="12">
        <f>(Tabla1[[#This Row],[Lista 1 (20%)]]-Tabla1[[#This Row],[PrecioFábrica]])/Tabla1[[#This Row],[Lista 1 (20%)]]</f>
        <v>0.79286940498836755</v>
      </c>
      <c r="N182" s="12">
        <f>(Tabla1[[#This Row],[Lista 2 (30%)]]-Tabla1[[#This Row],[PrecioFábrica]])/Tabla1[[#This Row],[Lista 2 (30%)]]</f>
        <v>0.76327931998670573</v>
      </c>
      <c r="O182" s="12">
        <f>(Tabla1[[#This Row],[Lista 3 (40%)]]-Tabla1[[#This Row],[PrecioFábrica]])/Tabla1[[#This Row],[Lista 3 (40%)]]</f>
        <v>0.72382587331782333</v>
      </c>
    </row>
    <row r="183" spans="1:15">
      <c r="A183" t="s">
        <v>6</v>
      </c>
      <c r="B183" t="s">
        <v>192</v>
      </c>
      <c r="C183" t="s">
        <v>994</v>
      </c>
      <c r="D183" t="s">
        <v>811</v>
      </c>
      <c r="E183" t="s">
        <v>5</v>
      </c>
      <c r="F183" s="3">
        <v>3.4333333333333336</v>
      </c>
      <c r="G183" s="10">
        <f>VLOOKUP(Tabla1[[#This Row],[Código Unificador]],PRECIOS_COMPETENCIA!B:D,3,FALSE)</f>
        <v>20.7532</v>
      </c>
      <c r="H183" s="10">
        <f>Tabla1[[#This Row],[PVP Competencia]]*0.98</f>
        <v>20.338135999999999</v>
      </c>
      <c r="I183" s="10">
        <f>Tabla1[[#This Row],[Precio Lista CDR]]*0.8</f>
        <v>16.270508799999998</v>
      </c>
      <c r="J183" s="10">
        <f>Tabla1[[#This Row],[Precio Lista CDR]]*0.7</f>
        <v>14.236695199999998</v>
      </c>
      <c r="K183" s="10">
        <f>Tabla1[[#This Row],[Precio Lista CDR]]*0.6</f>
        <v>12.2028816</v>
      </c>
      <c r="L183" s="12">
        <f>(Tabla1[[#This Row],[Precio Lista CDR]]-Tabla1[[#This Row],[PrecioFábrica]])/Tabla1[[#This Row],[Precio Lista CDR]]</f>
        <v>0.8311874139629446</v>
      </c>
      <c r="M183" s="12">
        <f>(Tabla1[[#This Row],[Lista 1 (20%)]]-Tabla1[[#This Row],[PrecioFábrica]])/Tabla1[[#This Row],[Lista 1 (20%)]]</f>
        <v>0.78898426745368078</v>
      </c>
      <c r="N183" s="12">
        <f>(Tabla1[[#This Row],[Lista 2 (30%)]]-Tabla1[[#This Row],[PrecioFábrica]])/Tabla1[[#This Row],[Lista 2 (30%)]]</f>
        <v>0.7588391628042066</v>
      </c>
      <c r="O183" s="12">
        <f>(Tabla1[[#This Row],[Lista 3 (40%)]]-Tabla1[[#This Row],[PrecioFábrica]])/Tabla1[[#This Row],[Lista 3 (40%)]]</f>
        <v>0.71864568993824096</v>
      </c>
    </row>
    <row r="184" spans="1:15">
      <c r="A184" t="s">
        <v>6</v>
      </c>
      <c r="B184" t="s">
        <v>193</v>
      </c>
      <c r="C184" t="s">
        <v>995</v>
      </c>
      <c r="D184" t="s">
        <v>811</v>
      </c>
      <c r="E184" t="s">
        <v>5</v>
      </c>
      <c r="F184" s="3">
        <v>3.375</v>
      </c>
      <c r="G184" s="10">
        <f>VLOOKUP(Tabla1[[#This Row],[Código Unificador]],PRECIOS_COMPETENCIA!B:D,3,FALSE)</f>
        <v>20.374749999999999</v>
      </c>
      <c r="H184" s="10">
        <f>Tabla1[[#This Row],[PVP Competencia]]*0.98</f>
        <v>19.967254999999998</v>
      </c>
      <c r="I184" s="10">
        <f>Tabla1[[#This Row],[Precio Lista CDR]]*0.8</f>
        <v>15.973803999999999</v>
      </c>
      <c r="J184" s="10">
        <f>Tabla1[[#This Row],[Precio Lista CDR]]*0.7</f>
        <v>13.977078499999998</v>
      </c>
      <c r="K184" s="10">
        <f>Tabla1[[#This Row],[Precio Lista CDR]]*0.6</f>
        <v>11.980352999999999</v>
      </c>
      <c r="L184" s="12">
        <f>(Tabla1[[#This Row],[Precio Lista CDR]]-Tabla1[[#This Row],[PrecioFábrica]])/Tabla1[[#This Row],[Precio Lista CDR]]</f>
        <v>0.83097326097152557</v>
      </c>
      <c r="M184" s="12">
        <f>(Tabla1[[#This Row],[Lista 1 (20%)]]-Tabla1[[#This Row],[PrecioFábrica]])/Tabla1[[#This Row],[Lista 1 (20%)]]</f>
        <v>0.78871657621440705</v>
      </c>
      <c r="N184" s="12">
        <f>(Tabla1[[#This Row],[Lista 2 (30%)]]-Tabla1[[#This Row],[PrecioFábrica]])/Tabla1[[#This Row],[Lista 2 (30%)]]</f>
        <v>0.75853322995932226</v>
      </c>
      <c r="O184" s="12">
        <f>(Tabla1[[#This Row],[Lista 3 (40%)]]-Tabla1[[#This Row],[PrecioFábrica]])/Tabla1[[#This Row],[Lista 3 (40%)]]</f>
        <v>0.71828876828587607</v>
      </c>
    </row>
    <row r="185" spans="1:15">
      <c r="A185" t="s">
        <v>6</v>
      </c>
      <c r="B185" t="s">
        <v>194</v>
      </c>
      <c r="C185" t="s">
        <v>996</v>
      </c>
      <c r="D185" t="s">
        <v>811</v>
      </c>
      <c r="E185" t="s">
        <v>5</v>
      </c>
      <c r="F185" s="3">
        <v>3.85</v>
      </c>
      <c r="G185" s="10">
        <f>VLOOKUP(Tabla1[[#This Row],[Código Unificador]],PRECIOS_COMPETENCIA!B:D,3,FALSE)</f>
        <v>21.946550000000002</v>
      </c>
      <c r="H185" s="10">
        <f>Tabla1[[#This Row],[PVP Competencia]]*0.98</f>
        <v>21.507619000000002</v>
      </c>
      <c r="I185" s="10">
        <f>Tabla1[[#This Row],[Precio Lista CDR]]*0.8</f>
        <v>17.206095200000004</v>
      </c>
      <c r="J185" s="10">
        <f>Tabla1[[#This Row],[Precio Lista CDR]]*0.7</f>
        <v>15.055333300000001</v>
      </c>
      <c r="K185" s="10">
        <f>Tabla1[[#This Row],[Precio Lista CDR]]*0.6</f>
        <v>12.9045714</v>
      </c>
      <c r="L185" s="12">
        <f>(Tabla1[[#This Row],[Precio Lista CDR]]-Tabla1[[#This Row],[PrecioFábrica]])/Tabla1[[#This Row],[Precio Lista CDR]]</f>
        <v>0.82099366740688495</v>
      </c>
      <c r="M185" s="12">
        <f>(Tabla1[[#This Row],[Lista 1 (20%)]]-Tabla1[[#This Row],[PrecioFábrica]])/Tabla1[[#This Row],[Lista 1 (20%)]]</f>
        <v>0.7762420842586063</v>
      </c>
      <c r="N185" s="12">
        <f>(Tabla1[[#This Row],[Lista 2 (30%)]]-Tabla1[[#This Row],[PrecioFábrica]])/Tabla1[[#This Row],[Lista 2 (30%)]]</f>
        <v>0.74427666772412138</v>
      </c>
      <c r="O185" s="12">
        <f>(Tabla1[[#This Row],[Lista 3 (40%)]]-Tabla1[[#This Row],[PrecioFábrica]])/Tabla1[[#This Row],[Lista 3 (40%)]]</f>
        <v>0.70165611234480829</v>
      </c>
    </row>
    <row r="186" spans="1:15">
      <c r="A186" t="s">
        <v>6</v>
      </c>
      <c r="B186" t="s">
        <v>195</v>
      </c>
      <c r="C186" t="s">
        <v>997</v>
      </c>
      <c r="D186" t="s">
        <v>811</v>
      </c>
      <c r="E186" t="s">
        <v>5</v>
      </c>
      <c r="F186" s="3">
        <v>3.0750000000000002</v>
      </c>
      <c r="G186" s="10">
        <f>VLOOKUP(Tabla1[[#This Row],[Código Unificador]],PRECIOS_COMPETENCIA!B:D,3,FALSE)</f>
        <v>19.095849999999999</v>
      </c>
      <c r="H186" s="10">
        <f>Tabla1[[#This Row],[PVP Competencia]]*0.98</f>
        <v>18.713932999999997</v>
      </c>
      <c r="I186" s="10">
        <f>Tabla1[[#This Row],[Precio Lista CDR]]*0.8</f>
        <v>14.971146399999999</v>
      </c>
      <c r="J186" s="10">
        <f>Tabla1[[#This Row],[Precio Lista CDR]]*0.7</f>
        <v>13.099753099999997</v>
      </c>
      <c r="K186" s="10">
        <f>Tabla1[[#This Row],[Precio Lista CDR]]*0.6</f>
        <v>11.228359799999998</v>
      </c>
      <c r="L186" s="12">
        <f>(Tabla1[[#This Row],[Precio Lista CDR]]-Tabla1[[#This Row],[PrecioFábrica]])/Tabla1[[#This Row],[Precio Lista CDR]]</f>
        <v>0.83568392598178054</v>
      </c>
      <c r="M186" s="12">
        <f>(Tabla1[[#This Row],[Lista 1 (20%)]]-Tabla1[[#This Row],[PrecioFábrica]])/Tabla1[[#This Row],[Lista 1 (20%)]]</f>
        <v>0.79460490747722567</v>
      </c>
      <c r="N186" s="12">
        <f>(Tabla1[[#This Row],[Lista 2 (30%)]]-Tabla1[[#This Row],[PrecioFábrica]])/Tabla1[[#This Row],[Lista 2 (30%)]]</f>
        <v>0.76526275140254363</v>
      </c>
      <c r="O186" s="12">
        <f>(Tabla1[[#This Row],[Lista 3 (40%)]]-Tabla1[[#This Row],[PrecioFábrica]])/Tabla1[[#This Row],[Lista 3 (40%)]]</f>
        <v>0.72613987663630075</v>
      </c>
    </row>
    <row r="187" spans="1:15">
      <c r="A187" t="s">
        <v>6</v>
      </c>
      <c r="B187" t="s">
        <v>196</v>
      </c>
      <c r="C187" t="s">
        <v>998</v>
      </c>
      <c r="D187" t="s">
        <v>811</v>
      </c>
      <c r="E187" t="s">
        <v>5</v>
      </c>
      <c r="F187" s="3">
        <v>3.6916666666666664</v>
      </c>
      <c r="G187" s="10">
        <f>VLOOKUP(Tabla1[[#This Row],[Código Unificador]],PRECIOS_COMPETENCIA!B:D,3,FALSE)</f>
        <v>21.455241666666666</v>
      </c>
      <c r="H187" s="10">
        <f>Tabla1[[#This Row],[PVP Competencia]]*0.98</f>
        <v>21.026136833333332</v>
      </c>
      <c r="I187" s="10">
        <f>Tabla1[[#This Row],[Precio Lista CDR]]*0.8</f>
        <v>16.820909466666667</v>
      </c>
      <c r="J187" s="10">
        <f>Tabla1[[#This Row],[Precio Lista CDR]]*0.7</f>
        <v>14.718295783333332</v>
      </c>
      <c r="K187" s="10">
        <f>Tabla1[[#This Row],[Precio Lista CDR]]*0.6</f>
        <v>12.615682099999999</v>
      </c>
      <c r="L187" s="12">
        <f>(Tabla1[[#This Row],[Precio Lista CDR]]-Tabla1[[#This Row],[PrecioFábrica]])/Tabla1[[#This Row],[Precio Lista CDR]]</f>
        <v>0.82442487196154068</v>
      </c>
      <c r="M187" s="12">
        <f>(Tabla1[[#This Row],[Lista 1 (20%)]]-Tabla1[[#This Row],[PrecioFábrica]])/Tabla1[[#This Row],[Lista 1 (20%)]]</f>
        <v>0.78053108995192577</v>
      </c>
      <c r="N187" s="12">
        <f>(Tabla1[[#This Row],[Lista 2 (30%)]]-Tabla1[[#This Row],[PrecioFábrica]])/Tabla1[[#This Row],[Lista 2 (30%)]]</f>
        <v>0.74917838851648655</v>
      </c>
      <c r="O187" s="12">
        <f>(Tabla1[[#This Row],[Lista 3 (40%)]]-Tabla1[[#This Row],[PrecioFábrica]])/Tabla1[[#This Row],[Lista 3 (40%)]]</f>
        <v>0.7073747866025677</v>
      </c>
    </row>
    <row r="188" spans="1:15">
      <c r="A188" t="s">
        <v>6</v>
      </c>
      <c r="B188" t="s">
        <v>197</v>
      </c>
      <c r="C188" t="s">
        <v>999</v>
      </c>
      <c r="D188" t="s">
        <v>811</v>
      </c>
      <c r="E188" t="s">
        <v>5</v>
      </c>
      <c r="F188" s="3">
        <v>5.3833333333333337</v>
      </c>
      <c r="G188" s="10">
        <f>VLOOKUP(Tabla1[[#This Row],[Código Unificador]],PRECIOS_COMPETENCIA!B:D,3,FALSE)</f>
        <v>26.236133333333335</v>
      </c>
      <c r="H188" s="10">
        <f>Tabla1[[#This Row],[PVP Competencia]]*0.98</f>
        <v>25.711410666666669</v>
      </c>
      <c r="I188" s="10">
        <f>Tabla1[[#This Row],[Precio Lista CDR]]*0.8</f>
        <v>20.569128533333338</v>
      </c>
      <c r="J188" s="10">
        <f>Tabla1[[#This Row],[Precio Lista CDR]]*0.7</f>
        <v>17.997987466666668</v>
      </c>
      <c r="K188" s="10">
        <f>Tabla1[[#This Row],[Precio Lista CDR]]*0.6</f>
        <v>15.426846400000001</v>
      </c>
      <c r="L188" s="12">
        <f>(Tabla1[[#This Row],[Precio Lista CDR]]-Tabla1[[#This Row],[PrecioFábrica]])/Tabla1[[#This Row],[Precio Lista CDR]]</f>
        <v>0.7906247384429782</v>
      </c>
      <c r="M188" s="12">
        <f>(Tabla1[[#This Row],[Lista 1 (20%)]]-Tabla1[[#This Row],[PrecioFábrica]])/Tabla1[[#This Row],[Lista 1 (20%)]]</f>
        <v>0.73828092305372284</v>
      </c>
      <c r="N188" s="12">
        <f>(Tabla1[[#This Row],[Lista 2 (30%)]]-Tabla1[[#This Row],[PrecioFábrica]])/Tabla1[[#This Row],[Lista 2 (30%)]]</f>
        <v>0.70089248348996891</v>
      </c>
      <c r="O188" s="12">
        <f>(Tabla1[[#This Row],[Lista 3 (40%)]]-Tabla1[[#This Row],[PrecioFábrica]])/Tabla1[[#This Row],[Lista 3 (40%)]]</f>
        <v>0.65104123073829689</v>
      </c>
    </row>
    <row r="189" spans="1:15">
      <c r="A189" t="s">
        <v>6</v>
      </c>
      <c r="B189" t="s">
        <v>198</v>
      </c>
      <c r="C189" t="s">
        <v>1000</v>
      </c>
      <c r="D189" t="s">
        <v>811</v>
      </c>
      <c r="E189" t="s">
        <v>5</v>
      </c>
      <c r="F189" s="3">
        <v>4.5916666666666668</v>
      </c>
      <c r="G189" s="10">
        <f>VLOOKUP(Tabla1[[#This Row],[Código Unificador]],PRECIOS_COMPETENCIA!B:D,3,FALSE)</f>
        <v>23.981625000000001</v>
      </c>
      <c r="H189" s="10">
        <f>Tabla1[[#This Row],[PVP Competencia]]*0.98</f>
        <v>23.5019925</v>
      </c>
      <c r="I189" s="10">
        <f>Tabla1[[#This Row],[Precio Lista CDR]]*0.8</f>
        <v>18.801594000000001</v>
      </c>
      <c r="J189" s="10">
        <f>Tabla1[[#This Row],[Precio Lista CDR]]*0.7</f>
        <v>16.451394749999999</v>
      </c>
      <c r="K189" s="10">
        <f>Tabla1[[#This Row],[Precio Lista CDR]]*0.6</f>
        <v>14.101195499999999</v>
      </c>
      <c r="L189" s="12">
        <f>(Tabla1[[#This Row],[Precio Lista CDR]]-Tabla1[[#This Row],[PrecioFábrica]])/Tabla1[[#This Row],[Precio Lista CDR]]</f>
        <v>0.80462649425717125</v>
      </c>
      <c r="M189" s="12">
        <f>(Tabla1[[#This Row],[Lista 1 (20%)]]-Tabla1[[#This Row],[PrecioFábrica]])/Tabla1[[#This Row],[Lista 1 (20%)]]</f>
        <v>0.75578311782146412</v>
      </c>
      <c r="N189" s="12">
        <f>(Tabla1[[#This Row],[Lista 2 (30%)]]-Tabla1[[#This Row],[PrecioFábrica]])/Tabla1[[#This Row],[Lista 2 (30%)]]</f>
        <v>0.72089499179595895</v>
      </c>
      <c r="O189" s="12">
        <f>(Tabla1[[#This Row],[Lista 3 (40%)]]-Tabla1[[#This Row],[PrecioFábrica]])/Tabla1[[#This Row],[Lista 3 (40%)]]</f>
        <v>0.67437749042861883</v>
      </c>
    </row>
    <row r="190" spans="1:15">
      <c r="A190" t="s">
        <v>6</v>
      </c>
      <c r="B190" t="s">
        <v>199</v>
      </c>
      <c r="C190" t="s">
        <v>1001</v>
      </c>
      <c r="D190" t="s">
        <v>811</v>
      </c>
      <c r="E190" t="s">
        <v>5</v>
      </c>
      <c r="F190" s="3">
        <v>3.8166666666666669</v>
      </c>
      <c r="G190" s="10">
        <f>VLOOKUP(Tabla1[[#This Row],[Código Unificador]],PRECIOS_COMPETENCIA!B:D,3,FALSE)</f>
        <v>21.400383333333334</v>
      </c>
      <c r="H190" s="10">
        <f>Tabla1[[#This Row],[PVP Competencia]]*0.98</f>
        <v>20.972375666666668</v>
      </c>
      <c r="I190" s="10">
        <f>Tabla1[[#This Row],[Precio Lista CDR]]*0.8</f>
        <v>16.777900533333334</v>
      </c>
      <c r="J190" s="10">
        <f>Tabla1[[#This Row],[Precio Lista CDR]]*0.7</f>
        <v>14.680662966666667</v>
      </c>
      <c r="K190" s="10">
        <f>Tabla1[[#This Row],[Precio Lista CDR]]*0.6</f>
        <v>12.583425400000001</v>
      </c>
      <c r="L190" s="12">
        <f>(Tabla1[[#This Row],[Precio Lista CDR]]-Tabla1[[#This Row],[PrecioFábrica]])/Tabla1[[#This Row],[Precio Lista CDR]]</f>
        <v>0.81801457653970755</v>
      </c>
      <c r="M190" s="12">
        <f>(Tabla1[[#This Row],[Lista 1 (20%)]]-Tabla1[[#This Row],[PrecioFábrica]])/Tabla1[[#This Row],[Lista 1 (20%)]]</f>
        <v>0.77251822067463449</v>
      </c>
      <c r="N190" s="12">
        <f>(Tabla1[[#This Row],[Lista 2 (30%)]]-Tabla1[[#This Row],[PrecioFábrica]])/Tabla1[[#This Row],[Lista 2 (30%)]]</f>
        <v>0.74002082362815369</v>
      </c>
      <c r="O190" s="12">
        <f>(Tabla1[[#This Row],[Lista 3 (40%)]]-Tabla1[[#This Row],[PrecioFábrica]])/Tabla1[[#This Row],[Lista 3 (40%)]]</f>
        <v>0.69669096089951266</v>
      </c>
    </row>
    <row r="191" spans="1:15">
      <c r="A191" t="s">
        <v>6</v>
      </c>
      <c r="B191" t="s">
        <v>200</v>
      </c>
      <c r="C191" t="s">
        <v>1002</v>
      </c>
      <c r="D191" t="s">
        <v>811</v>
      </c>
      <c r="E191" t="s">
        <v>5</v>
      </c>
      <c r="F191" s="3">
        <v>6.4083333333333341</v>
      </c>
      <c r="G191" s="10">
        <f>VLOOKUP(Tabla1[[#This Row],[Código Unificador]],PRECIOS_COMPETENCIA!B:D,3,FALSE)</f>
        <v>29.327533333333335</v>
      </c>
      <c r="H191" s="10">
        <f>Tabla1[[#This Row],[PVP Competencia]]*0.98</f>
        <v>28.740982666666667</v>
      </c>
      <c r="I191" s="10">
        <f>Tabla1[[#This Row],[Precio Lista CDR]]*0.8</f>
        <v>22.992786133333336</v>
      </c>
      <c r="J191" s="10">
        <f>Tabla1[[#This Row],[Precio Lista CDR]]*0.7</f>
        <v>20.118687866666665</v>
      </c>
      <c r="K191" s="10">
        <f>Tabla1[[#This Row],[Precio Lista CDR]]*0.6</f>
        <v>17.244589600000001</v>
      </c>
      <c r="L191" s="12">
        <f>(Tabla1[[#This Row],[Precio Lista CDR]]-Tabla1[[#This Row],[PrecioFábrica]])/Tabla1[[#This Row],[Precio Lista CDR]]</f>
        <v>0.77703151601821818</v>
      </c>
      <c r="M191" s="12">
        <f>(Tabla1[[#This Row],[Lista 1 (20%)]]-Tabla1[[#This Row],[PrecioFábrica]])/Tabla1[[#This Row],[Lista 1 (20%)]]</f>
        <v>0.72128939502277278</v>
      </c>
      <c r="N191" s="12">
        <f>(Tabla1[[#This Row],[Lista 2 (30%)]]-Tabla1[[#This Row],[PrecioFábrica]])/Tabla1[[#This Row],[Lista 2 (30%)]]</f>
        <v>0.68147359431174026</v>
      </c>
      <c r="O191" s="12">
        <f>(Tabla1[[#This Row],[Lista 3 (40%)]]-Tabla1[[#This Row],[PrecioFábrica]])/Tabla1[[#This Row],[Lista 3 (40%)]]</f>
        <v>0.62838586003036367</v>
      </c>
    </row>
    <row r="192" spans="1:15">
      <c r="A192" t="s">
        <v>6</v>
      </c>
      <c r="B192" t="s">
        <v>201</v>
      </c>
      <c r="C192" t="s">
        <v>1003</v>
      </c>
      <c r="D192" t="s">
        <v>811</v>
      </c>
      <c r="E192" t="s">
        <v>5</v>
      </c>
      <c r="F192" s="3">
        <v>6.4</v>
      </c>
      <c r="G192" s="10">
        <f>VLOOKUP(Tabla1[[#This Row],[Código Unificador]],PRECIOS_COMPETENCIA!B:D,3,FALSE)</f>
        <v>29.116800000000001</v>
      </c>
      <c r="H192" s="10">
        <f>Tabla1[[#This Row],[PVP Competencia]]*0.98</f>
        <v>28.534464</v>
      </c>
      <c r="I192" s="10">
        <f>Tabla1[[#This Row],[Precio Lista CDR]]*0.8</f>
        <v>22.827571200000001</v>
      </c>
      <c r="J192" s="10">
        <f>Tabla1[[#This Row],[Precio Lista CDR]]*0.7</f>
        <v>19.974124799999998</v>
      </c>
      <c r="K192" s="10">
        <f>Tabla1[[#This Row],[Precio Lista CDR]]*0.6</f>
        <v>17.120678399999999</v>
      </c>
      <c r="L192" s="12">
        <f>(Tabla1[[#This Row],[Precio Lista CDR]]-Tabla1[[#This Row],[PrecioFábrica]])/Tabla1[[#This Row],[Precio Lista CDR]]</f>
        <v>0.77570982233975028</v>
      </c>
      <c r="M192" s="12">
        <f>(Tabla1[[#This Row],[Lista 1 (20%)]]-Tabla1[[#This Row],[PrecioFábrica]])/Tabla1[[#This Row],[Lista 1 (20%)]]</f>
        <v>0.7196372779246879</v>
      </c>
      <c r="N192" s="12">
        <f>(Tabla1[[#This Row],[Lista 2 (30%)]]-Tabla1[[#This Row],[PrecioFábrica]])/Tabla1[[#This Row],[Lista 2 (30%)]]</f>
        <v>0.67958546048535751</v>
      </c>
      <c r="O192" s="12">
        <f>(Tabla1[[#This Row],[Lista 3 (40%)]]-Tabla1[[#This Row],[PrecioFábrica]])/Tabla1[[#This Row],[Lista 3 (40%)]]</f>
        <v>0.62618303723291713</v>
      </c>
    </row>
    <row r="193" spans="1:15">
      <c r="A193" t="s">
        <v>6</v>
      </c>
      <c r="B193" t="s">
        <v>202</v>
      </c>
      <c r="C193" t="s">
        <v>1004</v>
      </c>
      <c r="D193" t="s">
        <v>811</v>
      </c>
      <c r="E193" t="s">
        <v>5</v>
      </c>
      <c r="F193" s="3">
        <v>6.1000000000000005</v>
      </c>
      <c r="G193" s="10">
        <f>VLOOKUP(Tabla1[[#This Row],[Código Unificador]],PRECIOS_COMPETENCIA!B:D,3,FALSE)</f>
        <v>28.751400000000004</v>
      </c>
      <c r="H193" s="10">
        <f>Tabla1[[#This Row],[PVP Competencia]]*0.98</f>
        <v>28.176372000000004</v>
      </c>
      <c r="I193" s="10">
        <f>Tabla1[[#This Row],[Precio Lista CDR]]*0.8</f>
        <v>22.541097600000004</v>
      </c>
      <c r="J193" s="10">
        <f>Tabla1[[#This Row],[Precio Lista CDR]]*0.7</f>
        <v>19.7234604</v>
      </c>
      <c r="K193" s="10">
        <f>Tabla1[[#This Row],[Precio Lista CDR]]*0.6</f>
        <v>16.9058232</v>
      </c>
      <c r="L193" s="12">
        <f>(Tabla1[[#This Row],[Precio Lista CDR]]-Tabla1[[#This Row],[PrecioFábrica]])/Tabla1[[#This Row],[Precio Lista CDR]]</f>
        <v>0.78350654938826048</v>
      </c>
      <c r="M193" s="12">
        <f>(Tabla1[[#This Row],[Lista 1 (20%)]]-Tabla1[[#This Row],[PrecioFábrica]])/Tabla1[[#This Row],[Lista 1 (20%)]]</f>
        <v>0.72938318673532565</v>
      </c>
      <c r="N193" s="12">
        <f>(Tabla1[[#This Row],[Lista 2 (30%)]]-Tabla1[[#This Row],[PrecioFábrica]])/Tabla1[[#This Row],[Lista 2 (30%)]]</f>
        <v>0.69072364198322922</v>
      </c>
      <c r="O193" s="12">
        <f>(Tabla1[[#This Row],[Lista 3 (40%)]]-Tabla1[[#This Row],[PrecioFábrica]])/Tabla1[[#This Row],[Lista 3 (40%)]]</f>
        <v>0.63917758231376742</v>
      </c>
    </row>
    <row r="194" spans="1:15">
      <c r="A194" t="s">
        <v>6</v>
      </c>
      <c r="B194" t="s">
        <v>203</v>
      </c>
      <c r="C194" t="s">
        <v>1005</v>
      </c>
      <c r="D194" t="s">
        <v>811</v>
      </c>
      <c r="E194" t="s">
        <v>5</v>
      </c>
      <c r="F194" s="3">
        <v>8.5083333333333346</v>
      </c>
      <c r="G194" s="10">
        <f>VLOOKUP(Tabla1[[#This Row],[Código Unificador]],PRECIOS_COMPETENCIA!B:D,3,FALSE)</f>
        <v>35.414391666666674</v>
      </c>
      <c r="H194" s="10">
        <f>Tabla1[[#This Row],[PVP Competencia]]*0.98</f>
        <v>34.706103833333337</v>
      </c>
      <c r="I194" s="10">
        <f>Tabla1[[#This Row],[Precio Lista CDR]]*0.8</f>
        <v>27.76488306666667</v>
      </c>
      <c r="J194" s="10">
        <f>Tabla1[[#This Row],[Precio Lista CDR]]*0.7</f>
        <v>24.294272683333336</v>
      </c>
      <c r="K194" s="10">
        <f>Tabla1[[#This Row],[Precio Lista CDR]]*0.6</f>
        <v>20.823662300000002</v>
      </c>
      <c r="L194" s="12">
        <f>(Tabla1[[#This Row],[Precio Lista CDR]]-Tabla1[[#This Row],[PrecioFábrica]])/Tabla1[[#This Row],[Precio Lista CDR]]</f>
        <v>0.75484619725128754</v>
      </c>
      <c r="M194" s="12">
        <f>(Tabla1[[#This Row],[Lista 1 (20%)]]-Tabla1[[#This Row],[PrecioFábrica]])/Tabla1[[#This Row],[Lista 1 (20%)]]</f>
        <v>0.69355774656410951</v>
      </c>
      <c r="N194" s="12">
        <f>(Tabla1[[#This Row],[Lista 2 (30%)]]-Tabla1[[#This Row],[PrecioFábrica]])/Tabla1[[#This Row],[Lista 2 (30%)]]</f>
        <v>0.64978028178755365</v>
      </c>
      <c r="O194" s="12">
        <f>(Tabla1[[#This Row],[Lista 3 (40%)]]-Tabla1[[#This Row],[PrecioFábrica]])/Tabla1[[#This Row],[Lista 3 (40%)]]</f>
        <v>0.59141032875214583</v>
      </c>
    </row>
    <row r="195" spans="1:15">
      <c r="A195" t="s">
        <v>6</v>
      </c>
      <c r="B195" t="s">
        <v>204</v>
      </c>
      <c r="C195" t="s">
        <v>1006</v>
      </c>
      <c r="D195" t="s">
        <v>811</v>
      </c>
      <c r="E195" t="s">
        <v>5</v>
      </c>
      <c r="F195" s="3">
        <v>10.191666666666668</v>
      </c>
      <c r="G195" s="10">
        <f>VLOOKUP(Tabla1[[#This Row],[Código Unificador]],PRECIOS_COMPETENCIA!B:D,3,FALSE)</f>
        <v>40.442508333333336</v>
      </c>
      <c r="H195" s="10">
        <f>Tabla1[[#This Row],[PVP Competencia]]*0.98</f>
        <v>39.63365816666667</v>
      </c>
      <c r="I195" s="10">
        <f>Tabla1[[#This Row],[Precio Lista CDR]]*0.8</f>
        <v>31.706926533333338</v>
      </c>
      <c r="J195" s="10">
        <f>Tabla1[[#This Row],[Precio Lista CDR]]*0.7</f>
        <v>27.743560716666668</v>
      </c>
      <c r="K195" s="10">
        <f>Tabla1[[#This Row],[Precio Lista CDR]]*0.6</f>
        <v>23.780194900000001</v>
      </c>
      <c r="L195" s="12">
        <f>(Tabla1[[#This Row],[Precio Lista CDR]]-Tabla1[[#This Row],[PrecioFábrica]])/Tabla1[[#This Row],[Precio Lista CDR]]</f>
        <v>0.74285324297321043</v>
      </c>
      <c r="M195" s="12">
        <f>(Tabla1[[#This Row],[Lista 1 (20%)]]-Tabla1[[#This Row],[PrecioFábrica]])/Tabla1[[#This Row],[Lista 1 (20%)]]</f>
        <v>0.67856655371651298</v>
      </c>
      <c r="N195" s="12">
        <f>(Tabla1[[#This Row],[Lista 2 (30%)]]-Tabla1[[#This Row],[PrecioFábrica]])/Tabla1[[#This Row],[Lista 2 (30%)]]</f>
        <v>0.63264748996172926</v>
      </c>
      <c r="O195" s="12">
        <f>(Tabla1[[#This Row],[Lista 3 (40%)]]-Tabla1[[#This Row],[PrecioFábrica]])/Tabla1[[#This Row],[Lista 3 (40%)]]</f>
        <v>0.57142207162201741</v>
      </c>
    </row>
    <row r="196" spans="1:15">
      <c r="A196" t="s">
        <v>6</v>
      </c>
      <c r="B196" t="s">
        <v>205</v>
      </c>
      <c r="C196" t="s">
        <v>1007</v>
      </c>
      <c r="D196" t="s">
        <v>811</v>
      </c>
      <c r="E196" t="s">
        <v>5</v>
      </c>
      <c r="F196" s="3">
        <v>11.375</v>
      </c>
      <c r="G196" s="10">
        <f>VLOOKUP(Tabla1[[#This Row],[Código Unificador]],PRECIOS_COMPETENCIA!B:D,3,FALSE)</f>
        <v>45.626500000000007</v>
      </c>
      <c r="H196" s="10">
        <f>Tabla1[[#This Row],[PVP Competencia]]*0.98</f>
        <v>44.713970000000003</v>
      </c>
      <c r="I196" s="10">
        <f>Tabla1[[#This Row],[Precio Lista CDR]]*0.8</f>
        <v>35.771176000000004</v>
      </c>
      <c r="J196" s="10">
        <f>Tabla1[[#This Row],[Precio Lista CDR]]*0.7</f>
        <v>31.299779000000001</v>
      </c>
      <c r="K196" s="10">
        <f>Tabla1[[#This Row],[Precio Lista CDR]]*0.6</f>
        <v>26.828382000000001</v>
      </c>
      <c r="L196" s="12">
        <f>(Tabla1[[#This Row],[Precio Lista CDR]]-Tabla1[[#This Row],[PrecioFábrica]])/Tabla1[[#This Row],[Precio Lista CDR]]</f>
        <v>0.74560523254812761</v>
      </c>
      <c r="M196" s="12">
        <f>(Tabla1[[#This Row],[Lista 1 (20%)]]-Tabla1[[#This Row],[PrecioFábrica]])/Tabla1[[#This Row],[Lista 1 (20%)]]</f>
        <v>0.68200654068515953</v>
      </c>
      <c r="N196" s="12">
        <f>(Tabla1[[#This Row],[Lista 2 (30%)]]-Tabla1[[#This Row],[PrecioFábrica]])/Tabla1[[#This Row],[Lista 2 (30%)]]</f>
        <v>0.63657890364018221</v>
      </c>
      <c r="O196" s="12">
        <f>(Tabla1[[#This Row],[Lista 3 (40%)]]-Tabla1[[#This Row],[PrecioFábrica]])/Tabla1[[#This Row],[Lista 3 (40%)]]</f>
        <v>0.57600872091354594</v>
      </c>
    </row>
    <row r="197" spans="1:15">
      <c r="A197" t="s">
        <v>6</v>
      </c>
      <c r="B197" t="s">
        <v>206</v>
      </c>
      <c r="C197" t="s">
        <v>1008</v>
      </c>
      <c r="D197" t="s">
        <v>811</v>
      </c>
      <c r="E197" t="s">
        <v>5</v>
      </c>
      <c r="F197" s="3">
        <v>2.6166666666666667</v>
      </c>
      <c r="G197" s="10">
        <f>VLOOKUP(Tabla1[[#This Row],[Código Unificador]],PRECIOS_COMPETENCIA!B:D,3,FALSE)</f>
        <v>13.53</v>
      </c>
      <c r="H197" s="10">
        <f>Tabla1[[#This Row],[PVP Competencia]]*0.98</f>
        <v>13.259399999999999</v>
      </c>
      <c r="I197" s="10">
        <f>Tabla1[[#This Row],[Precio Lista CDR]]*0.8</f>
        <v>10.607520000000001</v>
      </c>
      <c r="J197" s="10">
        <f>Tabla1[[#This Row],[Precio Lista CDR]]*0.7</f>
        <v>9.2815799999999982</v>
      </c>
      <c r="K197" s="10">
        <f>Tabla1[[#This Row],[Precio Lista CDR]]*0.6</f>
        <v>7.9556399999999989</v>
      </c>
      <c r="L197" s="12">
        <f>(Tabla1[[#This Row],[Precio Lista CDR]]-Tabla1[[#This Row],[PrecioFábrica]])/Tabla1[[#This Row],[Precio Lista CDR]]</f>
        <v>0.8026557260006737</v>
      </c>
      <c r="M197" s="12">
        <f>(Tabla1[[#This Row],[Lista 1 (20%)]]-Tabla1[[#This Row],[PrecioFábrica]])/Tabla1[[#This Row],[Lista 1 (20%)]]</f>
        <v>0.75331965750084218</v>
      </c>
      <c r="N197" s="12">
        <f>(Tabla1[[#This Row],[Lista 2 (30%)]]-Tabla1[[#This Row],[PrecioFábrica]])/Tabla1[[#This Row],[Lista 2 (30%)]]</f>
        <v>0.71807960857239095</v>
      </c>
      <c r="O197" s="12">
        <f>(Tabla1[[#This Row],[Lista 3 (40%)]]-Tabla1[[#This Row],[PrecioFábrica]])/Tabla1[[#This Row],[Lista 3 (40%)]]</f>
        <v>0.6710928766677895</v>
      </c>
    </row>
    <row r="198" spans="1:15">
      <c r="A198" t="s">
        <v>7</v>
      </c>
      <c r="B198" t="s">
        <v>207</v>
      </c>
      <c r="C198" t="s">
        <v>1009</v>
      </c>
      <c r="D198" t="s">
        <v>811</v>
      </c>
      <c r="E198" t="s">
        <v>5</v>
      </c>
      <c r="F198" s="3">
        <v>3.1916666666666669</v>
      </c>
      <c r="G198" s="10">
        <f>VLOOKUP(Tabla1[[#This Row],[Código Unificador]],PRECIOS_COMPETENCIA!B:D,3,FALSE)</f>
        <v>19.626066666666667</v>
      </c>
      <c r="H198" s="10">
        <f>Tabla1[[#This Row],[PVP Competencia]]*0.98</f>
        <v>19.233545333333332</v>
      </c>
      <c r="I198" s="10">
        <f>Tabla1[[#This Row],[Precio Lista CDR]]*0.8</f>
        <v>15.386836266666666</v>
      </c>
      <c r="J198" s="10">
        <f>Tabla1[[#This Row],[Precio Lista CDR]]*0.7</f>
        <v>13.463481733333332</v>
      </c>
      <c r="K198" s="10">
        <f>Tabla1[[#This Row],[Precio Lista CDR]]*0.6</f>
        <v>11.540127199999999</v>
      </c>
      <c r="L198" s="12">
        <f>(Tabla1[[#This Row],[Precio Lista CDR]]-Tabla1[[#This Row],[PrecioFábrica]])/Tabla1[[#This Row],[Precio Lista CDR]]</f>
        <v>0.83405728838066884</v>
      </c>
      <c r="M198" s="12">
        <f>(Tabla1[[#This Row],[Lista 1 (20%)]]-Tabla1[[#This Row],[PrecioFábrica]])/Tabla1[[#This Row],[Lista 1 (20%)]]</f>
        <v>0.79257161047583602</v>
      </c>
      <c r="N198" s="12">
        <f>(Tabla1[[#This Row],[Lista 2 (30%)]]-Tabla1[[#This Row],[PrecioFábrica]])/Tabla1[[#This Row],[Lista 2 (30%)]]</f>
        <v>0.76293898340095545</v>
      </c>
      <c r="O198" s="12">
        <f>(Tabla1[[#This Row],[Lista 3 (40%)]]-Tabla1[[#This Row],[PrecioFábrica]])/Tabla1[[#This Row],[Lista 3 (40%)]]</f>
        <v>0.72342881396778136</v>
      </c>
    </row>
    <row r="199" spans="1:15">
      <c r="A199" t="s">
        <v>6</v>
      </c>
      <c r="B199" t="s">
        <v>208</v>
      </c>
      <c r="C199" t="s">
        <v>1010</v>
      </c>
      <c r="D199" t="s">
        <v>811</v>
      </c>
      <c r="E199" t="s">
        <v>5</v>
      </c>
      <c r="F199" s="3">
        <v>3.5166666666666675</v>
      </c>
      <c r="G199" s="10">
        <f>VLOOKUP(Tabla1[[#This Row],[Código Unificador]],PRECIOS_COMPETENCIA!B:D,3,FALSE)</f>
        <v>20.4023</v>
      </c>
      <c r="H199" s="10">
        <f>Tabla1[[#This Row],[PVP Competencia]]*0.98</f>
        <v>19.994254000000002</v>
      </c>
      <c r="I199" s="10">
        <f>Tabla1[[#This Row],[Precio Lista CDR]]*0.8</f>
        <v>15.995403200000002</v>
      </c>
      <c r="J199" s="10">
        <f>Tabla1[[#This Row],[Precio Lista CDR]]*0.7</f>
        <v>13.9959778</v>
      </c>
      <c r="K199" s="10">
        <f>Tabla1[[#This Row],[Precio Lista CDR]]*0.6</f>
        <v>11.996552400000001</v>
      </c>
      <c r="L199" s="12">
        <f>(Tabla1[[#This Row],[Precio Lista CDR]]-Tabla1[[#This Row],[PrecioFábrica]])/Tabla1[[#This Row],[Precio Lista CDR]]</f>
        <v>0.82411613523231875</v>
      </c>
      <c r="M199" s="12">
        <f>(Tabla1[[#This Row],[Lista 1 (20%)]]-Tabla1[[#This Row],[PrecioFábrica]])/Tabla1[[#This Row],[Lista 1 (20%)]]</f>
        <v>0.78014516904039866</v>
      </c>
      <c r="N199" s="12">
        <f>(Tabla1[[#This Row],[Lista 2 (30%)]]-Tabla1[[#This Row],[PrecioFábrica]])/Tabla1[[#This Row],[Lista 2 (30%)]]</f>
        <v>0.74873733604616977</v>
      </c>
      <c r="O199" s="12">
        <f>(Tabla1[[#This Row],[Lista 3 (40%)]]-Tabla1[[#This Row],[PrecioFábrica]])/Tabla1[[#This Row],[Lista 3 (40%)]]</f>
        <v>0.70686022538719817</v>
      </c>
    </row>
    <row r="200" spans="1:15">
      <c r="A200" t="s">
        <v>6</v>
      </c>
      <c r="B200" t="s">
        <v>209</v>
      </c>
      <c r="C200" t="s">
        <v>1011</v>
      </c>
      <c r="D200" t="s">
        <v>811</v>
      </c>
      <c r="E200" t="s">
        <v>5</v>
      </c>
      <c r="F200" s="3">
        <v>4.3916666666666666</v>
      </c>
      <c r="G200" s="10">
        <f>VLOOKUP(Tabla1[[#This Row],[Código Unificador]],PRECIOS_COMPETENCIA!B:D,3,FALSE)</f>
        <v>23.245266666666666</v>
      </c>
      <c r="H200" s="10">
        <f>Tabla1[[#This Row],[PVP Competencia]]*0.98</f>
        <v>22.780361333333332</v>
      </c>
      <c r="I200" s="10">
        <f>Tabla1[[#This Row],[Precio Lista CDR]]*0.8</f>
        <v>18.224289066666667</v>
      </c>
      <c r="J200" s="10">
        <f>Tabla1[[#This Row],[Precio Lista CDR]]*0.7</f>
        <v>15.946252933333332</v>
      </c>
      <c r="K200" s="10">
        <f>Tabla1[[#This Row],[Precio Lista CDR]]*0.6</f>
        <v>13.668216799999998</v>
      </c>
      <c r="L200" s="12">
        <f>(Tabla1[[#This Row],[Precio Lista CDR]]-Tabla1[[#This Row],[PrecioFábrica]])/Tabla1[[#This Row],[Precio Lista CDR]]</f>
        <v>0.80721698824677701</v>
      </c>
      <c r="M200" s="12">
        <f>(Tabla1[[#This Row],[Lista 1 (20%)]]-Tabla1[[#This Row],[PrecioFábrica]])/Tabla1[[#This Row],[Lista 1 (20%)]]</f>
        <v>0.75902123530847132</v>
      </c>
      <c r="N200" s="12">
        <f>(Tabla1[[#This Row],[Lista 2 (30%)]]-Tabla1[[#This Row],[PrecioFábrica]])/Tabla1[[#This Row],[Lista 2 (30%)]]</f>
        <v>0.72459569749539565</v>
      </c>
      <c r="O200" s="12">
        <f>(Tabla1[[#This Row],[Lista 3 (40%)]]-Tabla1[[#This Row],[PrecioFábrica]])/Tabla1[[#This Row],[Lista 3 (40%)]]</f>
        <v>0.67869498041129495</v>
      </c>
    </row>
    <row r="201" spans="1:15">
      <c r="A201" t="s">
        <v>7</v>
      </c>
      <c r="B201" t="s">
        <v>210</v>
      </c>
      <c r="C201" t="s">
        <v>1012</v>
      </c>
      <c r="D201" t="s">
        <v>811</v>
      </c>
      <c r="E201" t="s">
        <v>5</v>
      </c>
      <c r="F201" s="3">
        <v>4.4083333333333332</v>
      </c>
      <c r="G201" s="10">
        <f>VLOOKUP(Tabla1[[#This Row],[Código Unificador]],PRECIOS_COMPETENCIA!B:D,3,FALSE)</f>
        <v>23.039850000000001</v>
      </c>
      <c r="H201" s="10">
        <f>Tabla1[[#This Row],[PVP Competencia]]*0.98</f>
        <v>22.579053000000002</v>
      </c>
      <c r="I201" s="10">
        <f>Tabla1[[#This Row],[Precio Lista CDR]]*0.8</f>
        <v>18.063242400000004</v>
      </c>
      <c r="J201" s="10">
        <f>Tabla1[[#This Row],[Precio Lista CDR]]*0.7</f>
        <v>15.805337100000001</v>
      </c>
      <c r="K201" s="10">
        <f>Tabla1[[#This Row],[Precio Lista CDR]]*0.6</f>
        <v>13.5474318</v>
      </c>
      <c r="L201" s="12">
        <f>(Tabla1[[#This Row],[Precio Lista CDR]]-Tabla1[[#This Row],[PrecioFábrica]])/Tabla1[[#This Row],[Precio Lista CDR]]</f>
        <v>0.80476004315445249</v>
      </c>
      <c r="M201" s="12">
        <f>(Tabla1[[#This Row],[Lista 1 (20%)]]-Tabla1[[#This Row],[PrecioFábrica]])/Tabla1[[#This Row],[Lista 1 (20%)]]</f>
        <v>0.75595005394306547</v>
      </c>
      <c r="N201" s="12">
        <f>(Tabla1[[#This Row],[Lista 2 (30%)]]-Tabla1[[#This Row],[PrecioFábrica]])/Tabla1[[#This Row],[Lista 2 (30%)]]</f>
        <v>0.72108577593493195</v>
      </c>
      <c r="O201" s="12">
        <f>(Tabla1[[#This Row],[Lista 3 (40%)]]-Tabla1[[#This Row],[PrecioFábrica]])/Tabla1[[#This Row],[Lista 3 (40%)]]</f>
        <v>0.67460007192408722</v>
      </c>
    </row>
    <row r="202" spans="1:15">
      <c r="A202" t="s">
        <v>6</v>
      </c>
      <c r="B202" t="s">
        <v>211</v>
      </c>
      <c r="C202" t="s">
        <v>1013</v>
      </c>
      <c r="D202" t="s">
        <v>811</v>
      </c>
      <c r="E202" t="s">
        <v>5</v>
      </c>
      <c r="F202" s="3">
        <v>6.0583333333333336</v>
      </c>
      <c r="G202" s="10">
        <f>VLOOKUP(Tabla1[[#This Row],[Código Unificador]],PRECIOS_COMPETENCIA!B:D,3,FALSE)</f>
        <v>27.920550000000002</v>
      </c>
      <c r="H202" s="10">
        <f>Tabla1[[#This Row],[PVP Competencia]]*0.98</f>
        <v>27.362139000000003</v>
      </c>
      <c r="I202" s="10">
        <f>Tabla1[[#This Row],[Precio Lista CDR]]*0.8</f>
        <v>21.889711200000004</v>
      </c>
      <c r="J202" s="10">
        <f>Tabla1[[#This Row],[Precio Lista CDR]]*0.7</f>
        <v>19.153497300000002</v>
      </c>
      <c r="K202" s="10">
        <f>Tabla1[[#This Row],[Precio Lista CDR]]*0.6</f>
        <v>16.417283400000002</v>
      </c>
      <c r="L202" s="12">
        <f>(Tabla1[[#This Row],[Precio Lista CDR]]-Tabla1[[#This Row],[PrecioFábrica]])/Tabla1[[#This Row],[Precio Lista CDR]]</f>
        <v>0.77858699813880294</v>
      </c>
      <c r="M202" s="12">
        <f>(Tabla1[[#This Row],[Lista 1 (20%)]]-Tabla1[[#This Row],[PrecioFábrica]])/Tabla1[[#This Row],[Lista 1 (20%)]]</f>
        <v>0.72323374767350368</v>
      </c>
      <c r="N202" s="12">
        <f>(Tabla1[[#This Row],[Lista 2 (30%)]]-Tabla1[[#This Row],[PrecioFábrica]])/Tabla1[[#This Row],[Lista 2 (30%)]]</f>
        <v>0.68369571162686127</v>
      </c>
      <c r="O202" s="12">
        <f>(Tabla1[[#This Row],[Lista 3 (40%)]]-Tabla1[[#This Row],[PrecioFábrica]])/Tabla1[[#This Row],[Lista 3 (40%)]]</f>
        <v>0.6309783302313382</v>
      </c>
    </row>
    <row r="203" spans="1:15">
      <c r="A203" t="s">
        <v>6</v>
      </c>
      <c r="B203" t="s">
        <v>212</v>
      </c>
      <c r="C203" t="s">
        <v>1014</v>
      </c>
      <c r="D203" t="s">
        <v>811</v>
      </c>
      <c r="E203" t="s">
        <v>5</v>
      </c>
      <c r="F203" s="3">
        <v>12.033333333333333</v>
      </c>
      <c r="G203" s="10">
        <f>VLOOKUP(Tabla1[[#This Row],[Código Unificador]],PRECIOS_COMPETENCIA!B:D,3,FALSE)</f>
        <v>47.339433333333339</v>
      </c>
      <c r="H203" s="10">
        <f>Tabla1[[#This Row],[PVP Competencia]]*0.98</f>
        <v>46.392644666666669</v>
      </c>
      <c r="I203" s="10">
        <f>Tabla1[[#This Row],[Precio Lista CDR]]*0.8</f>
        <v>37.114115733333335</v>
      </c>
      <c r="J203" s="10">
        <f>Tabla1[[#This Row],[Precio Lista CDR]]*0.7</f>
        <v>32.474851266666668</v>
      </c>
      <c r="K203" s="10">
        <f>Tabla1[[#This Row],[Precio Lista CDR]]*0.6</f>
        <v>27.835586800000002</v>
      </c>
      <c r="L203" s="12">
        <f>(Tabla1[[#This Row],[Precio Lista CDR]]-Tabla1[[#This Row],[PrecioFábrica]])/Tabla1[[#This Row],[Precio Lista CDR]]</f>
        <v>0.74061980256151816</v>
      </c>
      <c r="M203" s="12">
        <f>(Tabla1[[#This Row],[Lista 1 (20%)]]-Tabla1[[#This Row],[PrecioFábrica]])/Tabla1[[#This Row],[Lista 1 (20%)]]</f>
        <v>0.67577475320189773</v>
      </c>
      <c r="N203" s="12">
        <f>(Tabla1[[#This Row],[Lista 2 (30%)]]-Tabla1[[#This Row],[PrecioFábrica]])/Tabla1[[#This Row],[Lista 2 (30%)]]</f>
        <v>0.62945686080216878</v>
      </c>
      <c r="O203" s="12">
        <f>(Tabla1[[#This Row],[Lista 3 (40%)]]-Tabla1[[#This Row],[PrecioFábrica]])/Tabla1[[#This Row],[Lista 3 (40%)]]</f>
        <v>0.5676996709358636</v>
      </c>
    </row>
    <row r="204" spans="1:15">
      <c r="A204" t="s">
        <v>7</v>
      </c>
      <c r="B204" t="s">
        <v>213</v>
      </c>
      <c r="C204" t="s">
        <v>1015</v>
      </c>
      <c r="D204" t="s">
        <v>811</v>
      </c>
      <c r="E204" t="s">
        <v>5</v>
      </c>
      <c r="F204" s="3">
        <v>10.925000000000001</v>
      </c>
      <c r="G204" s="10">
        <f>VLOOKUP(Tabla1[[#This Row],[Código Unificador]],PRECIOS_COMPETENCIA!B:D,3,FALSE)</f>
        <v>42.632975000000009</v>
      </c>
      <c r="H204" s="10">
        <f>Tabla1[[#This Row],[PVP Competencia]]*0.98</f>
        <v>41.780315500000007</v>
      </c>
      <c r="I204" s="10">
        <f>Tabla1[[#This Row],[Precio Lista CDR]]*0.8</f>
        <v>33.424252400000007</v>
      </c>
      <c r="J204" s="10">
        <f>Tabla1[[#This Row],[Precio Lista CDR]]*0.7</f>
        <v>29.246220850000004</v>
      </c>
      <c r="K204" s="10">
        <f>Tabla1[[#This Row],[Precio Lista CDR]]*0.6</f>
        <v>25.068189300000004</v>
      </c>
      <c r="L204" s="12">
        <f>(Tabla1[[#This Row],[Precio Lista CDR]]-Tabla1[[#This Row],[PrecioFábrica]])/Tabla1[[#This Row],[Precio Lista CDR]]</f>
        <v>0.73851322400856456</v>
      </c>
      <c r="M204" s="12">
        <f>(Tabla1[[#This Row],[Lista 1 (20%)]]-Tabla1[[#This Row],[PrecioFábrica]])/Tabla1[[#This Row],[Lista 1 (20%)]]</f>
        <v>0.67314153001070565</v>
      </c>
      <c r="N204" s="12">
        <f>(Tabla1[[#This Row],[Lista 2 (30%)]]-Tabla1[[#This Row],[PrecioFábrica]])/Tabla1[[#This Row],[Lista 2 (30%)]]</f>
        <v>0.62644746286937791</v>
      </c>
      <c r="O204" s="12">
        <f>(Tabla1[[#This Row],[Lista 3 (40%)]]-Tabla1[[#This Row],[PrecioFábrica]])/Tabla1[[#This Row],[Lista 3 (40%)]]</f>
        <v>0.5641887066809409</v>
      </c>
    </row>
    <row r="205" spans="1:15">
      <c r="A205" t="s">
        <v>6</v>
      </c>
      <c r="B205" t="s">
        <v>214</v>
      </c>
      <c r="C205" t="s">
        <v>1016</v>
      </c>
      <c r="D205" t="s">
        <v>811</v>
      </c>
      <c r="E205" t="s">
        <v>5</v>
      </c>
      <c r="F205" s="3">
        <v>11.725000000000001</v>
      </c>
      <c r="G205" s="10">
        <f>VLOOKUP(Tabla1[[#This Row],[Código Unificador]],PRECIOS_COMPETENCIA!B:D,3,FALSE)</f>
        <v>45.362600000000008</v>
      </c>
      <c r="H205" s="10">
        <f>Tabla1[[#This Row],[PVP Competencia]]*0.98</f>
        <v>44.455348000000008</v>
      </c>
      <c r="I205" s="10">
        <f>Tabla1[[#This Row],[Precio Lista CDR]]*0.8</f>
        <v>35.564278400000006</v>
      </c>
      <c r="J205" s="10">
        <f>Tabla1[[#This Row],[Precio Lista CDR]]*0.7</f>
        <v>31.118743600000002</v>
      </c>
      <c r="K205" s="10">
        <f>Tabla1[[#This Row],[Precio Lista CDR]]*0.6</f>
        <v>26.673208800000005</v>
      </c>
      <c r="L205" s="12">
        <f>(Tabla1[[#This Row],[Precio Lista CDR]]-Tabla1[[#This Row],[PrecioFábrica]])/Tabla1[[#This Row],[Precio Lista CDR]]</f>
        <v>0.73625220524648693</v>
      </c>
      <c r="M205" s="12">
        <f>(Tabla1[[#This Row],[Lista 1 (20%)]]-Tabla1[[#This Row],[PrecioFábrica]])/Tabla1[[#This Row],[Lista 1 (20%)]]</f>
        <v>0.67031525655810864</v>
      </c>
      <c r="N205" s="12">
        <f>(Tabla1[[#This Row],[Lista 2 (30%)]]-Tabla1[[#This Row],[PrecioFábrica]])/Tabla1[[#This Row],[Lista 2 (30%)]]</f>
        <v>0.62321743606640978</v>
      </c>
      <c r="O205" s="12">
        <f>(Tabla1[[#This Row],[Lista 3 (40%)]]-Tabla1[[#This Row],[PrecioFábrica]])/Tabla1[[#This Row],[Lista 3 (40%)]]</f>
        <v>0.56042034207747815</v>
      </c>
    </row>
    <row r="206" spans="1:15">
      <c r="A206" t="s">
        <v>7</v>
      </c>
      <c r="B206" t="s">
        <v>215</v>
      </c>
      <c r="C206" t="s">
        <v>1017</v>
      </c>
      <c r="D206" t="s">
        <v>811</v>
      </c>
      <c r="E206" t="s">
        <v>5</v>
      </c>
      <c r="F206" s="3">
        <v>6.9333333333333336</v>
      </c>
      <c r="G206" s="10">
        <f>VLOOKUP(Tabla1[[#This Row],[Código Unificador]],PRECIOS_COMPETENCIA!B:D,3,FALSE)</f>
        <v>31.313066666666671</v>
      </c>
      <c r="H206" s="10">
        <f>Tabla1[[#This Row],[PVP Competencia]]*0.98</f>
        <v>30.686805333333336</v>
      </c>
      <c r="I206" s="10">
        <f>Tabla1[[#This Row],[Precio Lista CDR]]*0.8</f>
        <v>24.549444266666669</v>
      </c>
      <c r="J206" s="10">
        <f>Tabla1[[#This Row],[Precio Lista CDR]]*0.7</f>
        <v>21.480763733333333</v>
      </c>
      <c r="K206" s="10">
        <f>Tabla1[[#This Row],[Precio Lista CDR]]*0.6</f>
        <v>18.412083200000001</v>
      </c>
      <c r="L206" s="12">
        <f>(Tabla1[[#This Row],[Precio Lista CDR]]-Tabla1[[#This Row],[PrecioFábrica]])/Tabla1[[#This Row],[Precio Lista CDR]]</f>
        <v>0.77406141636379311</v>
      </c>
      <c r="M206" s="12">
        <f>(Tabla1[[#This Row],[Lista 1 (20%)]]-Tabla1[[#This Row],[PrecioFábrica]])/Tabla1[[#This Row],[Lista 1 (20%)]]</f>
        <v>0.71757677045474133</v>
      </c>
      <c r="N206" s="12">
        <f>(Tabla1[[#This Row],[Lista 2 (30%)]]-Tabla1[[#This Row],[PrecioFábrica]])/Tabla1[[#This Row],[Lista 2 (30%)]]</f>
        <v>0.6772305948054187</v>
      </c>
      <c r="O206" s="12">
        <f>(Tabla1[[#This Row],[Lista 3 (40%)]]-Tabla1[[#This Row],[PrecioFábrica]])/Tabla1[[#This Row],[Lista 3 (40%)]]</f>
        <v>0.62343569393965514</v>
      </c>
    </row>
    <row r="207" spans="1:15">
      <c r="A207" t="s">
        <v>7</v>
      </c>
      <c r="B207" t="s">
        <v>216</v>
      </c>
      <c r="C207" t="s">
        <v>1018</v>
      </c>
      <c r="D207" t="s">
        <v>811</v>
      </c>
      <c r="E207" t="s">
        <v>5</v>
      </c>
      <c r="F207" s="3">
        <v>6.6583333333333341</v>
      </c>
      <c r="G207" s="10">
        <f>VLOOKUP(Tabla1[[#This Row],[Código Unificador]],PRECIOS_COMPETENCIA!B:D,3,FALSE)</f>
        <v>29.695350000000005</v>
      </c>
      <c r="H207" s="10">
        <f>Tabla1[[#This Row],[PVP Competencia]]*0.98</f>
        <v>29.101443000000003</v>
      </c>
      <c r="I207" s="10">
        <f>Tabla1[[#This Row],[Precio Lista CDR]]*0.8</f>
        <v>23.281154400000005</v>
      </c>
      <c r="J207" s="10">
        <f>Tabla1[[#This Row],[Precio Lista CDR]]*0.7</f>
        <v>20.371010099999999</v>
      </c>
      <c r="K207" s="10">
        <f>Tabla1[[#This Row],[Precio Lista CDR]]*0.6</f>
        <v>17.460865800000001</v>
      </c>
      <c r="L207" s="12">
        <f>(Tabla1[[#This Row],[Precio Lista CDR]]-Tabla1[[#This Row],[PrecioFábrica]])/Tabla1[[#This Row],[Precio Lista CDR]]</f>
        <v>0.77120263990574855</v>
      </c>
      <c r="M207" s="12">
        <f>(Tabla1[[#This Row],[Lista 1 (20%)]]-Tabla1[[#This Row],[PrecioFábrica]])/Tabla1[[#This Row],[Lista 1 (20%)]]</f>
        <v>0.71400329988218569</v>
      </c>
      <c r="N207" s="12">
        <f>(Tabla1[[#This Row],[Lista 2 (30%)]]-Tabla1[[#This Row],[PrecioFábrica]])/Tabla1[[#This Row],[Lista 2 (30%)]]</f>
        <v>0.67314662843678352</v>
      </c>
      <c r="O207" s="12">
        <f>(Tabla1[[#This Row],[Lista 3 (40%)]]-Tabla1[[#This Row],[PrecioFábrica]])/Tabla1[[#This Row],[Lista 3 (40%)]]</f>
        <v>0.61867106650958081</v>
      </c>
    </row>
    <row r="208" spans="1:15">
      <c r="A208" t="s">
        <v>7</v>
      </c>
      <c r="B208" t="s">
        <v>217</v>
      </c>
      <c r="C208" t="s">
        <v>1019</v>
      </c>
      <c r="D208" t="s">
        <v>811</v>
      </c>
      <c r="E208" t="s">
        <v>5</v>
      </c>
      <c r="F208" s="3">
        <v>2.5416666666666665</v>
      </c>
      <c r="G208" s="10">
        <f>VLOOKUP(Tabla1[[#This Row],[Código Unificador]],PRECIOS_COMPETENCIA!B:D,3,FALSE)</f>
        <v>17.591958333333331</v>
      </c>
      <c r="H208" s="10">
        <f>Tabla1[[#This Row],[PVP Competencia]]*0.98</f>
        <v>17.240119166666663</v>
      </c>
      <c r="I208" s="10">
        <f>Tabla1[[#This Row],[Precio Lista CDR]]*0.8</f>
        <v>13.79209533333333</v>
      </c>
      <c r="J208" s="10">
        <f>Tabla1[[#This Row],[Precio Lista CDR]]*0.7</f>
        <v>12.068083416666664</v>
      </c>
      <c r="K208" s="10">
        <f>Tabla1[[#This Row],[Precio Lista CDR]]*0.6</f>
        <v>10.344071499999997</v>
      </c>
      <c r="L208" s="12">
        <f>(Tabla1[[#This Row],[Precio Lista CDR]]-Tabla1[[#This Row],[PrecioFábrica]])/Tabla1[[#This Row],[Precio Lista CDR]]</f>
        <v>0.8525725581073178</v>
      </c>
      <c r="M208" s="12">
        <f>(Tabla1[[#This Row],[Lista 1 (20%)]]-Tabla1[[#This Row],[PrecioFábrica]])/Tabla1[[#This Row],[Lista 1 (20%)]]</f>
        <v>0.81571569763414731</v>
      </c>
      <c r="N208" s="12">
        <f>(Tabla1[[#This Row],[Lista 2 (30%)]]-Tabla1[[#This Row],[PrecioFábrica]])/Tabla1[[#This Row],[Lista 2 (30%)]]</f>
        <v>0.78938936872473975</v>
      </c>
      <c r="O208" s="12">
        <f>(Tabla1[[#This Row],[Lista 3 (40%)]]-Tabla1[[#This Row],[PrecioFábrica]])/Tabla1[[#This Row],[Lista 3 (40%)]]</f>
        <v>0.7542875968455296</v>
      </c>
    </row>
    <row r="209" spans="1:15">
      <c r="A209" t="s">
        <v>7</v>
      </c>
      <c r="B209" t="s">
        <v>218</v>
      </c>
      <c r="C209" t="s">
        <v>1020</v>
      </c>
      <c r="D209" t="s">
        <v>811</v>
      </c>
      <c r="E209" t="s">
        <v>5</v>
      </c>
      <c r="F209" s="3">
        <v>2.5416666666666665</v>
      </c>
      <c r="G209" s="10">
        <f>VLOOKUP(Tabla1[[#This Row],[Código Unificador]],PRECIOS_COMPETENCIA!B:D,3,FALSE)</f>
        <v>17.886791666666667</v>
      </c>
      <c r="H209" s="10">
        <f>Tabla1[[#This Row],[PVP Competencia]]*0.98</f>
        <v>17.529055833333334</v>
      </c>
      <c r="I209" s="10">
        <f>Tabla1[[#This Row],[Precio Lista CDR]]*0.8</f>
        <v>14.023244666666669</v>
      </c>
      <c r="J209" s="10">
        <f>Tabla1[[#This Row],[Precio Lista CDR]]*0.7</f>
        <v>12.270339083333333</v>
      </c>
      <c r="K209" s="10">
        <f>Tabla1[[#This Row],[Precio Lista CDR]]*0.6</f>
        <v>10.517433500000001</v>
      </c>
      <c r="L209" s="12">
        <f>(Tabla1[[#This Row],[Precio Lista CDR]]-Tabla1[[#This Row],[PrecioFábrica]])/Tabla1[[#This Row],[Precio Lista CDR]]</f>
        <v>0.85500264869751741</v>
      </c>
      <c r="M209" s="12">
        <f>(Tabla1[[#This Row],[Lista 1 (20%)]]-Tabla1[[#This Row],[PrecioFábrica]])/Tabla1[[#This Row],[Lista 1 (20%)]]</f>
        <v>0.81875331087189673</v>
      </c>
      <c r="N209" s="12">
        <f>(Tabla1[[#This Row],[Lista 2 (30%)]]-Tabla1[[#This Row],[PrecioFábrica]])/Tabla1[[#This Row],[Lista 2 (30%)]]</f>
        <v>0.79286092671073904</v>
      </c>
      <c r="O209" s="12">
        <f>(Tabla1[[#This Row],[Lista 3 (40%)]]-Tabla1[[#This Row],[PrecioFábrica]])/Tabla1[[#This Row],[Lista 3 (40%)]]</f>
        <v>0.75833774782919561</v>
      </c>
    </row>
    <row r="210" spans="1:15">
      <c r="A210" t="s">
        <v>6</v>
      </c>
      <c r="B210" t="s">
        <v>219</v>
      </c>
      <c r="C210" t="s">
        <v>1021</v>
      </c>
      <c r="D210" t="s">
        <v>811</v>
      </c>
      <c r="E210" t="s">
        <v>5</v>
      </c>
      <c r="F210" s="3">
        <v>2.4250000000000003</v>
      </c>
      <c r="G210" s="10">
        <f>VLOOKUP(Tabla1[[#This Row],[Código Unificador]],PRECIOS_COMPETENCIA!B:D,3,FALSE)</f>
        <v>17.243475</v>
      </c>
      <c r="H210" s="10">
        <f>Tabla1[[#This Row],[PVP Competencia]]*0.98</f>
        <v>16.898605499999999</v>
      </c>
      <c r="I210" s="10">
        <f>Tabla1[[#This Row],[Precio Lista CDR]]*0.8</f>
        <v>13.518884399999999</v>
      </c>
      <c r="J210" s="10">
        <f>Tabla1[[#This Row],[Precio Lista CDR]]*0.7</f>
        <v>11.829023849999999</v>
      </c>
      <c r="K210" s="10">
        <f>Tabla1[[#This Row],[Precio Lista CDR]]*0.6</f>
        <v>10.139163299999998</v>
      </c>
      <c r="L210" s="12">
        <f>(Tabla1[[#This Row],[Precio Lista CDR]]-Tabla1[[#This Row],[PrecioFábrica]])/Tabla1[[#This Row],[Precio Lista CDR]]</f>
        <v>0.8564970346221763</v>
      </c>
      <c r="M210" s="12">
        <f>(Tabla1[[#This Row],[Lista 1 (20%)]]-Tabla1[[#This Row],[PrecioFábrica]])/Tabla1[[#This Row],[Lista 1 (20%)]]</f>
        <v>0.82062129327772038</v>
      </c>
      <c r="N210" s="12">
        <f>(Tabla1[[#This Row],[Lista 2 (30%)]]-Tabla1[[#This Row],[PrecioFábrica]])/Tabla1[[#This Row],[Lista 2 (30%)]]</f>
        <v>0.79499576374596614</v>
      </c>
      <c r="O210" s="12">
        <f>(Tabla1[[#This Row],[Lista 3 (40%)]]-Tabla1[[#This Row],[PrecioFábrica]])/Tabla1[[#This Row],[Lista 3 (40%)]]</f>
        <v>0.76082839103696054</v>
      </c>
    </row>
    <row r="211" spans="1:15">
      <c r="A211" t="s">
        <v>6</v>
      </c>
      <c r="B211" t="s">
        <v>220</v>
      </c>
      <c r="C211" t="s">
        <v>1022</v>
      </c>
      <c r="D211" t="s">
        <v>811</v>
      </c>
      <c r="E211" t="s">
        <v>5</v>
      </c>
      <c r="F211" s="3">
        <v>2.3583333333333334</v>
      </c>
      <c r="G211" s="10">
        <f>VLOOKUP(Tabla1[[#This Row],[Código Unificador]],PRECIOS_COMPETENCIA!B:D,3,FALSE)</f>
        <v>16.975950000000001</v>
      </c>
      <c r="H211" s="10">
        <f>Tabla1[[#This Row],[PVP Competencia]]*0.98</f>
        <v>16.636431000000002</v>
      </c>
      <c r="I211" s="10">
        <f>Tabla1[[#This Row],[Precio Lista CDR]]*0.8</f>
        <v>13.309144800000002</v>
      </c>
      <c r="J211" s="10">
        <f>Tabla1[[#This Row],[Precio Lista CDR]]*0.7</f>
        <v>11.645501700000001</v>
      </c>
      <c r="K211" s="10">
        <f>Tabla1[[#This Row],[Precio Lista CDR]]*0.6</f>
        <v>9.9818586000000007</v>
      </c>
      <c r="L211" s="12">
        <f>(Tabla1[[#This Row],[Precio Lista CDR]]-Tabla1[[#This Row],[PrecioFábrica]])/Tabla1[[#This Row],[Precio Lista CDR]]</f>
        <v>0.85824283265242807</v>
      </c>
      <c r="M211" s="12">
        <f>(Tabla1[[#This Row],[Lista 1 (20%)]]-Tabla1[[#This Row],[PrecioFábrica]])/Tabla1[[#This Row],[Lista 1 (20%)]]</f>
        <v>0.82280354081553508</v>
      </c>
      <c r="N211" s="12">
        <f>(Tabla1[[#This Row],[Lista 2 (30%)]]-Tabla1[[#This Row],[PrecioFábrica]])/Tabla1[[#This Row],[Lista 2 (30%)]]</f>
        <v>0.79748976093204005</v>
      </c>
      <c r="O211" s="12">
        <f>(Tabla1[[#This Row],[Lista 3 (40%)]]-Tabla1[[#This Row],[PrecioFábrica]])/Tabla1[[#This Row],[Lista 3 (40%)]]</f>
        <v>0.76373805442071352</v>
      </c>
    </row>
    <row r="212" spans="1:15">
      <c r="A212" t="s">
        <v>6</v>
      </c>
      <c r="B212" t="s">
        <v>221</v>
      </c>
      <c r="C212" t="s">
        <v>1023</v>
      </c>
      <c r="D212" t="s">
        <v>811</v>
      </c>
      <c r="E212" t="s">
        <v>5</v>
      </c>
      <c r="F212" s="3">
        <v>2.3833333333333333</v>
      </c>
      <c r="G212" s="10">
        <f>VLOOKUP(Tabla1[[#This Row],[Código Unificador]],PRECIOS_COMPETENCIA!B:D,3,FALSE)</f>
        <v>17.257249999999999</v>
      </c>
      <c r="H212" s="10">
        <f>Tabla1[[#This Row],[PVP Competencia]]*0.98</f>
        <v>16.912105</v>
      </c>
      <c r="I212" s="10">
        <f>Tabla1[[#This Row],[Precio Lista CDR]]*0.8</f>
        <v>13.529684000000001</v>
      </c>
      <c r="J212" s="10">
        <f>Tabla1[[#This Row],[Precio Lista CDR]]*0.7</f>
        <v>11.838473499999999</v>
      </c>
      <c r="K212" s="10">
        <f>Tabla1[[#This Row],[Precio Lista CDR]]*0.6</f>
        <v>10.147263000000001</v>
      </c>
      <c r="L212" s="12">
        <f>(Tabla1[[#This Row],[Precio Lista CDR]]-Tabla1[[#This Row],[PrecioFábrica]])/Tabla1[[#This Row],[Precio Lista CDR]]</f>
        <v>0.85907529941817806</v>
      </c>
      <c r="M212" s="12">
        <f>(Tabla1[[#This Row],[Lista 1 (20%)]]-Tabla1[[#This Row],[PrecioFábrica]])/Tabla1[[#This Row],[Lista 1 (20%)]]</f>
        <v>0.82384412427272269</v>
      </c>
      <c r="N212" s="12">
        <f>(Tabla1[[#This Row],[Lista 2 (30%)]]-Tabla1[[#This Row],[PrecioFábrica]])/Tabla1[[#This Row],[Lista 2 (30%)]]</f>
        <v>0.7986789991688259</v>
      </c>
      <c r="O212" s="12">
        <f>(Tabla1[[#This Row],[Lista 3 (40%)]]-Tabla1[[#This Row],[PrecioFábrica]])/Tabla1[[#This Row],[Lista 3 (40%)]]</f>
        <v>0.76512549903029692</v>
      </c>
    </row>
    <row r="213" spans="1:15">
      <c r="A213" t="s">
        <v>6</v>
      </c>
      <c r="B213" t="s">
        <v>222</v>
      </c>
      <c r="C213" t="s">
        <v>1024</v>
      </c>
      <c r="D213" t="s">
        <v>811</v>
      </c>
      <c r="E213" t="s">
        <v>5</v>
      </c>
      <c r="F213" s="3">
        <v>2.3583333333333334</v>
      </c>
      <c r="G213" s="10">
        <f>VLOOKUP(Tabla1[[#This Row],[Código Unificador]],PRECIOS_COMPETENCIA!B:D,3,FALSE)</f>
        <v>17.044341666666668</v>
      </c>
      <c r="H213" s="10">
        <f>Tabla1[[#This Row],[PVP Competencia]]*0.98</f>
        <v>16.703454833333335</v>
      </c>
      <c r="I213" s="10">
        <f>Tabla1[[#This Row],[Precio Lista CDR]]*0.8</f>
        <v>13.362763866666668</v>
      </c>
      <c r="J213" s="10">
        <f>Tabla1[[#This Row],[Precio Lista CDR]]*0.7</f>
        <v>11.692418383333335</v>
      </c>
      <c r="K213" s="10">
        <f>Tabla1[[#This Row],[Precio Lista CDR]]*0.6</f>
        <v>10.022072900000001</v>
      </c>
      <c r="L213" s="12">
        <f>(Tabla1[[#This Row],[Precio Lista CDR]]-Tabla1[[#This Row],[PrecioFábrica]])/Tabla1[[#This Row],[Precio Lista CDR]]</f>
        <v>0.85881164364709417</v>
      </c>
      <c r="M213" s="12">
        <f>(Tabla1[[#This Row],[Lista 1 (20%)]]-Tabla1[[#This Row],[PrecioFábrica]])/Tabla1[[#This Row],[Lista 1 (20%)]]</f>
        <v>0.82351455455886768</v>
      </c>
      <c r="N213" s="12">
        <f>(Tabla1[[#This Row],[Lista 2 (30%)]]-Tabla1[[#This Row],[PrecioFábrica]])/Tabla1[[#This Row],[Lista 2 (30%)]]</f>
        <v>0.79830234806727751</v>
      </c>
      <c r="O213" s="12">
        <f>(Tabla1[[#This Row],[Lista 3 (40%)]]-Tabla1[[#This Row],[PrecioFábrica]])/Tabla1[[#This Row],[Lista 3 (40%)]]</f>
        <v>0.76468607274515699</v>
      </c>
    </row>
    <row r="214" spans="1:15">
      <c r="A214" t="s">
        <v>9</v>
      </c>
      <c r="B214" t="s">
        <v>223</v>
      </c>
      <c r="C214" t="s">
        <v>1025</v>
      </c>
      <c r="D214" t="s">
        <v>811</v>
      </c>
      <c r="E214" t="s">
        <v>5</v>
      </c>
      <c r="F214" s="3">
        <v>2.3583333333333334</v>
      </c>
      <c r="G214" s="10">
        <f>VLOOKUP(Tabla1[[#This Row],[Código Unificador]],PRECIOS_COMPETENCIA!B:D,3,FALSE)</f>
        <v>17.249516666666668</v>
      </c>
      <c r="H214" s="10">
        <f>Tabla1[[#This Row],[PVP Competencia]]*0.98</f>
        <v>16.904526333333333</v>
      </c>
      <c r="I214" s="10">
        <f>Tabla1[[#This Row],[Precio Lista CDR]]*0.8</f>
        <v>13.523621066666667</v>
      </c>
      <c r="J214" s="10">
        <f>Tabla1[[#This Row],[Precio Lista CDR]]*0.7</f>
        <v>11.833168433333332</v>
      </c>
      <c r="K214" s="10">
        <f>Tabla1[[#This Row],[Precio Lista CDR]]*0.6</f>
        <v>10.1427158</v>
      </c>
      <c r="L214" s="12">
        <f>(Tabla1[[#This Row],[Precio Lista CDR]]-Tabla1[[#This Row],[PrecioFábrica]])/Tabla1[[#This Row],[Precio Lista CDR]]</f>
        <v>0.86049101365928038</v>
      </c>
      <c r="M214" s="12">
        <f>(Tabla1[[#This Row],[Lista 1 (20%)]]-Tabla1[[#This Row],[PrecioFábrica]])/Tabla1[[#This Row],[Lista 1 (20%)]]</f>
        <v>0.8256137670741005</v>
      </c>
      <c r="N214" s="12">
        <f>(Tabla1[[#This Row],[Lista 2 (30%)]]-Tabla1[[#This Row],[PrecioFábrica]])/Tabla1[[#This Row],[Lista 2 (30%)]]</f>
        <v>0.80070144808468646</v>
      </c>
      <c r="O214" s="12">
        <f>(Tabla1[[#This Row],[Lista 3 (40%)]]-Tabla1[[#This Row],[PrecioFábrica]])/Tabla1[[#This Row],[Lista 3 (40%)]]</f>
        <v>0.76748502276546748</v>
      </c>
    </row>
    <row r="215" spans="1:15">
      <c r="A215" t="s">
        <v>6</v>
      </c>
      <c r="B215" t="s">
        <v>224</v>
      </c>
      <c r="C215" t="s">
        <v>1026</v>
      </c>
      <c r="D215" t="s">
        <v>811</v>
      </c>
      <c r="E215" t="s">
        <v>5</v>
      </c>
      <c r="F215" s="3">
        <v>2.3333333333333335</v>
      </c>
      <c r="G215" s="10">
        <f>VLOOKUP(Tabla1[[#This Row],[Código Unificador]],PRECIOS_COMPETENCIA!B:D,3,FALSE)</f>
        <v>17.308</v>
      </c>
      <c r="H215" s="10">
        <f>Tabla1[[#This Row],[PVP Competencia]]*0.98</f>
        <v>16.961839999999999</v>
      </c>
      <c r="I215" s="10">
        <f>Tabla1[[#This Row],[Precio Lista CDR]]*0.8</f>
        <v>13.569471999999999</v>
      </c>
      <c r="J215" s="10">
        <f>Tabla1[[#This Row],[Precio Lista CDR]]*0.7</f>
        <v>11.873287999999999</v>
      </c>
      <c r="K215" s="10">
        <f>Tabla1[[#This Row],[Precio Lista CDR]]*0.6</f>
        <v>10.177103999999998</v>
      </c>
      <c r="L215" s="12">
        <f>(Tabla1[[#This Row],[Precio Lista CDR]]-Tabla1[[#This Row],[PrecioFábrica]])/Tabla1[[#This Row],[Precio Lista CDR]]</f>
        <v>0.86243630801060889</v>
      </c>
      <c r="M215" s="12">
        <f>(Tabla1[[#This Row],[Lista 1 (20%)]]-Tabla1[[#This Row],[PrecioFábrica]])/Tabla1[[#This Row],[Lista 1 (20%)]]</f>
        <v>0.82804538501326108</v>
      </c>
      <c r="N215" s="12">
        <f>(Tabla1[[#This Row],[Lista 2 (30%)]]-Tabla1[[#This Row],[PrecioFábrica]])/Tabla1[[#This Row],[Lista 2 (30%)]]</f>
        <v>0.80348044001515551</v>
      </c>
      <c r="O215" s="12">
        <f>(Tabla1[[#This Row],[Lista 3 (40%)]]-Tabla1[[#This Row],[PrecioFábrica]])/Tabla1[[#This Row],[Lista 3 (40%)]]</f>
        <v>0.77072718001768137</v>
      </c>
    </row>
    <row r="216" spans="1:15">
      <c r="A216" t="s">
        <v>7</v>
      </c>
      <c r="B216" t="s">
        <v>225</v>
      </c>
      <c r="C216" t="s">
        <v>1027</v>
      </c>
      <c r="D216" t="s">
        <v>811</v>
      </c>
      <c r="E216" t="s">
        <v>5</v>
      </c>
      <c r="F216" s="3">
        <v>2.5916666666666672</v>
      </c>
      <c r="G216" s="10">
        <f>VLOOKUP(Tabla1[[#This Row],[Código Unificador]],PRECIOS_COMPETENCIA!B:D,3,FALSE)</f>
        <v>18.117100000000001</v>
      </c>
      <c r="H216" s="10">
        <f>Tabla1[[#This Row],[PVP Competencia]]*0.98</f>
        <v>17.754757999999999</v>
      </c>
      <c r="I216" s="10">
        <f>Tabla1[[#This Row],[Precio Lista CDR]]*0.8</f>
        <v>14.203806399999999</v>
      </c>
      <c r="J216" s="10">
        <f>Tabla1[[#This Row],[Precio Lista CDR]]*0.7</f>
        <v>12.428330599999999</v>
      </c>
      <c r="K216" s="10">
        <f>Tabla1[[#This Row],[Precio Lista CDR]]*0.6</f>
        <v>10.652854799999998</v>
      </c>
      <c r="L216" s="12">
        <f>(Tabla1[[#This Row],[Precio Lista CDR]]-Tabla1[[#This Row],[PrecioFábrica]])/Tabla1[[#This Row],[Precio Lista CDR]]</f>
        <v>0.85402973858237508</v>
      </c>
      <c r="M216" s="12">
        <f>(Tabla1[[#This Row],[Lista 1 (20%)]]-Tabla1[[#This Row],[PrecioFábrica]])/Tabla1[[#This Row],[Lista 1 (20%)]]</f>
        <v>0.81753717322796893</v>
      </c>
      <c r="N216" s="12">
        <f>(Tabla1[[#This Row],[Lista 2 (30%)]]-Tabla1[[#This Row],[PrecioFábrica]])/Tabla1[[#This Row],[Lista 2 (30%)]]</f>
        <v>0.79147105511767868</v>
      </c>
      <c r="O216" s="12">
        <f>(Tabla1[[#This Row],[Lista 3 (40%)]]-Tabla1[[#This Row],[PrecioFábrica]])/Tabla1[[#This Row],[Lista 3 (40%)]]</f>
        <v>0.75671623097062513</v>
      </c>
    </row>
    <row r="217" spans="1:15">
      <c r="A217" t="s">
        <v>6</v>
      </c>
      <c r="B217" t="s">
        <v>226</v>
      </c>
      <c r="C217" t="s">
        <v>1028</v>
      </c>
      <c r="D217" t="s">
        <v>811</v>
      </c>
      <c r="E217" t="s">
        <v>5</v>
      </c>
      <c r="F217" s="3">
        <v>2.5333333333333337</v>
      </c>
      <c r="G217" s="10">
        <f>VLOOKUP(Tabla1[[#This Row],[Código Unificador]],PRECIOS_COMPETENCIA!B:D,3,FALSE)</f>
        <v>17.493600000000001</v>
      </c>
      <c r="H217" s="10">
        <f>Tabla1[[#This Row],[PVP Competencia]]*0.98</f>
        <v>17.143727999999999</v>
      </c>
      <c r="I217" s="10">
        <f>Tabla1[[#This Row],[Precio Lista CDR]]*0.8</f>
        <v>13.7149824</v>
      </c>
      <c r="J217" s="10">
        <f>Tabla1[[#This Row],[Precio Lista CDR]]*0.7</f>
        <v>12.000609599999999</v>
      </c>
      <c r="K217" s="10">
        <f>Tabla1[[#This Row],[Precio Lista CDR]]*0.6</f>
        <v>10.286236799999999</v>
      </c>
      <c r="L217" s="12">
        <f>(Tabla1[[#This Row],[Precio Lista CDR]]-Tabla1[[#This Row],[PrecioFábrica]])/Tabla1[[#This Row],[Precio Lista CDR]]</f>
        <v>0.85222972895199145</v>
      </c>
      <c r="M217" s="12">
        <f>(Tabla1[[#This Row],[Lista 1 (20%)]]-Tabla1[[#This Row],[PrecioFábrica]])/Tabla1[[#This Row],[Lista 1 (20%)]]</f>
        <v>0.81528716118998934</v>
      </c>
      <c r="N217" s="12">
        <f>(Tabla1[[#This Row],[Lista 2 (30%)]]-Tabla1[[#This Row],[PrecioFábrica]])/Tabla1[[#This Row],[Lista 2 (30%)]]</f>
        <v>0.78889961278855925</v>
      </c>
      <c r="O217" s="12">
        <f>(Tabla1[[#This Row],[Lista 3 (40%)]]-Tabla1[[#This Row],[PrecioFábrica]])/Tabla1[[#This Row],[Lista 3 (40%)]]</f>
        <v>0.75371621491998575</v>
      </c>
    </row>
    <row r="218" spans="1:15">
      <c r="A218" t="s">
        <v>6</v>
      </c>
      <c r="B218" t="s">
        <v>227</v>
      </c>
      <c r="C218" t="s">
        <v>1029</v>
      </c>
      <c r="D218" t="s">
        <v>811</v>
      </c>
      <c r="E218" t="s">
        <v>5</v>
      </c>
      <c r="F218" s="3">
        <v>2.4416666666666669</v>
      </c>
      <c r="G218" s="10">
        <f>VLOOKUP(Tabla1[[#This Row],[Código Unificador]],PRECIOS_COMPETENCIA!B:D,3,FALSE)</f>
        <v>17.647300000000001</v>
      </c>
      <c r="H218" s="10">
        <f>Tabla1[[#This Row],[PVP Competencia]]*0.98</f>
        <v>17.294354000000002</v>
      </c>
      <c r="I218" s="10">
        <f>Tabla1[[#This Row],[Precio Lista CDR]]*0.8</f>
        <v>13.835483200000002</v>
      </c>
      <c r="J218" s="10">
        <f>Tabla1[[#This Row],[Precio Lista CDR]]*0.7</f>
        <v>12.106047800000001</v>
      </c>
      <c r="K218" s="10">
        <f>Tabla1[[#This Row],[Precio Lista CDR]]*0.6</f>
        <v>10.376612400000001</v>
      </c>
      <c r="L218" s="12">
        <f>(Tabla1[[#This Row],[Precio Lista CDR]]-Tabla1[[#This Row],[PrecioFábrica]])/Tabla1[[#This Row],[Precio Lista CDR]]</f>
        <v>0.85881712224309359</v>
      </c>
      <c r="M218" s="12">
        <f>(Tabla1[[#This Row],[Lista 1 (20%)]]-Tabla1[[#This Row],[PrecioFábrica]])/Tabla1[[#This Row],[Lista 1 (20%)]]</f>
        <v>0.82352140280386699</v>
      </c>
      <c r="N218" s="12">
        <f>(Tabla1[[#This Row],[Lista 2 (30%)]]-Tabla1[[#This Row],[PrecioFábrica]])/Tabla1[[#This Row],[Lista 2 (30%)]]</f>
        <v>0.79831017463299081</v>
      </c>
      <c r="O218" s="12">
        <f>(Tabla1[[#This Row],[Lista 3 (40%)]]-Tabla1[[#This Row],[PrecioFábrica]])/Tabla1[[#This Row],[Lista 3 (40%)]]</f>
        <v>0.7646952037384892</v>
      </c>
    </row>
    <row r="219" spans="1:15">
      <c r="A219" t="s">
        <v>6</v>
      </c>
      <c r="B219" t="s">
        <v>228</v>
      </c>
      <c r="C219" t="s">
        <v>1030</v>
      </c>
      <c r="D219" t="s">
        <v>811</v>
      </c>
      <c r="E219" t="s">
        <v>5</v>
      </c>
      <c r="F219" s="3">
        <v>2.4500000000000002</v>
      </c>
      <c r="G219" s="10">
        <f>VLOOKUP(Tabla1[[#This Row],[Código Unificador]],PRECIOS_COMPETENCIA!B:D,3,FALSE)</f>
        <v>17.602350000000001</v>
      </c>
      <c r="H219" s="10">
        <f>Tabla1[[#This Row],[PVP Competencia]]*0.98</f>
        <v>17.250303000000002</v>
      </c>
      <c r="I219" s="10">
        <f>Tabla1[[#This Row],[Precio Lista CDR]]*0.8</f>
        <v>13.800242400000002</v>
      </c>
      <c r="J219" s="10">
        <f>Tabla1[[#This Row],[Precio Lista CDR]]*0.7</f>
        <v>12.075212100000002</v>
      </c>
      <c r="K219" s="10">
        <f>Tabla1[[#This Row],[Precio Lista CDR]]*0.6</f>
        <v>10.350181800000001</v>
      </c>
      <c r="L219" s="12">
        <f>(Tabla1[[#This Row],[Precio Lista CDR]]-Tabla1[[#This Row],[PrecioFábrica]])/Tabla1[[#This Row],[Precio Lista CDR]]</f>
        <v>0.85797350921893956</v>
      </c>
      <c r="M219" s="12">
        <f>(Tabla1[[#This Row],[Lista 1 (20%)]]-Tabla1[[#This Row],[PrecioFábrica]])/Tabla1[[#This Row],[Lista 1 (20%)]]</f>
        <v>0.8224668865236745</v>
      </c>
      <c r="N219" s="12">
        <f>(Tabla1[[#This Row],[Lista 2 (30%)]]-Tabla1[[#This Row],[PrecioFábrica]])/Tabla1[[#This Row],[Lista 2 (30%)]]</f>
        <v>0.79710501316991367</v>
      </c>
      <c r="O219" s="12">
        <f>(Tabla1[[#This Row],[Lista 3 (40%)]]-Tabla1[[#This Row],[PrecioFábrica]])/Tabla1[[#This Row],[Lista 3 (40%)]]</f>
        <v>0.76328918203156593</v>
      </c>
    </row>
    <row r="220" spans="1:15">
      <c r="A220" t="s">
        <v>6</v>
      </c>
      <c r="B220" t="s">
        <v>229</v>
      </c>
      <c r="C220" t="s">
        <v>1031</v>
      </c>
      <c r="D220" t="s">
        <v>811</v>
      </c>
      <c r="E220" t="s">
        <v>5</v>
      </c>
      <c r="F220" s="3">
        <v>2.6416666666666666</v>
      </c>
      <c r="G220" s="10">
        <f>VLOOKUP(Tabla1[[#This Row],[Código Unificador]],PRECIOS_COMPETENCIA!B:D,3,FALSE)</f>
        <v>17.967266666666667</v>
      </c>
      <c r="H220" s="10">
        <f>Tabla1[[#This Row],[PVP Competencia]]*0.98</f>
        <v>17.607921333333334</v>
      </c>
      <c r="I220" s="10">
        <f>Tabla1[[#This Row],[Precio Lista CDR]]*0.8</f>
        <v>14.086337066666667</v>
      </c>
      <c r="J220" s="10">
        <f>Tabla1[[#This Row],[Precio Lista CDR]]*0.7</f>
        <v>12.325544933333333</v>
      </c>
      <c r="K220" s="10">
        <f>Tabla1[[#This Row],[Precio Lista CDR]]*0.6</f>
        <v>10.564752799999999</v>
      </c>
      <c r="L220" s="12">
        <f>(Tabla1[[#This Row],[Precio Lista CDR]]-Tabla1[[#This Row],[PrecioFábrica]])/Tabla1[[#This Row],[Precio Lista CDR]]</f>
        <v>0.84997282662401719</v>
      </c>
      <c r="M220" s="12">
        <f>(Tabla1[[#This Row],[Lista 1 (20%)]]-Tabla1[[#This Row],[PrecioFábrica]])/Tabla1[[#This Row],[Lista 1 (20%)]]</f>
        <v>0.81246603328002143</v>
      </c>
      <c r="N220" s="12">
        <f>(Tabla1[[#This Row],[Lista 2 (30%)]]-Tabla1[[#This Row],[PrecioFábrica]])/Tabla1[[#This Row],[Lista 2 (30%)]]</f>
        <v>0.78567546660573895</v>
      </c>
      <c r="O220" s="12">
        <f>(Tabla1[[#This Row],[Lista 3 (40%)]]-Tabla1[[#This Row],[PrecioFábrica]])/Tabla1[[#This Row],[Lista 3 (40%)]]</f>
        <v>0.74995471104002864</v>
      </c>
    </row>
    <row r="221" spans="1:15">
      <c r="A221" t="s">
        <v>6</v>
      </c>
      <c r="B221" t="s">
        <v>230</v>
      </c>
      <c r="C221" t="s">
        <v>1032</v>
      </c>
      <c r="D221" t="s">
        <v>811</v>
      </c>
      <c r="E221" t="s">
        <v>5</v>
      </c>
      <c r="F221" s="3">
        <v>2.5166666666666666</v>
      </c>
      <c r="G221" s="10">
        <f>VLOOKUP(Tabla1[[#This Row],[Código Unificador]],PRECIOS_COMPETENCIA!B:D,3,FALSE)</f>
        <v>17.444299999999998</v>
      </c>
      <c r="H221" s="10">
        <f>Tabla1[[#This Row],[PVP Competencia]]*0.98</f>
        <v>17.095413999999998</v>
      </c>
      <c r="I221" s="10">
        <f>Tabla1[[#This Row],[Precio Lista CDR]]*0.8</f>
        <v>13.6763312</v>
      </c>
      <c r="J221" s="10">
        <f>Tabla1[[#This Row],[Precio Lista CDR]]*0.7</f>
        <v>11.966789799999997</v>
      </c>
      <c r="K221" s="10">
        <f>Tabla1[[#This Row],[Precio Lista CDR]]*0.6</f>
        <v>10.257248399999998</v>
      </c>
      <c r="L221" s="12">
        <f>(Tabla1[[#This Row],[Precio Lista CDR]]-Tabla1[[#This Row],[PrecioFábrica]])/Tabla1[[#This Row],[Precio Lista CDR]]</f>
        <v>0.85278703009668755</v>
      </c>
      <c r="M221" s="12">
        <f>(Tabla1[[#This Row],[Lista 1 (20%)]]-Tabla1[[#This Row],[PrecioFábrica]])/Tabla1[[#This Row],[Lista 1 (20%)]]</f>
        <v>0.81598378762085944</v>
      </c>
      <c r="N221" s="12">
        <f>(Tabla1[[#This Row],[Lista 2 (30%)]]-Tabla1[[#This Row],[PrecioFábrica]])/Tabla1[[#This Row],[Lista 2 (30%)]]</f>
        <v>0.78969575728098218</v>
      </c>
      <c r="O221" s="12">
        <f>(Tabla1[[#This Row],[Lista 3 (40%)]]-Tabla1[[#This Row],[PrecioFábrica]])/Tabla1[[#This Row],[Lista 3 (40%)]]</f>
        <v>0.7546450501611458</v>
      </c>
    </row>
    <row r="222" spans="1:15">
      <c r="A222" t="s">
        <v>6</v>
      </c>
      <c r="B222" t="s">
        <v>231</v>
      </c>
      <c r="C222" t="s">
        <v>1033</v>
      </c>
      <c r="D222" t="s">
        <v>811</v>
      </c>
      <c r="E222" t="s">
        <v>5</v>
      </c>
      <c r="F222" s="3">
        <v>2.5250000000000004</v>
      </c>
      <c r="G222" s="10">
        <f>VLOOKUP(Tabla1[[#This Row],[Código Unificador]],PRECIOS_COMPETENCIA!B:D,3,FALSE)</f>
        <v>17.542175</v>
      </c>
      <c r="H222" s="10">
        <f>Tabla1[[#This Row],[PVP Competencia]]*0.98</f>
        <v>17.1913315</v>
      </c>
      <c r="I222" s="10">
        <f>Tabla1[[#This Row],[Precio Lista CDR]]*0.8</f>
        <v>13.753065200000002</v>
      </c>
      <c r="J222" s="10">
        <f>Tabla1[[#This Row],[Precio Lista CDR]]*0.7</f>
        <v>12.033932049999999</v>
      </c>
      <c r="K222" s="10">
        <f>Tabla1[[#This Row],[Precio Lista CDR]]*0.6</f>
        <v>10.3147989</v>
      </c>
      <c r="L222" s="12">
        <f>(Tabla1[[#This Row],[Precio Lista CDR]]-Tabla1[[#This Row],[PrecioFábrica]])/Tabla1[[#This Row],[Precio Lista CDR]]</f>
        <v>0.85312365130065693</v>
      </c>
      <c r="M222" s="12">
        <f>(Tabla1[[#This Row],[Lista 1 (20%)]]-Tabla1[[#This Row],[PrecioFábrica]])/Tabla1[[#This Row],[Lista 1 (20%)]]</f>
        <v>0.81640456412582119</v>
      </c>
      <c r="N222" s="12">
        <f>(Tabla1[[#This Row],[Lista 2 (30%)]]-Tabla1[[#This Row],[PrecioFábrica]])/Tabla1[[#This Row],[Lista 2 (30%)]]</f>
        <v>0.7901766447152242</v>
      </c>
      <c r="O222" s="12">
        <f>(Tabla1[[#This Row],[Lista 3 (40%)]]-Tabla1[[#This Row],[PrecioFábrica]])/Tabla1[[#This Row],[Lista 3 (40%)]]</f>
        <v>0.75520608550109491</v>
      </c>
    </row>
    <row r="223" spans="1:15">
      <c r="A223" t="s">
        <v>7</v>
      </c>
      <c r="B223" t="s">
        <v>232</v>
      </c>
      <c r="C223" t="s">
        <v>1034</v>
      </c>
      <c r="D223" t="s">
        <v>811</v>
      </c>
      <c r="E223" t="s">
        <v>5</v>
      </c>
      <c r="F223" s="3">
        <v>6.1750000000000007</v>
      </c>
      <c r="G223" s="10">
        <f>VLOOKUP(Tabla1[[#This Row],[Código Unificador]],PRECIOS_COMPETENCIA!B:D,3,FALSE)</f>
        <v>28.444725000000002</v>
      </c>
      <c r="H223" s="10">
        <f>Tabla1[[#This Row],[PVP Competencia]]*0.98</f>
        <v>27.875830500000003</v>
      </c>
      <c r="I223" s="10">
        <f>Tabla1[[#This Row],[Precio Lista CDR]]*0.8</f>
        <v>22.300664400000002</v>
      </c>
      <c r="J223" s="10">
        <f>Tabla1[[#This Row],[Precio Lista CDR]]*0.7</f>
        <v>19.51308135</v>
      </c>
      <c r="K223" s="10">
        <f>Tabla1[[#This Row],[Precio Lista CDR]]*0.6</f>
        <v>16.725498300000002</v>
      </c>
      <c r="L223" s="12">
        <f>(Tabla1[[#This Row],[Precio Lista CDR]]-Tabla1[[#This Row],[PrecioFábrica]])/Tabla1[[#This Row],[Precio Lista CDR]]</f>
        <v>0.77848193617047567</v>
      </c>
      <c r="M223" s="12">
        <f>(Tabla1[[#This Row],[Lista 1 (20%)]]-Tabla1[[#This Row],[PrecioFábrica]])/Tabla1[[#This Row],[Lista 1 (20%)]]</f>
        <v>0.72310242021309468</v>
      </c>
      <c r="N223" s="12">
        <f>(Tabla1[[#This Row],[Lista 2 (30%)]]-Tabla1[[#This Row],[PrecioFábrica]])/Tabla1[[#This Row],[Lista 2 (30%)]]</f>
        <v>0.68354562310067957</v>
      </c>
      <c r="O223" s="12">
        <f>(Tabla1[[#This Row],[Lista 3 (40%)]]-Tabla1[[#This Row],[PrecioFábrica]])/Tabla1[[#This Row],[Lista 3 (40%)]]</f>
        <v>0.63080322695079283</v>
      </c>
    </row>
    <row r="224" spans="1:15">
      <c r="A224" t="s">
        <v>7</v>
      </c>
      <c r="B224" t="s">
        <v>233</v>
      </c>
      <c r="C224" t="s">
        <v>1035</v>
      </c>
      <c r="D224" t="s">
        <v>811</v>
      </c>
      <c r="E224" t="s">
        <v>5</v>
      </c>
      <c r="F224" s="3">
        <v>6.625</v>
      </c>
      <c r="G224" s="10">
        <f>VLOOKUP(Tabla1[[#This Row],[Código Unificador]],PRECIOS_COMPETENCIA!B:D,3,FALSE)</f>
        <v>30.749500000000005</v>
      </c>
      <c r="H224" s="10">
        <f>Tabla1[[#This Row],[PVP Competencia]]*0.98</f>
        <v>30.134510000000002</v>
      </c>
      <c r="I224" s="10">
        <f>Tabla1[[#This Row],[Precio Lista CDR]]*0.8</f>
        <v>24.107608000000003</v>
      </c>
      <c r="J224" s="10">
        <f>Tabla1[[#This Row],[Precio Lista CDR]]*0.7</f>
        <v>21.094156999999999</v>
      </c>
      <c r="K224" s="10">
        <f>Tabla1[[#This Row],[Precio Lista CDR]]*0.6</f>
        <v>18.080705999999999</v>
      </c>
      <c r="L224" s="12">
        <f>(Tabla1[[#This Row],[Precio Lista CDR]]-Tabla1[[#This Row],[PrecioFábrica]])/Tabla1[[#This Row],[Precio Lista CDR]]</f>
        <v>0.78015239006706927</v>
      </c>
      <c r="M224" s="12">
        <f>(Tabla1[[#This Row],[Lista 1 (20%)]]-Tabla1[[#This Row],[PrecioFábrica]])/Tabla1[[#This Row],[Lista 1 (20%)]]</f>
        <v>0.72519048758383664</v>
      </c>
      <c r="N224" s="12">
        <f>(Tabla1[[#This Row],[Lista 2 (30%)]]-Tabla1[[#This Row],[PrecioFábrica]])/Tabla1[[#This Row],[Lista 2 (30%)]]</f>
        <v>0.68593198581009895</v>
      </c>
      <c r="O224" s="12">
        <f>(Tabla1[[#This Row],[Lista 3 (40%)]]-Tabla1[[#This Row],[PrecioFábrica]])/Tabla1[[#This Row],[Lista 3 (40%)]]</f>
        <v>0.63358731677844882</v>
      </c>
    </row>
    <row r="225" spans="1:15">
      <c r="A225" t="s">
        <v>7</v>
      </c>
      <c r="B225" t="s">
        <v>234</v>
      </c>
      <c r="C225" t="s">
        <v>1036</v>
      </c>
      <c r="D225" t="s">
        <v>811</v>
      </c>
      <c r="E225" t="s">
        <v>5</v>
      </c>
      <c r="F225" s="3">
        <v>7.1416666666666675</v>
      </c>
      <c r="G225" s="10">
        <f>VLOOKUP(Tabla1[[#This Row],[Código Unificador]],PRECIOS_COMPETENCIA!B:D,3,FALSE)</f>
        <v>31.53926666666667</v>
      </c>
      <c r="H225" s="10">
        <f>Tabla1[[#This Row],[PVP Competencia]]*0.98</f>
        <v>30.908481333333334</v>
      </c>
      <c r="I225" s="10">
        <f>Tabla1[[#This Row],[Precio Lista CDR]]*0.8</f>
        <v>24.726785066666668</v>
      </c>
      <c r="J225" s="10">
        <f>Tabla1[[#This Row],[Precio Lista CDR]]*0.7</f>
        <v>21.635936933333333</v>
      </c>
      <c r="K225" s="10">
        <f>Tabla1[[#This Row],[Precio Lista CDR]]*0.6</f>
        <v>18.545088799999998</v>
      </c>
      <c r="L225" s="12">
        <f>(Tabla1[[#This Row],[Precio Lista CDR]]-Tabla1[[#This Row],[PrecioFábrica]])/Tabla1[[#This Row],[Precio Lista CDR]]</f>
        <v>0.76894152159573381</v>
      </c>
      <c r="M225" s="12">
        <f>(Tabla1[[#This Row],[Lista 1 (20%)]]-Tabla1[[#This Row],[PrecioFábrica]])/Tabla1[[#This Row],[Lista 1 (20%)]]</f>
        <v>0.7111769019946671</v>
      </c>
      <c r="N225" s="12">
        <f>(Tabla1[[#This Row],[Lista 2 (30%)]]-Tabla1[[#This Row],[PrecioFábrica]])/Tabla1[[#This Row],[Lista 2 (30%)]]</f>
        <v>0.6699164594224768</v>
      </c>
      <c r="O225" s="12">
        <f>(Tabla1[[#This Row],[Lista 3 (40%)]]-Tabla1[[#This Row],[PrecioFábrica]])/Tabla1[[#This Row],[Lista 3 (40%)]]</f>
        <v>0.61490253599288947</v>
      </c>
    </row>
    <row r="226" spans="1:15">
      <c r="A226" t="s">
        <v>9</v>
      </c>
      <c r="B226" t="s">
        <v>235</v>
      </c>
      <c r="C226" t="s">
        <v>1037</v>
      </c>
      <c r="D226" t="s">
        <v>811</v>
      </c>
      <c r="E226" t="s">
        <v>5</v>
      </c>
      <c r="F226" s="3">
        <v>3.0583333333333336</v>
      </c>
      <c r="G226" s="10">
        <f>VLOOKUP(Tabla1[[#This Row],[Código Unificador]],PRECIOS_COMPETENCIA!B:D,3,FALSE)</f>
        <v>19.490008333333336</v>
      </c>
      <c r="H226" s="10">
        <f>Tabla1[[#This Row],[PVP Competencia]]*0.98</f>
        <v>19.100208166666668</v>
      </c>
      <c r="I226" s="10">
        <f>Tabla1[[#This Row],[Precio Lista CDR]]*0.8</f>
        <v>15.280166533333336</v>
      </c>
      <c r="J226" s="10">
        <f>Tabla1[[#This Row],[Precio Lista CDR]]*0.7</f>
        <v>13.370145716666666</v>
      </c>
      <c r="K226" s="10">
        <f>Tabla1[[#This Row],[Precio Lista CDR]]*0.6</f>
        <v>11.4601249</v>
      </c>
      <c r="L226" s="12">
        <f>(Tabla1[[#This Row],[Precio Lista CDR]]-Tabla1[[#This Row],[PrecioFábrica]])/Tabla1[[#This Row],[Precio Lista CDR]]</f>
        <v>0.83987958106809113</v>
      </c>
      <c r="M226" s="12">
        <f>(Tabla1[[#This Row],[Lista 1 (20%)]]-Tabla1[[#This Row],[PrecioFábrica]])/Tabla1[[#This Row],[Lista 1 (20%)]]</f>
        <v>0.79984947633511394</v>
      </c>
      <c r="N226" s="12">
        <f>(Tabla1[[#This Row],[Lista 2 (30%)]]-Tabla1[[#This Row],[PrecioFábrica]])/Tabla1[[#This Row],[Lista 2 (30%)]]</f>
        <v>0.7712565443829873</v>
      </c>
      <c r="O226" s="12">
        <f>(Tabla1[[#This Row],[Lista 3 (40%)]]-Tabla1[[#This Row],[PrecioFábrica]])/Tabla1[[#This Row],[Lista 3 (40%)]]</f>
        <v>0.73313263511348525</v>
      </c>
    </row>
    <row r="227" spans="1:15">
      <c r="A227" t="s">
        <v>7</v>
      </c>
      <c r="B227" t="s">
        <v>236</v>
      </c>
      <c r="C227" t="s">
        <v>1038</v>
      </c>
      <c r="D227" t="s">
        <v>811</v>
      </c>
      <c r="E227" t="s">
        <v>5</v>
      </c>
      <c r="F227" s="3">
        <v>3.0333333333333332</v>
      </c>
      <c r="G227" s="10">
        <f>VLOOKUP(Tabla1[[#This Row],[Código Unificador]],PRECIOS_COMPETENCIA!B:D,3,FALSE)</f>
        <v>19.236499999999999</v>
      </c>
      <c r="H227" s="10">
        <f>Tabla1[[#This Row],[PVP Competencia]]*0.98</f>
        <v>18.851769999999998</v>
      </c>
      <c r="I227" s="10">
        <f>Tabla1[[#This Row],[Precio Lista CDR]]*0.8</f>
        <v>15.081415999999999</v>
      </c>
      <c r="J227" s="10">
        <f>Tabla1[[#This Row],[Precio Lista CDR]]*0.7</f>
        <v>13.196238999999998</v>
      </c>
      <c r="K227" s="10">
        <f>Tabla1[[#This Row],[Precio Lista CDR]]*0.6</f>
        <v>11.311061999999998</v>
      </c>
      <c r="L227" s="12">
        <f>(Tabla1[[#This Row],[Precio Lista CDR]]-Tabla1[[#This Row],[PrecioFábrica]])/Tabla1[[#This Row],[Precio Lista CDR]]</f>
        <v>0.83909556856818568</v>
      </c>
      <c r="M227" s="12">
        <f>(Tabla1[[#This Row],[Lista 1 (20%)]]-Tabla1[[#This Row],[PrecioFábrica]])/Tabla1[[#This Row],[Lista 1 (20%)]]</f>
        <v>0.79886946071023213</v>
      </c>
      <c r="N227" s="12">
        <f>(Tabla1[[#This Row],[Lista 2 (30%)]]-Tabla1[[#This Row],[PrecioFábrica]])/Tabla1[[#This Row],[Lista 2 (30%)]]</f>
        <v>0.77013652652597964</v>
      </c>
      <c r="O227" s="12">
        <f>(Tabla1[[#This Row],[Lista 3 (40%)]]-Tabla1[[#This Row],[PrecioFábrica]])/Tabla1[[#This Row],[Lista 3 (40%)]]</f>
        <v>0.73182594761364284</v>
      </c>
    </row>
    <row r="228" spans="1:15">
      <c r="A228" t="s">
        <v>6</v>
      </c>
      <c r="B228" t="s">
        <v>237</v>
      </c>
      <c r="C228" t="s">
        <v>1039</v>
      </c>
      <c r="D228" t="s">
        <v>811</v>
      </c>
      <c r="E228" t="s">
        <v>5</v>
      </c>
      <c r="F228" s="3">
        <v>2.5083333333333333</v>
      </c>
      <c r="G228" s="10">
        <f>VLOOKUP(Tabla1[[#This Row],[Código Unificador]],PRECIOS_COMPETENCIA!B:D,3,FALSE)</f>
        <v>17.783358333333332</v>
      </c>
      <c r="H228" s="10">
        <f>Tabla1[[#This Row],[PVP Competencia]]*0.98</f>
        <v>17.427691166666666</v>
      </c>
      <c r="I228" s="10">
        <f>Tabla1[[#This Row],[Precio Lista CDR]]*0.8</f>
        <v>13.942152933333332</v>
      </c>
      <c r="J228" s="10">
        <f>Tabla1[[#This Row],[Precio Lista CDR]]*0.7</f>
        <v>12.199383816666666</v>
      </c>
      <c r="K228" s="10">
        <f>Tabla1[[#This Row],[Precio Lista CDR]]*0.6</f>
        <v>10.456614699999999</v>
      </c>
      <c r="L228" s="12">
        <f>(Tabla1[[#This Row],[Precio Lista CDR]]-Tabla1[[#This Row],[PrecioFábrica]])/Tabla1[[#This Row],[Precio Lista CDR]]</f>
        <v>0.85607196562382659</v>
      </c>
      <c r="M228" s="12">
        <f>(Tabla1[[#This Row],[Lista 1 (20%)]]-Tabla1[[#This Row],[PrecioFábrica]])/Tabla1[[#This Row],[Lista 1 (20%)]]</f>
        <v>0.82008995702978327</v>
      </c>
      <c r="N228" s="12">
        <f>(Tabla1[[#This Row],[Lista 2 (30%)]]-Tabla1[[#This Row],[PrecioFábrica]])/Tabla1[[#This Row],[Lista 2 (30%)]]</f>
        <v>0.79438852231975232</v>
      </c>
      <c r="O228" s="12">
        <f>(Tabla1[[#This Row],[Lista 3 (40%)]]-Tabla1[[#This Row],[PrecioFábrica]])/Tabla1[[#This Row],[Lista 3 (40%)]]</f>
        <v>0.76011994270637773</v>
      </c>
    </row>
    <row r="229" spans="1:15">
      <c r="A229" t="s">
        <v>6</v>
      </c>
      <c r="B229" t="s">
        <v>238</v>
      </c>
      <c r="C229" t="s">
        <v>1040</v>
      </c>
      <c r="D229" t="s">
        <v>811</v>
      </c>
      <c r="E229" t="s">
        <v>5</v>
      </c>
      <c r="F229" s="3">
        <v>2.5083333333333333</v>
      </c>
      <c r="G229" s="10">
        <f>VLOOKUP(Tabla1[[#This Row],[Código Unificador]],PRECIOS_COMPETENCIA!B:D,3,FALSE)</f>
        <v>17.710616666666667</v>
      </c>
      <c r="H229" s="10">
        <f>Tabla1[[#This Row],[PVP Competencia]]*0.98</f>
        <v>17.356404333333334</v>
      </c>
      <c r="I229" s="10">
        <f>Tabla1[[#This Row],[Precio Lista CDR]]*0.8</f>
        <v>13.885123466666668</v>
      </c>
      <c r="J229" s="10">
        <f>Tabla1[[#This Row],[Precio Lista CDR]]*0.7</f>
        <v>12.149483033333333</v>
      </c>
      <c r="K229" s="10">
        <f>Tabla1[[#This Row],[Precio Lista CDR]]*0.6</f>
        <v>10.413842600000001</v>
      </c>
      <c r="L229" s="12">
        <f>(Tabla1[[#This Row],[Precio Lista CDR]]-Tabla1[[#This Row],[PrecioFábrica]])/Tabla1[[#This Row],[Precio Lista CDR]]</f>
        <v>0.85548081934712561</v>
      </c>
      <c r="M229" s="12">
        <f>(Tabla1[[#This Row],[Lista 1 (20%)]]-Tabla1[[#This Row],[PrecioFábrica]])/Tabla1[[#This Row],[Lista 1 (20%)]]</f>
        <v>0.81935102418390693</v>
      </c>
      <c r="N229" s="12">
        <f>(Tabla1[[#This Row],[Lista 2 (30%)]]-Tabla1[[#This Row],[PrecioFábrica]])/Tabla1[[#This Row],[Lista 2 (30%)]]</f>
        <v>0.79354402763875076</v>
      </c>
      <c r="O229" s="12">
        <f>(Tabla1[[#This Row],[Lista 3 (40%)]]-Tabla1[[#This Row],[PrecioFábrica]])/Tabla1[[#This Row],[Lista 3 (40%)]]</f>
        <v>0.7591346989118759</v>
      </c>
    </row>
    <row r="230" spans="1:15">
      <c r="A230" t="s">
        <v>6</v>
      </c>
      <c r="B230" t="s">
        <v>239</v>
      </c>
      <c r="C230" t="s">
        <v>1041</v>
      </c>
      <c r="D230" t="s">
        <v>811</v>
      </c>
      <c r="E230" t="s">
        <v>5</v>
      </c>
      <c r="F230" s="3">
        <v>3.1916666666666669</v>
      </c>
      <c r="G230" s="10">
        <f>VLOOKUP(Tabla1[[#This Row],[Código Unificador]],PRECIOS_COMPETENCIA!B:D,3,FALSE)</f>
        <v>19.903741666666669</v>
      </c>
      <c r="H230" s="10">
        <f>Tabla1[[#This Row],[PVP Competencia]]*0.98</f>
        <v>19.505666833333336</v>
      </c>
      <c r="I230" s="10">
        <f>Tabla1[[#This Row],[Precio Lista CDR]]*0.8</f>
        <v>15.60453346666667</v>
      </c>
      <c r="J230" s="10">
        <f>Tabla1[[#This Row],[Precio Lista CDR]]*0.7</f>
        <v>13.653966783333335</v>
      </c>
      <c r="K230" s="10">
        <f>Tabla1[[#This Row],[Precio Lista CDR]]*0.6</f>
        <v>11.703400100000001</v>
      </c>
      <c r="L230" s="12">
        <f>(Tabla1[[#This Row],[Precio Lista CDR]]-Tabla1[[#This Row],[PrecioFábrica]])/Tabla1[[#This Row],[Precio Lista CDR]]</f>
        <v>0.83637233764228913</v>
      </c>
      <c r="M230" s="12">
        <f>(Tabla1[[#This Row],[Lista 1 (20%)]]-Tabla1[[#This Row],[PrecioFábrica]])/Tabla1[[#This Row],[Lista 1 (20%)]]</f>
        <v>0.79546542205286142</v>
      </c>
      <c r="N230" s="12">
        <f>(Tabla1[[#This Row],[Lista 2 (30%)]]-Tabla1[[#This Row],[PrecioFábrica]])/Tabla1[[#This Row],[Lista 2 (30%)]]</f>
        <v>0.76624619663184157</v>
      </c>
      <c r="O230" s="12">
        <f>(Tabla1[[#This Row],[Lista 3 (40%)]]-Tabla1[[#This Row],[PrecioFábrica]])/Tabla1[[#This Row],[Lista 3 (40%)]]</f>
        <v>0.72728722940381518</v>
      </c>
    </row>
    <row r="231" spans="1:15">
      <c r="A231" t="s">
        <v>6</v>
      </c>
      <c r="B231" t="s">
        <v>240</v>
      </c>
      <c r="C231" t="s">
        <v>1042</v>
      </c>
      <c r="D231" t="s">
        <v>811</v>
      </c>
      <c r="E231" t="s">
        <v>5</v>
      </c>
      <c r="F231" s="3">
        <v>2.8083333333333336</v>
      </c>
      <c r="G231" s="10">
        <f>VLOOKUP(Tabla1[[#This Row],[Código Unificador]],PRECIOS_COMPETENCIA!B:D,3,FALSE)</f>
        <v>18.469933333333334</v>
      </c>
      <c r="H231" s="10">
        <f>Tabla1[[#This Row],[PVP Competencia]]*0.98</f>
        <v>18.100534666666668</v>
      </c>
      <c r="I231" s="10">
        <f>Tabla1[[#This Row],[Precio Lista CDR]]*0.8</f>
        <v>14.480427733333336</v>
      </c>
      <c r="J231" s="10">
        <f>Tabla1[[#This Row],[Precio Lista CDR]]*0.7</f>
        <v>12.670374266666666</v>
      </c>
      <c r="K231" s="10">
        <f>Tabla1[[#This Row],[Precio Lista CDR]]*0.6</f>
        <v>10.8603208</v>
      </c>
      <c r="L231" s="12">
        <f>(Tabla1[[#This Row],[Precio Lista CDR]]-Tabla1[[#This Row],[PrecioFábrica]])/Tabla1[[#This Row],[Precio Lista CDR]]</f>
        <v>0.84484804537265601</v>
      </c>
      <c r="M231" s="12">
        <f>(Tabla1[[#This Row],[Lista 1 (20%)]]-Tabla1[[#This Row],[PrecioFábrica]])/Tabla1[[#This Row],[Lista 1 (20%)]]</f>
        <v>0.80606005671582004</v>
      </c>
      <c r="N231" s="12">
        <f>(Tabla1[[#This Row],[Lista 2 (30%)]]-Tabla1[[#This Row],[PrecioFábrica]])/Tabla1[[#This Row],[Lista 2 (30%)]]</f>
        <v>0.77835435053236568</v>
      </c>
      <c r="O231" s="12">
        <f>(Tabla1[[#This Row],[Lista 3 (40%)]]-Tabla1[[#This Row],[PrecioFábrica]])/Tabla1[[#This Row],[Lista 3 (40%)]]</f>
        <v>0.74141340895442664</v>
      </c>
    </row>
    <row r="232" spans="1:15">
      <c r="A232" t="s">
        <v>6</v>
      </c>
      <c r="B232" t="s">
        <v>241</v>
      </c>
      <c r="C232" t="s">
        <v>1043</v>
      </c>
      <c r="D232" t="s">
        <v>811</v>
      </c>
      <c r="E232" t="s">
        <v>5</v>
      </c>
      <c r="F232" s="3">
        <v>3.125</v>
      </c>
      <c r="G232" s="10">
        <f>VLOOKUP(Tabla1[[#This Row],[Código Unificador]],PRECIOS_COMPETENCIA!B:D,3,FALSE)</f>
        <v>19.696874999999999</v>
      </c>
      <c r="H232" s="10">
        <f>Tabla1[[#This Row],[PVP Competencia]]*0.98</f>
        <v>19.302937499999999</v>
      </c>
      <c r="I232" s="10">
        <f>Tabla1[[#This Row],[Precio Lista CDR]]*0.8</f>
        <v>15.442349999999999</v>
      </c>
      <c r="J232" s="10">
        <f>Tabla1[[#This Row],[Precio Lista CDR]]*0.7</f>
        <v>13.512056249999999</v>
      </c>
      <c r="K232" s="10">
        <f>Tabla1[[#This Row],[Precio Lista CDR]]*0.6</f>
        <v>11.581762499999998</v>
      </c>
      <c r="L232" s="12">
        <f>(Tabla1[[#This Row],[Precio Lista CDR]]-Tabla1[[#This Row],[PrecioFábrica]])/Tabla1[[#This Row],[Precio Lista CDR]]</f>
        <v>0.83810754192205206</v>
      </c>
      <c r="M232" s="12">
        <f>(Tabla1[[#This Row],[Lista 1 (20%)]]-Tabla1[[#This Row],[PrecioFábrica]])/Tabla1[[#This Row],[Lista 1 (20%)]]</f>
        <v>0.79763442740256496</v>
      </c>
      <c r="N232" s="12">
        <f>(Tabla1[[#This Row],[Lista 2 (30%)]]-Tabla1[[#This Row],[PrecioFábrica]])/Tabla1[[#This Row],[Lista 2 (30%)]]</f>
        <v>0.7687250598886457</v>
      </c>
      <c r="O232" s="12">
        <f>(Tabla1[[#This Row],[Lista 3 (40%)]]-Tabla1[[#This Row],[PrecioFábrica]])/Tabla1[[#This Row],[Lista 3 (40%)]]</f>
        <v>0.73017923653675332</v>
      </c>
    </row>
    <row r="233" spans="1:15">
      <c r="A233" t="s">
        <v>6</v>
      </c>
      <c r="B233" t="s">
        <v>242</v>
      </c>
      <c r="C233" t="s">
        <v>1044</v>
      </c>
      <c r="D233" t="s">
        <v>811</v>
      </c>
      <c r="E233" t="s">
        <v>5</v>
      </c>
      <c r="F233" s="3">
        <v>3.4166666666666665</v>
      </c>
      <c r="G233" s="10">
        <f>VLOOKUP(Tabla1[[#This Row],[Código Unificador]],PRECIOS_COMPETENCIA!B:D,3,FALSE)</f>
        <v>20.403750000000002</v>
      </c>
      <c r="H233" s="10">
        <f>Tabla1[[#This Row],[PVP Competencia]]*0.98</f>
        <v>19.995675000000002</v>
      </c>
      <c r="I233" s="10">
        <f>Tabla1[[#This Row],[Precio Lista CDR]]*0.8</f>
        <v>15.996540000000003</v>
      </c>
      <c r="J233" s="10">
        <f>Tabla1[[#This Row],[Precio Lista CDR]]*0.7</f>
        <v>13.9969725</v>
      </c>
      <c r="K233" s="10">
        <f>Tabla1[[#This Row],[Precio Lista CDR]]*0.6</f>
        <v>11.997405000000001</v>
      </c>
      <c r="L233" s="12">
        <f>(Tabla1[[#This Row],[Precio Lista CDR]]-Tabla1[[#This Row],[PrecioFábrica]])/Tabla1[[#This Row],[Precio Lista CDR]]</f>
        <v>0.82912971596774465</v>
      </c>
      <c r="M233" s="12">
        <f>(Tabla1[[#This Row],[Lista 1 (20%)]]-Tabla1[[#This Row],[PrecioFábrica]])/Tabla1[[#This Row],[Lista 1 (20%)]]</f>
        <v>0.78641214495968093</v>
      </c>
      <c r="N233" s="12">
        <f>(Tabla1[[#This Row],[Lista 2 (30%)]]-Tabla1[[#This Row],[PrecioFábrica]])/Tabla1[[#This Row],[Lista 2 (30%)]]</f>
        <v>0.75589959423963526</v>
      </c>
      <c r="O233" s="12">
        <f>(Tabla1[[#This Row],[Lista 3 (40%)]]-Tabla1[[#This Row],[PrecioFábrica]])/Tabla1[[#This Row],[Lista 3 (40%)]]</f>
        <v>0.71521619327957453</v>
      </c>
    </row>
    <row r="234" spans="1:15">
      <c r="A234" t="s">
        <v>6</v>
      </c>
      <c r="B234" t="s">
        <v>243</v>
      </c>
      <c r="C234" t="s">
        <v>1045</v>
      </c>
      <c r="D234" t="s">
        <v>811</v>
      </c>
      <c r="E234" t="s">
        <v>5</v>
      </c>
      <c r="F234" s="3">
        <v>2.916666666666667</v>
      </c>
      <c r="G234" s="10">
        <f>VLOOKUP(Tabla1[[#This Row],[Código Unificador]],PRECIOS_COMPETENCIA!B:D,3,FALSE)</f>
        <v>18.796666666666667</v>
      </c>
      <c r="H234" s="10">
        <f>Tabla1[[#This Row],[PVP Competencia]]*0.98</f>
        <v>18.420733333333335</v>
      </c>
      <c r="I234" s="10">
        <f>Tabla1[[#This Row],[Precio Lista CDR]]*0.8</f>
        <v>14.736586666666668</v>
      </c>
      <c r="J234" s="10">
        <f>Tabla1[[#This Row],[Precio Lista CDR]]*0.7</f>
        <v>12.894513333333334</v>
      </c>
      <c r="K234" s="10">
        <f>Tabla1[[#This Row],[Precio Lista CDR]]*0.6</f>
        <v>11.052440000000001</v>
      </c>
      <c r="L234" s="12">
        <f>(Tabla1[[#This Row],[Precio Lista CDR]]-Tabla1[[#This Row],[PrecioFábrica]])/Tabla1[[#This Row],[Precio Lista CDR]]</f>
        <v>0.84166392217465102</v>
      </c>
      <c r="M234" s="12">
        <f>(Tabla1[[#This Row],[Lista 1 (20%)]]-Tabla1[[#This Row],[PrecioFábrica]])/Tabla1[[#This Row],[Lista 1 (20%)]]</f>
        <v>0.80207990271831375</v>
      </c>
      <c r="N234" s="12">
        <f>(Tabla1[[#This Row],[Lista 2 (30%)]]-Tabla1[[#This Row],[PrecioFábrica]])/Tabla1[[#This Row],[Lista 2 (30%)]]</f>
        <v>0.77380560310664437</v>
      </c>
      <c r="O234" s="12">
        <f>(Tabla1[[#This Row],[Lista 3 (40%)]]-Tabla1[[#This Row],[PrecioFábrica]])/Tabla1[[#This Row],[Lista 3 (40%)]]</f>
        <v>0.73610653695775163</v>
      </c>
    </row>
    <row r="235" spans="1:15">
      <c r="A235" t="s">
        <v>6</v>
      </c>
      <c r="B235" t="s">
        <v>244</v>
      </c>
      <c r="C235" t="s">
        <v>1046</v>
      </c>
      <c r="D235" t="s">
        <v>811</v>
      </c>
      <c r="E235" t="s">
        <v>5</v>
      </c>
      <c r="F235" s="3">
        <v>3.6000000000000005</v>
      </c>
      <c r="G235" s="10">
        <f>VLOOKUP(Tabla1[[#This Row],[Código Unificador]],PRECIOS_COMPETENCIA!B:D,3,FALSE)</f>
        <v>21.1708</v>
      </c>
      <c r="H235" s="10">
        <f>Tabla1[[#This Row],[PVP Competencia]]*0.98</f>
        <v>20.747384</v>
      </c>
      <c r="I235" s="10">
        <f>Tabla1[[#This Row],[Precio Lista CDR]]*0.8</f>
        <v>16.597907200000002</v>
      </c>
      <c r="J235" s="10">
        <f>Tabla1[[#This Row],[Precio Lista CDR]]*0.7</f>
        <v>14.523168799999999</v>
      </c>
      <c r="K235" s="10">
        <f>Tabla1[[#This Row],[Precio Lista CDR]]*0.6</f>
        <v>12.448430399999999</v>
      </c>
      <c r="L235" s="12">
        <f>(Tabla1[[#This Row],[Precio Lista CDR]]-Tabla1[[#This Row],[PrecioFábrica]])/Tabla1[[#This Row],[Precio Lista CDR]]</f>
        <v>0.82648414855578889</v>
      </c>
      <c r="M235" s="12">
        <f>(Tabla1[[#This Row],[Lista 1 (20%)]]-Tabla1[[#This Row],[PrecioFábrica]])/Tabla1[[#This Row],[Lista 1 (20%)]]</f>
        <v>0.78310518569473619</v>
      </c>
      <c r="N235" s="12">
        <f>(Tabla1[[#This Row],[Lista 2 (30%)]]-Tabla1[[#This Row],[PrecioFábrica]])/Tabla1[[#This Row],[Lista 2 (30%)]]</f>
        <v>0.75212021222255576</v>
      </c>
      <c r="O235" s="12">
        <f>(Tabla1[[#This Row],[Lista 3 (40%)]]-Tabla1[[#This Row],[PrecioFábrica]])/Tabla1[[#This Row],[Lista 3 (40%)]]</f>
        <v>0.71080691425964826</v>
      </c>
    </row>
    <row r="236" spans="1:15">
      <c r="A236" t="s">
        <v>6</v>
      </c>
      <c r="B236" t="s">
        <v>245</v>
      </c>
      <c r="C236" t="s">
        <v>1047</v>
      </c>
      <c r="D236" t="s">
        <v>811</v>
      </c>
      <c r="E236" t="s">
        <v>5</v>
      </c>
      <c r="F236" s="3">
        <v>3.6999999999999997</v>
      </c>
      <c r="G236" s="10">
        <f>VLOOKUP(Tabla1[[#This Row],[Código Unificador]],PRECIOS_COMPETENCIA!B:D,3,FALSE)</f>
        <v>21.266500000000001</v>
      </c>
      <c r="H236" s="10">
        <f>Tabla1[[#This Row],[PVP Competencia]]*0.98</f>
        <v>20.841170000000002</v>
      </c>
      <c r="I236" s="10">
        <f>Tabla1[[#This Row],[Precio Lista CDR]]*0.8</f>
        <v>16.672936000000004</v>
      </c>
      <c r="J236" s="10">
        <f>Tabla1[[#This Row],[Precio Lista CDR]]*0.7</f>
        <v>14.588819000000001</v>
      </c>
      <c r="K236" s="10">
        <f>Tabla1[[#This Row],[Precio Lista CDR]]*0.6</f>
        <v>12.504702</v>
      </c>
      <c r="L236" s="12">
        <f>(Tabla1[[#This Row],[Precio Lista CDR]]-Tabla1[[#This Row],[PrecioFábrica]])/Tabla1[[#This Row],[Precio Lista CDR]]</f>
        <v>0.82246678089569836</v>
      </c>
      <c r="M236" s="12">
        <f>(Tabla1[[#This Row],[Lista 1 (20%)]]-Tabla1[[#This Row],[PrecioFábrica]])/Tabla1[[#This Row],[Lista 1 (20%)]]</f>
        <v>0.77808347611962292</v>
      </c>
      <c r="N236" s="12">
        <f>(Tabla1[[#This Row],[Lista 2 (30%)]]-Tabla1[[#This Row],[PrecioFábrica]])/Tabla1[[#This Row],[Lista 2 (30%)]]</f>
        <v>0.7463811155652833</v>
      </c>
      <c r="O236" s="12">
        <f>(Tabla1[[#This Row],[Lista 3 (40%)]]-Tabla1[[#This Row],[PrecioFábrica]])/Tabla1[[#This Row],[Lista 3 (40%)]]</f>
        <v>0.70411130149283052</v>
      </c>
    </row>
    <row r="237" spans="1:15">
      <c r="A237" t="s">
        <v>6</v>
      </c>
      <c r="B237" t="s">
        <v>246</v>
      </c>
      <c r="C237" t="s">
        <v>1048</v>
      </c>
      <c r="D237" t="s">
        <v>811</v>
      </c>
      <c r="E237" t="s">
        <v>5</v>
      </c>
      <c r="F237" s="3">
        <v>3.9250000000000003</v>
      </c>
      <c r="G237" s="10">
        <f>VLOOKUP(Tabla1[[#This Row],[Código Unificador]],PRECIOS_COMPETENCIA!B:D,3,FALSE)</f>
        <v>22.179275000000004</v>
      </c>
      <c r="H237" s="10">
        <f>Tabla1[[#This Row],[PVP Competencia]]*0.98</f>
        <v>21.735689500000003</v>
      </c>
      <c r="I237" s="10">
        <f>Tabla1[[#This Row],[Precio Lista CDR]]*0.8</f>
        <v>17.388551600000003</v>
      </c>
      <c r="J237" s="10">
        <f>Tabla1[[#This Row],[Precio Lista CDR]]*0.7</f>
        <v>15.214982650000001</v>
      </c>
      <c r="K237" s="10">
        <f>Tabla1[[#This Row],[Precio Lista CDR]]*0.6</f>
        <v>13.041413700000001</v>
      </c>
      <c r="L237" s="12">
        <f>(Tabla1[[#This Row],[Precio Lista CDR]]-Tabla1[[#This Row],[PrecioFábrica]])/Tabla1[[#This Row],[Precio Lista CDR]]</f>
        <v>0.81942141748022301</v>
      </c>
      <c r="M237" s="12">
        <f>(Tabla1[[#This Row],[Lista 1 (20%)]]-Tabla1[[#This Row],[PrecioFábrica]])/Tabla1[[#This Row],[Lista 1 (20%)]]</f>
        <v>0.77427677185027877</v>
      </c>
      <c r="N237" s="12">
        <f>(Tabla1[[#This Row],[Lista 2 (30%)]]-Tabla1[[#This Row],[PrecioFábrica]])/Tabla1[[#This Row],[Lista 2 (30%)]]</f>
        <v>0.74203059640031854</v>
      </c>
      <c r="O237" s="12">
        <f>(Tabla1[[#This Row],[Lista 3 (40%)]]-Tabla1[[#This Row],[PrecioFábrica]])/Tabla1[[#This Row],[Lista 3 (40%)]]</f>
        <v>0.69903569580037173</v>
      </c>
    </row>
    <row r="238" spans="1:15">
      <c r="A238" t="s">
        <v>6</v>
      </c>
      <c r="B238" t="s">
        <v>247</v>
      </c>
      <c r="C238" t="s">
        <v>1049</v>
      </c>
      <c r="D238" t="s">
        <v>811</v>
      </c>
      <c r="E238" t="s">
        <v>5</v>
      </c>
      <c r="F238" s="3">
        <v>3.6583333333333341</v>
      </c>
      <c r="G238" s="10">
        <f>VLOOKUP(Tabla1[[#This Row],[Código Unificador]],PRECIOS_COMPETENCIA!B:D,3,FALSE)</f>
        <v>20.927441666666667</v>
      </c>
      <c r="H238" s="10">
        <f>Tabla1[[#This Row],[PVP Competencia]]*0.98</f>
        <v>20.508892833333334</v>
      </c>
      <c r="I238" s="10">
        <f>Tabla1[[#This Row],[Precio Lista CDR]]*0.8</f>
        <v>16.407114266666667</v>
      </c>
      <c r="J238" s="10">
        <f>Tabla1[[#This Row],[Precio Lista CDR]]*0.7</f>
        <v>14.356224983333332</v>
      </c>
      <c r="K238" s="10">
        <f>Tabla1[[#This Row],[Precio Lista CDR]]*0.6</f>
        <v>12.305335700000001</v>
      </c>
      <c r="L238" s="12">
        <f>(Tabla1[[#This Row],[Precio Lista CDR]]-Tabla1[[#This Row],[PrecioFábrica]])/Tabla1[[#This Row],[Precio Lista CDR]]</f>
        <v>0.821622095202165</v>
      </c>
      <c r="M238" s="12">
        <f>(Tabla1[[#This Row],[Lista 1 (20%)]]-Tabla1[[#This Row],[PrecioFábrica]])/Tabla1[[#This Row],[Lista 1 (20%)]]</f>
        <v>0.77702761900270623</v>
      </c>
      <c r="N238" s="12">
        <f>(Tabla1[[#This Row],[Lista 2 (30%)]]-Tabla1[[#This Row],[PrecioFábrica]])/Tabla1[[#This Row],[Lista 2 (30%)]]</f>
        <v>0.74517442171737858</v>
      </c>
      <c r="O238" s="12">
        <f>(Tabla1[[#This Row],[Lista 3 (40%)]]-Tabla1[[#This Row],[PrecioFábrica]])/Tabla1[[#This Row],[Lista 3 (40%)]]</f>
        <v>0.70270349200360827</v>
      </c>
    </row>
    <row r="239" spans="1:15">
      <c r="A239" t="s">
        <v>6</v>
      </c>
      <c r="B239" t="s">
        <v>248</v>
      </c>
      <c r="C239" t="s">
        <v>1050</v>
      </c>
      <c r="D239" t="s">
        <v>811</v>
      </c>
      <c r="E239" t="s">
        <v>5</v>
      </c>
      <c r="F239" s="3">
        <v>4.55</v>
      </c>
      <c r="G239" s="10">
        <f>VLOOKUP(Tabla1[[#This Row],[Código Unificador]],PRECIOS_COMPETENCIA!B:D,3,FALSE)</f>
        <v>23.854750000000003</v>
      </c>
      <c r="H239" s="10">
        <f>Tabla1[[#This Row],[PVP Competencia]]*0.98</f>
        <v>23.377655000000001</v>
      </c>
      <c r="I239" s="10">
        <f>Tabla1[[#This Row],[Precio Lista CDR]]*0.8</f>
        <v>18.702124000000001</v>
      </c>
      <c r="J239" s="10">
        <f>Tabla1[[#This Row],[Precio Lista CDR]]*0.7</f>
        <v>16.364358499999998</v>
      </c>
      <c r="K239" s="10">
        <f>Tabla1[[#This Row],[Precio Lista CDR]]*0.6</f>
        <v>14.026593</v>
      </c>
      <c r="L239" s="12">
        <f>(Tabla1[[#This Row],[Precio Lista CDR]]-Tabla1[[#This Row],[PrecioFábrica]])/Tabla1[[#This Row],[Precio Lista CDR]]</f>
        <v>0.80536970025436683</v>
      </c>
      <c r="M239" s="12">
        <f>(Tabla1[[#This Row],[Lista 1 (20%)]]-Tabla1[[#This Row],[PrecioFábrica]])/Tabla1[[#This Row],[Lista 1 (20%)]]</f>
        <v>0.75671212531795851</v>
      </c>
      <c r="N239" s="12">
        <f>(Tabla1[[#This Row],[Lista 2 (30%)]]-Tabla1[[#This Row],[PrecioFábrica]])/Tabla1[[#This Row],[Lista 2 (30%)]]</f>
        <v>0.72195671464909539</v>
      </c>
      <c r="O239" s="12">
        <f>(Tabla1[[#This Row],[Lista 3 (40%)]]-Tabla1[[#This Row],[PrecioFábrica]])/Tabla1[[#This Row],[Lista 3 (40%)]]</f>
        <v>0.67561616709061145</v>
      </c>
    </row>
    <row r="240" spans="1:15">
      <c r="A240" t="s">
        <v>6</v>
      </c>
      <c r="B240" t="s">
        <v>249</v>
      </c>
      <c r="C240" t="s">
        <v>1051</v>
      </c>
      <c r="D240" t="s">
        <v>811</v>
      </c>
      <c r="E240" t="s">
        <v>5</v>
      </c>
      <c r="F240" s="3">
        <v>3.9583333333333335</v>
      </c>
      <c r="G240" s="10">
        <f>VLOOKUP(Tabla1[[#This Row],[Código Unificador]],PRECIOS_COMPETENCIA!B:D,3,FALSE)</f>
        <v>21.823541666666671</v>
      </c>
      <c r="H240" s="10">
        <f>Tabla1[[#This Row],[PVP Competencia]]*0.98</f>
        <v>21.387070833333336</v>
      </c>
      <c r="I240" s="10">
        <f>Tabla1[[#This Row],[Precio Lista CDR]]*0.8</f>
        <v>17.10965666666667</v>
      </c>
      <c r="J240" s="10">
        <f>Tabla1[[#This Row],[Precio Lista CDR]]*0.7</f>
        <v>14.970949583333335</v>
      </c>
      <c r="K240" s="10">
        <f>Tabla1[[#This Row],[Precio Lista CDR]]*0.6</f>
        <v>12.832242500000001</v>
      </c>
      <c r="L240" s="12">
        <f>(Tabla1[[#This Row],[Precio Lista CDR]]-Tabla1[[#This Row],[PrecioFábrica]])/Tabla1[[#This Row],[Precio Lista CDR]]</f>
        <v>0.81491933307837672</v>
      </c>
      <c r="M240" s="12">
        <f>(Tabla1[[#This Row],[Lista 1 (20%)]]-Tabla1[[#This Row],[PrecioFábrica]])/Tabla1[[#This Row],[Lista 1 (20%)]]</f>
        <v>0.76864916634797076</v>
      </c>
      <c r="N240" s="12">
        <f>(Tabla1[[#This Row],[Lista 2 (30%)]]-Tabla1[[#This Row],[PrecioFábrica]])/Tabla1[[#This Row],[Lista 2 (30%)]]</f>
        <v>0.73559904725482372</v>
      </c>
      <c r="O240" s="12">
        <f>(Tabla1[[#This Row],[Lista 3 (40%)]]-Tabla1[[#This Row],[PrecioFábrica]])/Tabla1[[#This Row],[Lista 3 (40%)]]</f>
        <v>0.69153222179729434</v>
      </c>
    </row>
    <row r="241" spans="1:15">
      <c r="A241" t="s">
        <v>6</v>
      </c>
      <c r="B241" t="s">
        <v>250</v>
      </c>
      <c r="C241" t="s">
        <v>1052</v>
      </c>
      <c r="D241" t="s">
        <v>811</v>
      </c>
      <c r="E241" t="s">
        <v>5</v>
      </c>
      <c r="F241" s="3">
        <v>6.3583333333333334</v>
      </c>
      <c r="G241" s="10">
        <f>VLOOKUP(Tabla1[[#This Row],[Código Unificador]],PRECIOS_COMPETENCIA!B:D,3,FALSE)</f>
        <v>29.729908333333334</v>
      </c>
      <c r="H241" s="10">
        <f>Tabla1[[#This Row],[PVP Competencia]]*0.98</f>
        <v>29.135310166666667</v>
      </c>
      <c r="I241" s="10">
        <f>Tabla1[[#This Row],[Precio Lista CDR]]*0.8</f>
        <v>23.308248133333336</v>
      </c>
      <c r="J241" s="10">
        <f>Tabla1[[#This Row],[Precio Lista CDR]]*0.7</f>
        <v>20.394717116666666</v>
      </c>
      <c r="K241" s="10">
        <f>Tabla1[[#This Row],[Precio Lista CDR]]*0.6</f>
        <v>17.481186099999999</v>
      </c>
      <c r="L241" s="12">
        <f>(Tabla1[[#This Row],[Precio Lista CDR]]-Tabla1[[#This Row],[PrecioFábrica]])/Tabla1[[#This Row],[Precio Lista CDR]]</f>
        <v>0.78176538032507981</v>
      </c>
      <c r="M241" s="12">
        <f>(Tabla1[[#This Row],[Lista 1 (20%)]]-Tabla1[[#This Row],[PrecioFábrica]])/Tabla1[[#This Row],[Lista 1 (20%)]]</f>
        <v>0.7272067254063499</v>
      </c>
      <c r="N241" s="12">
        <f>(Tabla1[[#This Row],[Lista 2 (30%)]]-Tabla1[[#This Row],[PrecioFábrica]])/Tabla1[[#This Row],[Lista 2 (30%)]]</f>
        <v>0.68823625760725693</v>
      </c>
      <c r="O241" s="12">
        <f>(Tabla1[[#This Row],[Lista 3 (40%)]]-Tabla1[[#This Row],[PrecioFábrica]])/Tabla1[[#This Row],[Lista 3 (40%)]]</f>
        <v>0.63627563387513308</v>
      </c>
    </row>
    <row r="242" spans="1:15">
      <c r="A242" t="s">
        <v>6</v>
      </c>
      <c r="B242" t="s">
        <v>251</v>
      </c>
      <c r="C242" t="s">
        <v>1053</v>
      </c>
      <c r="D242" t="s">
        <v>811</v>
      </c>
      <c r="E242" t="s">
        <v>5</v>
      </c>
      <c r="F242" s="3">
        <v>5.2083333333333339</v>
      </c>
      <c r="G242" s="10">
        <f>VLOOKUP(Tabla1[[#This Row],[Código Unificador]],PRECIOS_COMPETENCIA!B:D,3,FALSE)</f>
        <v>26.010416666666671</v>
      </c>
      <c r="H242" s="10">
        <f>Tabla1[[#This Row],[PVP Competencia]]*0.98</f>
        <v>25.490208333333339</v>
      </c>
      <c r="I242" s="10">
        <f>Tabla1[[#This Row],[Precio Lista CDR]]*0.8</f>
        <v>20.392166666666672</v>
      </c>
      <c r="J242" s="10">
        <f>Tabla1[[#This Row],[Precio Lista CDR]]*0.7</f>
        <v>17.843145833333335</v>
      </c>
      <c r="K242" s="10">
        <f>Tabla1[[#This Row],[Precio Lista CDR]]*0.6</f>
        <v>15.294125000000003</v>
      </c>
      <c r="L242" s="12">
        <f>(Tabla1[[#This Row],[Precio Lista CDR]]-Tabla1[[#This Row],[PrecioFábrica]])/Tabla1[[#This Row],[Precio Lista CDR]]</f>
        <v>0.79567317515712743</v>
      </c>
      <c r="M242" s="12">
        <f>(Tabla1[[#This Row],[Lista 1 (20%)]]-Tabla1[[#This Row],[PrecioFábrica]])/Tabla1[[#This Row],[Lista 1 (20%)]]</f>
        <v>0.74459146894640915</v>
      </c>
      <c r="N242" s="12">
        <f>(Tabla1[[#This Row],[Lista 2 (30%)]]-Tabla1[[#This Row],[PrecioFábrica]])/Tabla1[[#This Row],[Lista 2 (30%)]]</f>
        <v>0.70810453593875333</v>
      </c>
      <c r="O242" s="12">
        <f>(Tabla1[[#This Row],[Lista 3 (40%)]]-Tabla1[[#This Row],[PrecioFábrica]])/Tabla1[[#This Row],[Lista 3 (40%)]]</f>
        <v>0.65945529192854557</v>
      </c>
    </row>
    <row r="243" spans="1:15">
      <c r="A243" t="s">
        <v>9</v>
      </c>
      <c r="B243" t="s">
        <v>252</v>
      </c>
      <c r="C243" t="s">
        <v>1054</v>
      </c>
      <c r="D243" t="s">
        <v>811</v>
      </c>
      <c r="E243" t="s">
        <v>5</v>
      </c>
      <c r="F243" s="3">
        <v>5.9833333333333334</v>
      </c>
      <c r="G243" s="10">
        <f>VLOOKUP(Tabla1[[#This Row],[Código Unificador]],PRECIOS_COMPETENCIA!B:D,3,FALSE)</f>
        <v>28.739800000000002</v>
      </c>
      <c r="H243" s="10">
        <f>Tabla1[[#This Row],[PVP Competencia]]*0.98</f>
        <v>28.165004000000003</v>
      </c>
      <c r="I243" s="10">
        <f>Tabla1[[#This Row],[Precio Lista CDR]]*0.8</f>
        <v>22.532003200000005</v>
      </c>
      <c r="J243" s="10">
        <f>Tabla1[[#This Row],[Precio Lista CDR]]*0.7</f>
        <v>19.715502799999999</v>
      </c>
      <c r="K243" s="10">
        <f>Tabla1[[#This Row],[Precio Lista CDR]]*0.6</f>
        <v>16.899002400000001</v>
      </c>
      <c r="L243" s="12">
        <f>(Tabla1[[#This Row],[Precio Lista CDR]]-Tabla1[[#This Row],[PrecioFábrica]])/Tabla1[[#This Row],[Precio Lista CDR]]</f>
        <v>0.78756142433591225</v>
      </c>
      <c r="M243" s="12">
        <f>(Tabla1[[#This Row],[Lista 1 (20%)]]-Tabla1[[#This Row],[PrecioFábrica]])/Tabla1[[#This Row],[Lista 1 (20%)]]</f>
        <v>0.73445178041989034</v>
      </c>
      <c r="N243" s="12">
        <f>(Tabla1[[#This Row],[Lista 2 (30%)]]-Tabla1[[#This Row],[PrecioFábrica]])/Tabla1[[#This Row],[Lista 2 (30%)]]</f>
        <v>0.69651632047987466</v>
      </c>
      <c r="O243" s="12">
        <f>(Tabla1[[#This Row],[Lista 3 (40%)]]-Tabla1[[#This Row],[PrecioFábrica]])/Tabla1[[#This Row],[Lista 3 (40%)]]</f>
        <v>0.64593570722652038</v>
      </c>
    </row>
    <row r="244" spans="1:15">
      <c r="A244" t="s">
        <v>9</v>
      </c>
      <c r="B244" t="s">
        <v>253</v>
      </c>
      <c r="C244" t="s">
        <v>1055</v>
      </c>
      <c r="D244" t="s">
        <v>811</v>
      </c>
      <c r="E244" t="s">
        <v>5</v>
      </c>
      <c r="F244" s="3">
        <v>10.858333333333333</v>
      </c>
      <c r="G244" s="10">
        <f>VLOOKUP(Tabla1[[#This Row],[Código Unificador]],PRECIOS_COMPETENCIA!B:D,3,FALSE)</f>
        <v>43.693408333333338</v>
      </c>
      <c r="H244" s="10">
        <f>Tabla1[[#This Row],[PVP Competencia]]*0.98</f>
        <v>42.81954016666667</v>
      </c>
      <c r="I244" s="10">
        <f>Tabla1[[#This Row],[Precio Lista CDR]]*0.8</f>
        <v>34.255632133333336</v>
      </c>
      <c r="J244" s="10">
        <f>Tabla1[[#This Row],[Precio Lista CDR]]*0.7</f>
        <v>29.973678116666665</v>
      </c>
      <c r="K244" s="10">
        <f>Tabla1[[#This Row],[Precio Lista CDR]]*0.6</f>
        <v>25.691724100000002</v>
      </c>
      <c r="L244" s="12">
        <f>(Tabla1[[#This Row],[Precio Lista CDR]]-Tabla1[[#This Row],[PrecioFábrica]])/Tabla1[[#This Row],[Precio Lista CDR]]</f>
        <v>0.74641639562056483</v>
      </c>
      <c r="M244" s="12">
        <f>(Tabla1[[#This Row],[Lista 1 (20%)]]-Tabla1[[#This Row],[PrecioFábrica]])/Tabla1[[#This Row],[Lista 1 (20%)]]</f>
        <v>0.68302049452570601</v>
      </c>
      <c r="N244" s="12">
        <f>(Tabla1[[#This Row],[Lista 2 (30%)]]-Tabla1[[#This Row],[PrecioFábrica]])/Tabla1[[#This Row],[Lista 2 (30%)]]</f>
        <v>0.63773770802937846</v>
      </c>
      <c r="O244" s="12">
        <f>(Tabla1[[#This Row],[Lista 3 (40%)]]-Tabla1[[#This Row],[PrecioFábrica]])/Tabla1[[#This Row],[Lista 3 (40%)]]</f>
        <v>0.57736065936760816</v>
      </c>
    </row>
    <row r="245" spans="1:15">
      <c r="A245" t="s">
        <v>6</v>
      </c>
      <c r="B245" t="s">
        <v>254</v>
      </c>
      <c r="C245" t="s">
        <v>1056</v>
      </c>
      <c r="D245" t="s">
        <v>811</v>
      </c>
      <c r="E245" t="s">
        <v>5</v>
      </c>
      <c r="F245" s="3">
        <v>6.9166666666666679</v>
      </c>
      <c r="G245" s="10">
        <f>VLOOKUP(Tabla1[[#This Row],[Código Unificador]],PRECIOS_COMPETENCIA!B:D,3,FALSE)</f>
        <v>31.663</v>
      </c>
      <c r="H245" s="10">
        <f>Tabla1[[#This Row],[PVP Competencia]]*0.98</f>
        <v>31.02974</v>
      </c>
      <c r="I245" s="10">
        <f>Tabla1[[#This Row],[Precio Lista CDR]]*0.8</f>
        <v>24.823792000000001</v>
      </c>
      <c r="J245" s="10">
        <f>Tabla1[[#This Row],[Precio Lista CDR]]*0.7</f>
        <v>21.720817999999998</v>
      </c>
      <c r="K245" s="10">
        <f>Tabla1[[#This Row],[Precio Lista CDR]]*0.6</f>
        <v>18.617843999999998</v>
      </c>
      <c r="L245" s="12">
        <f>(Tabla1[[#This Row],[Precio Lista CDR]]-Tabla1[[#This Row],[PrecioFábrica]])/Tabla1[[#This Row],[Precio Lista CDR]]</f>
        <v>0.77709556487851117</v>
      </c>
      <c r="M245" s="12">
        <f>(Tabla1[[#This Row],[Lista 1 (20%)]]-Tabla1[[#This Row],[PrecioFábrica]])/Tabla1[[#This Row],[Lista 1 (20%)]]</f>
        <v>0.72136945609813896</v>
      </c>
      <c r="N245" s="12">
        <f>(Tabla1[[#This Row],[Lista 2 (30%)]]-Tabla1[[#This Row],[PrecioFábrica]])/Tabla1[[#This Row],[Lista 2 (30%)]]</f>
        <v>0.68156509268358734</v>
      </c>
      <c r="O245" s="12">
        <f>(Tabla1[[#This Row],[Lista 3 (40%)]]-Tabla1[[#This Row],[PrecioFábrica]])/Tabla1[[#This Row],[Lista 3 (40%)]]</f>
        <v>0.62849260813085184</v>
      </c>
    </row>
    <row r="246" spans="1:15">
      <c r="A246" t="s">
        <v>6</v>
      </c>
      <c r="B246" t="s">
        <v>255</v>
      </c>
      <c r="C246" t="s">
        <v>1057</v>
      </c>
      <c r="D246" t="s">
        <v>811</v>
      </c>
      <c r="E246" t="s">
        <v>5</v>
      </c>
      <c r="F246" s="3">
        <v>5.85</v>
      </c>
      <c r="G246" s="10">
        <f>VLOOKUP(Tabla1[[#This Row],[Código Unificador]],PRECIOS_COMPETENCIA!B:D,3,FALSE)</f>
        <v>27.81325</v>
      </c>
      <c r="H246" s="10">
        <f>Tabla1[[#This Row],[PVP Competencia]]*0.98</f>
        <v>27.256985</v>
      </c>
      <c r="I246" s="10">
        <f>Tabla1[[#This Row],[Precio Lista CDR]]*0.8</f>
        <v>21.805588</v>
      </c>
      <c r="J246" s="10">
        <f>Tabla1[[#This Row],[Precio Lista CDR]]*0.7</f>
        <v>19.0798895</v>
      </c>
      <c r="K246" s="10">
        <f>Tabla1[[#This Row],[Precio Lista CDR]]*0.6</f>
        <v>16.354191</v>
      </c>
      <c r="L246" s="12">
        <f>(Tabla1[[#This Row],[Precio Lista CDR]]-Tabla1[[#This Row],[PrecioFábrica]])/Tabla1[[#This Row],[Precio Lista CDR]]</f>
        <v>0.78537611551681152</v>
      </c>
      <c r="M246" s="12">
        <f>(Tabla1[[#This Row],[Lista 1 (20%)]]-Tabla1[[#This Row],[PrecioFábrica]])/Tabla1[[#This Row],[Lista 1 (20%)]]</f>
        <v>0.73172014439601452</v>
      </c>
      <c r="N246" s="12">
        <f>(Tabla1[[#This Row],[Lista 2 (30%)]]-Tabla1[[#This Row],[PrecioFábrica]])/Tabla1[[#This Row],[Lista 2 (30%)]]</f>
        <v>0.6933944507383023</v>
      </c>
      <c r="O246" s="12">
        <f>(Tabla1[[#This Row],[Lista 3 (40%)]]-Tabla1[[#This Row],[PrecioFábrica]])/Tabla1[[#This Row],[Lista 3 (40%)]]</f>
        <v>0.64229352586135258</v>
      </c>
    </row>
    <row r="247" spans="1:15">
      <c r="A247" t="s">
        <v>9</v>
      </c>
      <c r="B247" t="s">
        <v>256</v>
      </c>
      <c r="C247" t="s">
        <v>1058</v>
      </c>
      <c r="D247" t="s">
        <v>811</v>
      </c>
      <c r="E247" t="s">
        <v>5</v>
      </c>
      <c r="F247" s="3">
        <v>8.3833333333333346</v>
      </c>
      <c r="G247" s="10">
        <f>VLOOKUP(Tabla1[[#This Row],[Código Unificador]],PRECIOS_COMPETENCIA!B:D,3,FALSE)</f>
        <v>35.527250000000009</v>
      </c>
      <c r="H247" s="10">
        <f>Tabla1[[#This Row],[PVP Competencia]]*0.98</f>
        <v>34.816705000000006</v>
      </c>
      <c r="I247" s="10">
        <f>Tabla1[[#This Row],[Precio Lista CDR]]*0.8</f>
        <v>27.853364000000006</v>
      </c>
      <c r="J247" s="10">
        <f>Tabla1[[#This Row],[Precio Lista CDR]]*0.7</f>
        <v>24.371693500000003</v>
      </c>
      <c r="K247" s="10">
        <f>Tabla1[[#This Row],[Precio Lista CDR]]*0.6</f>
        <v>20.890023000000003</v>
      </c>
      <c r="L247" s="12">
        <f>(Tabla1[[#This Row],[Precio Lista CDR]]-Tabla1[[#This Row],[PrecioFábrica]])/Tabla1[[#This Row],[Precio Lista CDR]]</f>
        <v>0.75921520048111013</v>
      </c>
      <c r="M247" s="12">
        <f>(Tabla1[[#This Row],[Lista 1 (20%)]]-Tabla1[[#This Row],[PrecioFábrica]])/Tabla1[[#This Row],[Lista 1 (20%)]]</f>
        <v>0.69901900060138766</v>
      </c>
      <c r="N247" s="12">
        <f>(Tabla1[[#This Row],[Lista 2 (30%)]]-Tabla1[[#This Row],[PrecioFábrica]])/Tabla1[[#This Row],[Lista 2 (30%)]]</f>
        <v>0.65602171497301431</v>
      </c>
      <c r="O247" s="12">
        <f>(Tabla1[[#This Row],[Lista 3 (40%)]]-Tabla1[[#This Row],[PrecioFábrica]])/Tabla1[[#This Row],[Lista 3 (40%)]]</f>
        <v>0.59869200080185003</v>
      </c>
    </row>
    <row r="248" spans="1:15">
      <c r="A248" t="s">
        <v>6</v>
      </c>
      <c r="B248" t="s">
        <v>257</v>
      </c>
      <c r="C248" t="s">
        <v>1059</v>
      </c>
      <c r="D248" t="s">
        <v>811</v>
      </c>
      <c r="E248" t="s">
        <v>5</v>
      </c>
      <c r="F248" s="3">
        <v>9.4583333333333339</v>
      </c>
      <c r="G248" s="10">
        <f>VLOOKUP(Tabla1[[#This Row],[Código Unificador]],PRECIOS_COMPETENCIA!B:D,3,FALSE)</f>
        <v>38.25204166666667</v>
      </c>
      <c r="H248" s="10">
        <f>Tabla1[[#This Row],[PVP Competencia]]*0.98</f>
        <v>37.487000833333333</v>
      </c>
      <c r="I248" s="10">
        <f>Tabla1[[#This Row],[Precio Lista CDR]]*0.8</f>
        <v>29.989600666666668</v>
      </c>
      <c r="J248" s="10">
        <f>Tabla1[[#This Row],[Precio Lista CDR]]*0.7</f>
        <v>26.240900583333332</v>
      </c>
      <c r="K248" s="10">
        <f>Tabla1[[#This Row],[Precio Lista CDR]]*0.6</f>
        <v>22.492200499999999</v>
      </c>
      <c r="L248" s="12">
        <f>(Tabla1[[#This Row],[Precio Lista CDR]]-Tabla1[[#This Row],[PrecioFábrica]])/Tabla1[[#This Row],[Precio Lista CDR]]</f>
        <v>0.7476903160275491</v>
      </c>
      <c r="M248" s="12">
        <f>(Tabla1[[#This Row],[Lista 1 (20%)]]-Tabla1[[#This Row],[PrecioFábrica]])/Tabla1[[#This Row],[Lista 1 (20%)]]</f>
        <v>0.68461289503443645</v>
      </c>
      <c r="N248" s="12">
        <f>(Tabla1[[#This Row],[Lista 2 (30%)]]-Tabla1[[#This Row],[PrecioFábrica]])/Tabla1[[#This Row],[Lista 2 (30%)]]</f>
        <v>0.63955759432507031</v>
      </c>
      <c r="O248" s="12">
        <f>(Tabla1[[#This Row],[Lista 3 (40%)]]-Tabla1[[#This Row],[PrecioFábrica]])/Tabla1[[#This Row],[Lista 3 (40%)]]</f>
        <v>0.57948386004591523</v>
      </c>
    </row>
    <row r="249" spans="1:15">
      <c r="A249" t="s">
        <v>6</v>
      </c>
      <c r="B249" t="s">
        <v>258</v>
      </c>
      <c r="C249" t="s">
        <v>1060</v>
      </c>
      <c r="D249" t="s">
        <v>811</v>
      </c>
      <c r="E249" t="s">
        <v>5</v>
      </c>
      <c r="F249" s="3">
        <v>7.5750000000000002</v>
      </c>
      <c r="G249" s="10">
        <f>VLOOKUP(Tabla1[[#This Row],[Código Unificador]],PRECIOS_COMPETENCIA!B:D,3,FALSE)</f>
        <v>33.505224999999996</v>
      </c>
      <c r="H249" s="10">
        <f>Tabla1[[#This Row],[PVP Competencia]]*0.98</f>
        <v>32.835120499999995</v>
      </c>
      <c r="I249" s="10">
        <f>Tabla1[[#This Row],[Precio Lista CDR]]*0.8</f>
        <v>26.268096399999997</v>
      </c>
      <c r="J249" s="10">
        <f>Tabla1[[#This Row],[Precio Lista CDR]]*0.7</f>
        <v>22.984584349999995</v>
      </c>
      <c r="K249" s="10">
        <f>Tabla1[[#This Row],[Precio Lista CDR]]*0.6</f>
        <v>19.701072299999996</v>
      </c>
      <c r="L249" s="12">
        <f>(Tabla1[[#This Row],[Precio Lista CDR]]-Tabla1[[#This Row],[PrecioFábrica]])/Tabla1[[#This Row],[Precio Lista CDR]]</f>
        <v>0.76930189733885701</v>
      </c>
      <c r="M249" s="12">
        <f>(Tabla1[[#This Row],[Lista 1 (20%)]]-Tabla1[[#This Row],[PrecioFábrica]])/Tabla1[[#This Row],[Lista 1 (20%)]]</f>
        <v>0.71162737167357126</v>
      </c>
      <c r="N249" s="12">
        <f>(Tabla1[[#This Row],[Lista 2 (30%)]]-Tabla1[[#This Row],[PrecioFábrica]])/Tabla1[[#This Row],[Lista 2 (30%)]]</f>
        <v>0.67043128191265289</v>
      </c>
      <c r="O249" s="12">
        <f>(Tabla1[[#This Row],[Lista 3 (40%)]]-Tabla1[[#This Row],[PrecioFábrica]])/Tabla1[[#This Row],[Lista 3 (40%)]]</f>
        <v>0.61550316223142831</v>
      </c>
    </row>
    <row r="250" spans="1:15">
      <c r="A250" t="s">
        <v>6</v>
      </c>
      <c r="B250" t="s">
        <v>259</v>
      </c>
      <c r="C250" t="s">
        <v>1061</v>
      </c>
      <c r="D250" t="s">
        <v>811</v>
      </c>
      <c r="E250" t="s">
        <v>5</v>
      </c>
      <c r="F250" s="3">
        <v>11.475</v>
      </c>
      <c r="G250" s="10">
        <f>VLOOKUP(Tabla1[[#This Row],[Código Unificador]],PRECIOS_COMPETENCIA!B:D,3,FALSE)</f>
        <v>44.608600000000003</v>
      </c>
      <c r="H250" s="10">
        <f>Tabla1[[#This Row],[PVP Competencia]]*0.98</f>
        <v>43.716428000000001</v>
      </c>
      <c r="I250" s="10">
        <f>Tabla1[[#This Row],[Precio Lista CDR]]*0.8</f>
        <v>34.9731424</v>
      </c>
      <c r="J250" s="10">
        <f>Tabla1[[#This Row],[Precio Lista CDR]]*0.7</f>
        <v>30.601499599999997</v>
      </c>
      <c r="K250" s="10">
        <f>Tabla1[[#This Row],[Precio Lista CDR]]*0.6</f>
        <v>26.2298568</v>
      </c>
      <c r="L250" s="12">
        <f>(Tabla1[[#This Row],[Precio Lista CDR]]-Tabla1[[#This Row],[PrecioFábrica]])/Tabla1[[#This Row],[Precio Lista CDR]]</f>
        <v>0.73751286358528645</v>
      </c>
      <c r="M250" s="12">
        <f>(Tabla1[[#This Row],[Lista 1 (20%)]]-Tabla1[[#This Row],[PrecioFábrica]])/Tabla1[[#This Row],[Lista 1 (20%)]]</f>
        <v>0.67189107948160809</v>
      </c>
      <c r="N250" s="12">
        <f>(Tabla1[[#This Row],[Lista 2 (30%)]]-Tabla1[[#This Row],[PrecioFábrica]])/Tabla1[[#This Row],[Lista 2 (30%)]]</f>
        <v>0.62501837655040926</v>
      </c>
      <c r="O250" s="12">
        <f>(Tabla1[[#This Row],[Lista 3 (40%)]]-Tabla1[[#This Row],[PrecioFábrica]])/Tabla1[[#This Row],[Lista 3 (40%)]]</f>
        <v>0.56252143930881093</v>
      </c>
    </row>
    <row r="251" spans="1:15">
      <c r="A251" t="s">
        <v>9</v>
      </c>
      <c r="B251" t="s">
        <v>260</v>
      </c>
      <c r="C251" t="s">
        <v>1062</v>
      </c>
      <c r="D251" t="s">
        <v>811</v>
      </c>
      <c r="E251" t="s">
        <v>5</v>
      </c>
      <c r="F251" s="3">
        <v>12.3</v>
      </c>
      <c r="G251" s="10">
        <f>VLOOKUP(Tabla1[[#This Row],[Código Unificador]],PRECIOS_COMPETENCIA!B:D,3,FALSE)</f>
        <v>46.740100000000005</v>
      </c>
      <c r="H251" s="10">
        <f>Tabla1[[#This Row],[PVP Competencia]]*0.98</f>
        <v>45.805298000000008</v>
      </c>
      <c r="I251" s="10">
        <f>Tabla1[[#This Row],[Precio Lista CDR]]*0.8</f>
        <v>36.644238400000006</v>
      </c>
      <c r="J251" s="10">
        <f>Tabla1[[#This Row],[Precio Lista CDR]]*0.7</f>
        <v>32.063708600000005</v>
      </c>
      <c r="K251" s="10">
        <f>Tabla1[[#This Row],[Precio Lista CDR]]*0.6</f>
        <v>27.483178800000005</v>
      </c>
      <c r="L251" s="12">
        <f>(Tabla1[[#This Row],[Precio Lista CDR]]-Tabla1[[#This Row],[PrecioFábrica]])/Tabla1[[#This Row],[Precio Lista CDR]]</f>
        <v>0.73147211049691252</v>
      </c>
      <c r="M251" s="12">
        <f>(Tabla1[[#This Row],[Lista 1 (20%)]]-Tabla1[[#This Row],[PrecioFábrica]])/Tabla1[[#This Row],[Lista 1 (20%)]]</f>
        <v>0.66434013812114057</v>
      </c>
      <c r="N251" s="12">
        <f>(Tabla1[[#This Row],[Lista 2 (30%)]]-Tabla1[[#This Row],[PrecioFábrica]])/Tabla1[[#This Row],[Lista 2 (30%)]]</f>
        <v>0.6163887292813035</v>
      </c>
      <c r="O251" s="12">
        <f>(Tabla1[[#This Row],[Lista 3 (40%)]]-Tabla1[[#This Row],[PrecioFábrica]])/Tabla1[[#This Row],[Lista 3 (40%)]]</f>
        <v>0.55245351749485405</v>
      </c>
    </row>
    <row r="252" spans="1:15">
      <c r="A252" t="s">
        <v>6</v>
      </c>
      <c r="B252" t="s">
        <v>261</v>
      </c>
      <c r="C252" t="s">
        <v>1063</v>
      </c>
      <c r="D252" t="s">
        <v>811</v>
      </c>
      <c r="E252" t="s">
        <v>5</v>
      </c>
      <c r="F252" s="3">
        <v>15.100000000000001</v>
      </c>
      <c r="G252" s="10">
        <f>VLOOKUP(Tabla1[[#This Row],[Código Unificador]],PRECIOS_COMPETENCIA!B:D,3,FALSE)</f>
        <v>55.979500000000009</v>
      </c>
      <c r="H252" s="10">
        <f>Tabla1[[#This Row],[PVP Competencia]]*0.98</f>
        <v>54.859910000000006</v>
      </c>
      <c r="I252" s="10">
        <f>Tabla1[[#This Row],[Precio Lista CDR]]*0.8</f>
        <v>43.887928000000009</v>
      </c>
      <c r="J252" s="10">
        <f>Tabla1[[#This Row],[Precio Lista CDR]]*0.7</f>
        <v>38.401937000000004</v>
      </c>
      <c r="K252" s="10">
        <f>Tabla1[[#This Row],[Precio Lista CDR]]*0.6</f>
        <v>32.915946000000005</v>
      </c>
      <c r="L252" s="12">
        <f>(Tabla1[[#This Row],[Precio Lista CDR]]-Tabla1[[#This Row],[PrecioFábrica]])/Tabla1[[#This Row],[Precio Lista CDR]]</f>
        <v>0.72475346751389125</v>
      </c>
      <c r="M252" s="12">
        <f>(Tabla1[[#This Row],[Lista 1 (20%)]]-Tabla1[[#This Row],[PrecioFábrica]])/Tabla1[[#This Row],[Lista 1 (20%)]]</f>
        <v>0.6559418343923642</v>
      </c>
      <c r="N252" s="12">
        <f>(Tabla1[[#This Row],[Lista 2 (30%)]]-Tabla1[[#This Row],[PrecioFábrica]])/Tabla1[[#This Row],[Lista 2 (30%)]]</f>
        <v>0.60679066787698754</v>
      </c>
      <c r="O252" s="12">
        <f>(Tabla1[[#This Row],[Lista 3 (40%)]]-Tabla1[[#This Row],[PrecioFábrica]])/Tabla1[[#This Row],[Lista 3 (40%)]]</f>
        <v>0.54125577918981882</v>
      </c>
    </row>
    <row r="253" spans="1:15">
      <c r="A253" t="s">
        <v>6</v>
      </c>
      <c r="B253" t="s">
        <v>262</v>
      </c>
      <c r="C253" t="s">
        <v>1064</v>
      </c>
      <c r="D253" t="s">
        <v>811</v>
      </c>
      <c r="E253" t="s">
        <v>5</v>
      </c>
      <c r="F253" s="3">
        <v>22.691666666666666</v>
      </c>
      <c r="G253" s="10">
        <f>VLOOKUP(Tabla1[[#This Row],[Código Unificador]],PRECIOS_COMPETENCIA!B:D,3,FALSE)</f>
        <v>87.121950000000012</v>
      </c>
      <c r="H253" s="10">
        <f>Tabla1[[#This Row],[PVP Competencia]]*0.98</f>
        <v>85.379511000000008</v>
      </c>
      <c r="I253" s="10">
        <f>Tabla1[[#This Row],[Precio Lista CDR]]*0.8</f>
        <v>68.303608800000006</v>
      </c>
      <c r="J253" s="10">
        <f>Tabla1[[#This Row],[Precio Lista CDR]]*0.7</f>
        <v>59.765657699999998</v>
      </c>
      <c r="K253" s="10">
        <f>Tabla1[[#This Row],[Precio Lista CDR]]*0.6</f>
        <v>51.227706600000005</v>
      </c>
      <c r="L253" s="12">
        <f>(Tabla1[[#This Row],[Precio Lista CDR]]-Tabla1[[#This Row],[PrecioFábrica]])/Tabla1[[#This Row],[Precio Lista CDR]]</f>
        <v>0.73422585347593916</v>
      </c>
      <c r="M253" s="12">
        <f>(Tabla1[[#This Row],[Lista 1 (20%)]]-Tabla1[[#This Row],[PrecioFábrica]])/Tabla1[[#This Row],[Lista 1 (20%)]]</f>
        <v>0.66778231684492395</v>
      </c>
      <c r="N253" s="12">
        <f>(Tabla1[[#This Row],[Lista 2 (30%)]]-Tabla1[[#This Row],[PrecioFábrica]])/Tabla1[[#This Row],[Lista 2 (30%)]]</f>
        <v>0.62032264782277013</v>
      </c>
      <c r="O253" s="12">
        <f>(Tabla1[[#This Row],[Lista 3 (40%)]]-Tabla1[[#This Row],[PrecioFábrica]])/Tabla1[[#This Row],[Lista 3 (40%)]]</f>
        <v>0.55704308912656531</v>
      </c>
    </row>
    <row r="254" spans="1:15">
      <c r="A254" t="s">
        <v>7</v>
      </c>
      <c r="B254" t="s">
        <v>263</v>
      </c>
      <c r="C254" t="s">
        <v>1065</v>
      </c>
      <c r="D254" t="s">
        <v>811</v>
      </c>
      <c r="E254" t="s">
        <v>5</v>
      </c>
      <c r="F254" s="3">
        <v>25.891666666666669</v>
      </c>
      <c r="G254" s="10">
        <f>VLOOKUP(Tabla1[[#This Row],[Código Unificador]],PRECIOS_COMPETENCIA!B:D,3,FALSE)</f>
        <v>88.840125000000015</v>
      </c>
      <c r="H254" s="10">
        <f>Tabla1[[#This Row],[PVP Competencia]]*0.98</f>
        <v>87.063322500000012</v>
      </c>
      <c r="I254" s="10">
        <f>Tabla1[[#This Row],[Precio Lista CDR]]*0.8</f>
        <v>69.650658000000007</v>
      </c>
      <c r="J254" s="10">
        <f>Tabla1[[#This Row],[Precio Lista CDR]]*0.7</f>
        <v>60.944325750000004</v>
      </c>
      <c r="K254" s="10">
        <f>Tabla1[[#This Row],[Precio Lista CDR]]*0.6</f>
        <v>52.237993500000009</v>
      </c>
      <c r="L254" s="12">
        <f>(Tabla1[[#This Row],[Precio Lista CDR]]-Tabla1[[#This Row],[PrecioFábrica]])/Tabla1[[#This Row],[Precio Lista CDR]]</f>
        <v>0.70261108899598146</v>
      </c>
      <c r="M254" s="12">
        <f>(Tabla1[[#This Row],[Lista 1 (20%)]]-Tabla1[[#This Row],[PrecioFábrica]])/Tabla1[[#This Row],[Lista 1 (20%)]]</f>
        <v>0.62826386124497691</v>
      </c>
      <c r="N254" s="12">
        <f>(Tabla1[[#This Row],[Lista 2 (30%)]]-Tabla1[[#This Row],[PrecioFábrica]])/Tabla1[[#This Row],[Lista 2 (30%)]]</f>
        <v>0.5751586985656878</v>
      </c>
      <c r="O254" s="12">
        <f>(Tabla1[[#This Row],[Lista 3 (40%)]]-Tabla1[[#This Row],[PrecioFábrica]])/Tabla1[[#This Row],[Lista 3 (40%)]]</f>
        <v>0.50435181499330239</v>
      </c>
    </row>
    <row r="255" spans="1:15">
      <c r="A255" t="s">
        <v>6</v>
      </c>
      <c r="B255" t="s">
        <v>264</v>
      </c>
      <c r="C255" t="s">
        <v>1066</v>
      </c>
      <c r="D255" t="s">
        <v>811</v>
      </c>
      <c r="E255" t="s">
        <v>5</v>
      </c>
      <c r="F255" s="3">
        <v>74.333333333333343</v>
      </c>
      <c r="G255" s="10">
        <f>VLOOKUP(Tabla1[[#This Row],[Código Unificador]],PRECIOS_COMPETENCIA!B:D,3,FALSE)</f>
        <v>256.34500000000003</v>
      </c>
      <c r="H255" s="10">
        <f>Tabla1[[#This Row],[PVP Competencia]]*0.98</f>
        <v>251.21810000000002</v>
      </c>
      <c r="I255" s="10">
        <f>Tabla1[[#This Row],[Precio Lista CDR]]*0.8</f>
        <v>200.97448000000003</v>
      </c>
      <c r="J255" s="10">
        <f>Tabla1[[#This Row],[Precio Lista CDR]]*0.7</f>
        <v>175.85267000000002</v>
      </c>
      <c r="K255" s="10">
        <f>Tabla1[[#This Row],[Precio Lista CDR]]*0.6</f>
        <v>150.73086000000001</v>
      </c>
      <c r="L255" s="12">
        <f>(Tabla1[[#This Row],[Precio Lista CDR]]-Tabla1[[#This Row],[PrecioFábrica]])/Tabla1[[#This Row],[Precio Lista CDR]]</f>
        <v>0.70410836904931084</v>
      </c>
      <c r="M255" s="12">
        <f>(Tabla1[[#This Row],[Lista 1 (20%)]]-Tabla1[[#This Row],[PrecioFábrica]])/Tabla1[[#This Row],[Lista 1 (20%)]]</f>
        <v>0.63013546131163856</v>
      </c>
      <c r="N255" s="12">
        <f>(Tabla1[[#This Row],[Lista 2 (30%)]]-Tabla1[[#This Row],[PrecioFábrica]])/Tabla1[[#This Row],[Lista 2 (30%)]]</f>
        <v>0.57729767007044397</v>
      </c>
      <c r="O255" s="12">
        <f>(Tabla1[[#This Row],[Lista 3 (40%)]]-Tabla1[[#This Row],[PrecioFábrica]])/Tabla1[[#This Row],[Lista 3 (40%)]]</f>
        <v>0.5068472817488513</v>
      </c>
    </row>
    <row r="256" spans="1:15">
      <c r="A256" t="s">
        <v>6</v>
      </c>
      <c r="B256" t="s">
        <v>265</v>
      </c>
      <c r="C256" t="s">
        <v>1067</v>
      </c>
      <c r="D256" t="s">
        <v>811</v>
      </c>
      <c r="E256" t="s">
        <v>5</v>
      </c>
      <c r="F256" s="3">
        <v>10.508333333333333</v>
      </c>
      <c r="G256" s="10">
        <f>VLOOKUP(Tabla1[[#This Row],[Código Unificador]],PRECIOS_COMPETENCIA!B:D,3,FALSE)</f>
        <v>41.997875000000001</v>
      </c>
      <c r="H256" s="10">
        <f>Tabla1[[#This Row],[PVP Competencia]]*0.98</f>
        <v>41.157917499999996</v>
      </c>
      <c r="I256" s="10">
        <f>Tabla1[[#This Row],[Precio Lista CDR]]*0.8</f>
        <v>32.926333999999997</v>
      </c>
      <c r="J256" s="10">
        <f>Tabla1[[#This Row],[Precio Lista CDR]]*0.7</f>
        <v>28.810542249999994</v>
      </c>
      <c r="K256" s="10">
        <f>Tabla1[[#This Row],[Precio Lista CDR]]*0.6</f>
        <v>24.694750499999998</v>
      </c>
      <c r="L256" s="12">
        <f>(Tabla1[[#This Row],[Precio Lista CDR]]-Tabla1[[#This Row],[PrecioFábrica]])/Tabla1[[#This Row],[Precio Lista CDR]]</f>
        <v>0.7446825794008326</v>
      </c>
      <c r="M256" s="12">
        <f>(Tabla1[[#This Row],[Lista 1 (20%)]]-Tabla1[[#This Row],[PrecioFábrica]])/Tabla1[[#This Row],[Lista 1 (20%)]]</f>
        <v>0.68085322425104067</v>
      </c>
      <c r="N256" s="12">
        <f>(Tabla1[[#This Row],[Lista 2 (30%)]]-Tabla1[[#This Row],[PrecioFábrica]])/Tabla1[[#This Row],[Lista 2 (30%)]]</f>
        <v>0.6352608277154751</v>
      </c>
      <c r="O256" s="12">
        <f>(Tabla1[[#This Row],[Lista 3 (40%)]]-Tabla1[[#This Row],[PrecioFábrica]])/Tabla1[[#This Row],[Lista 3 (40%)]]</f>
        <v>0.57447096566805422</v>
      </c>
    </row>
    <row r="257" spans="1:15">
      <c r="A257" t="s">
        <v>7</v>
      </c>
      <c r="B257" t="s">
        <v>266</v>
      </c>
      <c r="C257" t="s">
        <v>1068</v>
      </c>
      <c r="D257" t="s">
        <v>811</v>
      </c>
      <c r="E257" t="s">
        <v>5</v>
      </c>
      <c r="F257" s="3">
        <v>2.791666666666667</v>
      </c>
      <c r="G257" s="10">
        <f>VLOOKUP(Tabla1[[#This Row],[Código Unificador]],PRECIOS_COMPETENCIA!B:D,3,FALSE)</f>
        <v>18.581583333333334</v>
      </c>
      <c r="H257" s="10">
        <f>Tabla1[[#This Row],[PVP Competencia]]*0.98</f>
        <v>18.209951666666669</v>
      </c>
      <c r="I257" s="10">
        <f>Tabla1[[#This Row],[Precio Lista CDR]]*0.8</f>
        <v>14.567961333333336</v>
      </c>
      <c r="J257" s="10">
        <f>Tabla1[[#This Row],[Precio Lista CDR]]*0.7</f>
        <v>12.746966166666667</v>
      </c>
      <c r="K257" s="10">
        <f>Tabla1[[#This Row],[Precio Lista CDR]]*0.6</f>
        <v>10.925971000000001</v>
      </c>
      <c r="L257" s="12">
        <f>(Tabla1[[#This Row],[Precio Lista CDR]]-Tabla1[[#This Row],[PrecioFábrica]])/Tabla1[[#This Row],[Precio Lista CDR]]</f>
        <v>0.8466955477000625</v>
      </c>
      <c r="M257" s="12">
        <f>(Tabla1[[#This Row],[Lista 1 (20%)]]-Tabla1[[#This Row],[PrecioFábrica]])/Tabla1[[#This Row],[Lista 1 (20%)]]</f>
        <v>0.80836943462507815</v>
      </c>
      <c r="N257" s="12">
        <f>(Tabla1[[#This Row],[Lista 2 (30%)]]-Tabla1[[#This Row],[PrecioFábrica]])/Tabla1[[#This Row],[Lista 2 (30%)]]</f>
        <v>0.78099363957151779</v>
      </c>
      <c r="O257" s="12">
        <f>(Tabla1[[#This Row],[Lista 3 (40%)]]-Tabla1[[#This Row],[PrecioFábrica]])/Tabla1[[#This Row],[Lista 3 (40%)]]</f>
        <v>0.74449257950010417</v>
      </c>
    </row>
    <row r="258" spans="1:15">
      <c r="A258" t="s">
        <v>9</v>
      </c>
      <c r="B258" t="s">
        <v>267</v>
      </c>
      <c r="C258" t="s">
        <v>1069</v>
      </c>
      <c r="D258" t="s">
        <v>811</v>
      </c>
      <c r="E258" t="s">
        <v>5</v>
      </c>
      <c r="F258" s="3">
        <v>16.508333333333333</v>
      </c>
      <c r="G258" s="10">
        <f>VLOOKUP(Tabla1[[#This Row],[Código Unificador]],PRECIOS_COMPETENCIA!B:D,3,FALSE)</f>
        <v>61.704100000000004</v>
      </c>
      <c r="H258" s="10">
        <f>Tabla1[[#This Row],[PVP Competencia]]*0.98</f>
        <v>60.470018000000003</v>
      </c>
      <c r="I258" s="10">
        <f>Tabla1[[#This Row],[Precio Lista CDR]]*0.8</f>
        <v>48.376014400000003</v>
      </c>
      <c r="J258" s="10">
        <f>Tabla1[[#This Row],[Precio Lista CDR]]*0.7</f>
        <v>42.329012599999999</v>
      </c>
      <c r="K258" s="10">
        <f>Tabla1[[#This Row],[Precio Lista CDR]]*0.6</f>
        <v>36.282010800000002</v>
      </c>
      <c r="L258" s="12">
        <f>(Tabla1[[#This Row],[Precio Lista CDR]]-Tabla1[[#This Row],[PrecioFábrica]])/Tabla1[[#This Row],[Precio Lista CDR]]</f>
        <v>0.72699969539725728</v>
      </c>
      <c r="M258" s="12">
        <f>(Tabla1[[#This Row],[Lista 1 (20%)]]-Tabla1[[#This Row],[PrecioFábrica]])/Tabla1[[#This Row],[Lista 1 (20%)]]</f>
        <v>0.65874961924657172</v>
      </c>
      <c r="N258" s="12">
        <f>(Tabla1[[#This Row],[Lista 2 (30%)]]-Tabla1[[#This Row],[PrecioFábrica]])/Tabla1[[#This Row],[Lista 2 (30%)]]</f>
        <v>0.60999956485322471</v>
      </c>
      <c r="O258" s="12">
        <f>(Tabla1[[#This Row],[Lista 3 (40%)]]-Tabla1[[#This Row],[PrecioFábrica]])/Tabla1[[#This Row],[Lista 3 (40%)]]</f>
        <v>0.54499949232876221</v>
      </c>
    </row>
    <row r="259" spans="1:15">
      <c r="A259" t="s">
        <v>6</v>
      </c>
      <c r="B259" t="s">
        <v>268</v>
      </c>
      <c r="C259" t="s">
        <v>1070</v>
      </c>
      <c r="D259" t="s">
        <v>811</v>
      </c>
      <c r="E259" t="s">
        <v>5</v>
      </c>
      <c r="F259" s="3">
        <v>2.5916666666666672</v>
      </c>
      <c r="G259" s="10">
        <f>VLOOKUP(Tabla1[[#This Row],[Código Unificador]],PRECIOS_COMPETENCIA!B:D,3,FALSE)</f>
        <v>18.117100000000001</v>
      </c>
      <c r="H259" s="10">
        <f>Tabla1[[#This Row],[PVP Competencia]]*0.98</f>
        <v>17.754757999999999</v>
      </c>
      <c r="I259" s="10">
        <f>Tabla1[[#This Row],[Precio Lista CDR]]*0.8</f>
        <v>14.203806399999999</v>
      </c>
      <c r="J259" s="10">
        <f>Tabla1[[#This Row],[Precio Lista CDR]]*0.7</f>
        <v>12.428330599999999</v>
      </c>
      <c r="K259" s="10">
        <f>Tabla1[[#This Row],[Precio Lista CDR]]*0.6</f>
        <v>10.652854799999998</v>
      </c>
      <c r="L259" s="12">
        <f>(Tabla1[[#This Row],[Precio Lista CDR]]-Tabla1[[#This Row],[PrecioFábrica]])/Tabla1[[#This Row],[Precio Lista CDR]]</f>
        <v>0.85402973858237508</v>
      </c>
      <c r="M259" s="12">
        <f>(Tabla1[[#This Row],[Lista 1 (20%)]]-Tabla1[[#This Row],[PrecioFábrica]])/Tabla1[[#This Row],[Lista 1 (20%)]]</f>
        <v>0.81753717322796893</v>
      </c>
      <c r="N259" s="12">
        <f>(Tabla1[[#This Row],[Lista 2 (30%)]]-Tabla1[[#This Row],[PrecioFábrica]])/Tabla1[[#This Row],[Lista 2 (30%)]]</f>
        <v>0.79147105511767868</v>
      </c>
      <c r="O259" s="12">
        <f>(Tabla1[[#This Row],[Lista 3 (40%)]]-Tabla1[[#This Row],[PrecioFábrica]])/Tabla1[[#This Row],[Lista 3 (40%)]]</f>
        <v>0.75671623097062513</v>
      </c>
    </row>
    <row r="260" spans="1:15">
      <c r="A260" t="s">
        <v>6</v>
      </c>
      <c r="B260" t="s">
        <v>269</v>
      </c>
      <c r="C260" t="s">
        <v>1071</v>
      </c>
      <c r="D260" t="s">
        <v>811</v>
      </c>
      <c r="E260" t="s">
        <v>5</v>
      </c>
      <c r="F260" s="3">
        <v>2.4250000000000003</v>
      </c>
      <c r="G260" s="10">
        <f>VLOOKUP(Tabla1[[#This Row],[Código Unificador]],PRECIOS_COMPETENCIA!B:D,3,FALSE)</f>
        <v>17.524775000000002</v>
      </c>
      <c r="H260" s="10">
        <f>Tabla1[[#This Row],[PVP Competencia]]*0.98</f>
        <v>17.174279500000001</v>
      </c>
      <c r="I260" s="10">
        <f>Tabla1[[#This Row],[Precio Lista CDR]]*0.8</f>
        <v>13.739423600000002</v>
      </c>
      <c r="J260" s="10">
        <f>Tabla1[[#This Row],[Precio Lista CDR]]*0.7</f>
        <v>12.021995649999999</v>
      </c>
      <c r="K260" s="10">
        <f>Tabla1[[#This Row],[Precio Lista CDR]]*0.6</f>
        <v>10.3045677</v>
      </c>
      <c r="L260" s="12">
        <f>(Tabla1[[#This Row],[Precio Lista CDR]]-Tabla1[[#This Row],[PrecioFábrica]])/Tabla1[[#This Row],[Precio Lista CDR]]</f>
        <v>0.85880048126618647</v>
      </c>
      <c r="M260" s="12">
        <f>(Tabla1[[#This Row],[Lista 1 (20%)]]-Tabla1[[#This Row],[PrecioFábrica]])/Tabla1[[#This Row],[Lista 1 (20%)]]</f>
        <v>0.82350060158273308</v>
      </c>
      <c r="N260" s="12">
        <f>(Tabla1[[#This Row],[Lista 2 (30%)]]-Tabla1[[#This Row],[PrecioFábrica]])/Tabla1[[#This Row],[Lista 2 (30%)]]</f>
        <v>0.7982864018088377</v>
      </c>
      <c r="O260" s="12">
        <f>(Tabla1[[#This Row],[Lista 3 (40%)]]-Tabla1[[#This Row],[PrecioFábrica]])/Tabla1[[#This Row],[Lista 3 (40%)]]</f>
        <v>0.76466746877697733</v>
      </c>
    </row>
    <row r="261" spans="1:15">
      <c r="A261" t="s">
        <v>6</v>
      </c>
      <c r="B261" t="s">
        <v>270</v>
      </c>
      <c r="C261" t="s">
        <v>1072</v>
      </c>
      <c r="D261" t="s">
        <v>811</v>
      </c>
      <c r="E261" t="s">
        <v>5</v>
      </c>
      <c r="F261" s="3">
        <v>2.9083333333333337</v>
      </c>
      <c r="G261" s="10">
        <f>VLOOKUP(Tabla1[[#This Row],[Código Unificador]],PRECIOS_COMPETENCIA!B:D,3,FALSE)</f>
        <v>18.855875000000001</v>
      </c>
      <c r="H261" s="10">
        <f>Tabla1[[#This Row],[PVP Competencia]]*0.98</f>
        <v>18.4787575</v>
      </c>
      <c r="I261" s="10">
        <f>Tabla1[[#This Row],[Precio Lista CDR]]*0.8</f>
        <v>14.783006</v>
      </c>
      <c r="J261" s="10">
        <f>Tabla1[[#This Row],[Precio Lista CDR]]*0.7</f>
        <v>12.93513025</v>
      </c>
      <c r="K261" s="10">
        <f>Tabla1[[#This Row],[Precio Lista CDR]]*0.6</f>
        <v>11.0872545</v>
      </c>
      <c r="L261" s="12">
        <f>(Tabla1[[#This Row],[Precio Lista CDR]]-Tabla1[[#This Row],[PrecioFábrica]])/Tabla1[[#This Row],[Precio Lista CDR]]</f>
        <v>0.84261207316924136</v>
      </c>
      <c r="M261" s="12">
        <f>(Tabla1[[#This Row],[Lista 1 (20%)]]-Tabla1[[#This Row],[PrecioFábrica]])/Tabla1[[#This Row],[Lista 1 (20%)]]</f>
        <v>0.80326509146155167</v>
      </c>
      <c r="N261" s="12">
        <f>(Tabla1[[#This Row],[Lista 2 (30%)]]-Tabla1[[#This Row],[PrecioFábrica]])/Tabla1[[#This Row],[Lista 2 (30%)]]</f>
        <v>0.77516010452748763</v>
      </c>
      <c r="O261" s="12">
        <f>(Tabla1[[#This Row],[Lista 3 (40%)]]-Tabla1[[#This Row],[PrecioFábrica]])/Tabla1[[#This Row],[Lista 3 (40%)]]</f>
        <v>0.73768678861540216</v>
      </c>
    </row>
    <row r="262" spans="1:15">
      <c r="A262" t="s">
        <v>6</v>
      </c>
      <c r="B262" t="s">
        <v>271</v>
      </c>
      <c r="C262" t="s">
        <v>1073</v>
      </c>
      <c r="D262" t="s">
        <v>811</v>
      </c>
      <c r="E262" t="s">
        <v>5</v>
      </c>
      <c r="F262" s="3">
        <v>2.9916666666666667</v>
      </c>
      <c r="G262" s="10">
        <f>VLOOKUP(Tabla1[[#This Row],[Código Unificador]],PRECIOS_COMPETENCIA!B:D,3,FALSE)</f>
        <v>19.369900000000001</v>
      </c>
      <c r="H262" s="10">
        <f>Tabla1[[#This Row],[PVP Competencia]]*0.98</f>
        <v>18.982502</v>
      </c>
      <c r="I262" s="10">
        <f>Tabla1[[#This Row],[Precio Lista CDR]]*0.8</f>
        <v>15.186001600000001</v>
      </c>
      <c r="J262" s="10">
        <f>Tabla1[[#This Row],[Precio Lista CDR]]*0.7</f>
        <v>13.287751399999999</v>
      </c>
      <c r="K262" s="10">
        <f>Tabla1[[#This Row],[Precio Lista CDR]]*0.6</f>
        <v>11.3895012</v>
      </c>
      <c r="L262" s="12">
        <f>(Tabla1[[#This Row],[Precio Lista CDR]]-Tabla1[[#This Row],[PrecioFábrica]])/Tabla1[[#This Row],[Precio Lista CDR]]</f>
        <v>0.84239871716243375</v>
      </c>
      <c r="M262" s="12">
        <f>(Tabla1[[#This Row],[Lista 1 (20%)]]-Tabla1[[#This Row],[PrecioFábrica]])/Tabla1[[#This Row],[Lista 1 (20%)]]</f>
        <v>0.80299839645304216</v>
      </c>
      <c r="N262" s="12">
        <f>(Tabla1[[#This Row],[Lista 2 (30%)]]-Tabla1[[#This Row],[PrecioFábrica]])/Tabla1[[#This Row],[Lista 2 (30%)]]</f>
        <v>0.77485531023204823</v>
      </c>
      <c r="O262" s="12">
        <f>(Tabla1[[#This Row],[Lista 3 (40%)]]-Tabla1[[#This Row],[PrecioFábrica]])/Tabla1[[#This Row],[Lista 3 (40%)]]</f>
        <v>0.73733119527072288</v>
      </c>
    </row>
    <row r="263" spans="1:15">
      <c r="A263" t="s">
        <v>6</v>
      </c>
      <c r="B263" t="s">
        <v>272</v>
      </c>
      <c r="C263" t="s">
        <v>1074</v>
      </c>
      <c r="D263" t="s">
        <v>811</v>
      </c>
      <c r="E263" t="s">
        <v>5</v>
      </c>
      <c r="F263" s="3">
        <v>2.6916666666666669</v>
      </c>
      <c r="G263" s="10">
        <f>VLOOKUP(Tabla1[[#This Row],[Código Unificador]],PRECIOS_COMPETENCIA!B:D,3,FALSE)</f>
        <v>18.430300000000003</v>
      </c>
      <c r="H263" s="10">
        <f>Tabla1[[#This Row],[PVP Competencia]]*0.98</f>
        <v>18.061694000000003</v>
      </c>
      <c r="I263" s="10">
        <f>Tabla1[[#This Row],[Precio Lista CDR]]*0.8</f>
        <v>14.449355200000003</v>
      </c>
      <c r="J263" s="10">
        <f>Tabla1[[#This Row],[Precio Lista CDR]]*0.7</f>
        <v>12.643185800000001</v>
      </c>
      <c r="K263" s="10">
        <f>Tabla1[[#This Row],[Precio Lista CDR]]*0.6</f>
        <v>10.837016400000001</v>
      </c>
      <c r="L263" s="12">
        <f>(Tabla1[[#This Row],[Precio Lista CDR]]-Tabla1[[#This Row],[PrecioFábrica]])/Tabla1[[#This Row],[Precio Lista CDR]]</f>
        <v>0.8509737421823963</v>
      </c>
      <c r="M263" s="12">
        <f>(Tabla1[[#This Row],[Lista 1 (20%)]]-Tabla1[[#This Row],[PrecioFábrica]])/Tabla1[[#This Row],[Lista 1 (20%)]]</f>
        <v>0.81371717772799534</v>
      </c>
      <c r="N263" s="12">
        <f>(Tabla1[[#This Row],[Lista 2 (30%)]]-Tabla1[[#This Row],[PrecioFábrica]])/Tabla1[[#This Row],[Lista 2 (30%)]]</f>
        <v>0.78710534597485182</v>
      </c>
      <c r="O263" s="12">
        <f>(Tabla1[[#This Row],[Lista 3 (40%)]]-Tabla1[[#This Row],[PrecioFábrica]])/Tabla1[[#This Row],[Lista 3 (40%)]]</f>
        <v>0.75162290363732709</v>
      </c>
    </row>
    <row r="264" spans="1:15">
      <c r="A264" t="s">
        <v>9</v>
      </c>
      <c r="B264" t="s">
        <v>273</v>
      </c>
      <c r="C264" t="s">
        <v>1075</v>
      </c>
      <c r="D264" t="s">
        <v>811</v>
      </c>
      <c r="E264" t="s">
        <v>5</v>
      </c>
      <c r="F264" s="3">
        <v>21.85</v>
      </c>
      <c r="G264" s="10">
        <f>VLOOKUP(Tabla1[[#This Row],[Código Unificador]],PRECIOS_COMPETENCIA!B:D,3,FALSE)</f>
        <v>75.265950000000018</v>
      </c>
      <c r="H264" s="10">
        <f>Tabla1[[#This Row],[PVP Competencia]]*0.98</f>
        <v>73.760631000000018</v>
      </c>
      <c r="I264" s="10">
        <f>Tabla1[[#This Row],[Precio Lista CDR]]*0.8</f>
        <v>59.008504800000019</v>
      </c>
      <c r="J264" s="10">
        <f>Tabla1[[#This Row],[Precio Lista CDR]]*0.7</f>
        <v>51.632441700000008</v>
      </c>
      <c r="K264" s="10">
        <f>Tabla1[[#This Row],[Precio Lista CDR]]*0.6</f>
        <v>44.256378600000012</v>
      </c>
      <c r="L264" s="12">
        <f>(Tabla1[[#This Row],[Precio Lista CDR]]-Tabla1[[#This Row],[PrecioFábrica]])/Tabla1[[#This Row],[Precio Lista CDR]]</f>
        <v>0.70377151464444498</v>
      </c>
      <c r="M264" s="12">
        <f>(Tabla1[[#This Row],[Lista 1 (20%)]]-Tabla1[[#This Row],[PrecioFábrica]])/Tabla1[[#This Row],[Lista 1 (20%)]]</f>
        <v>0.62971439330555623</v>
      </c>
      <c r="N264" s="12">
        <f>(Tabla1[[#This Row],[Lista 2 (30%)]]-Tabla1[[#This Row],[PrecioFábrica]])/Tabla1[[#This Row],[Lista 2 (30%)]]</f>
        <v>0.57681644949206423</v>
      </c>
      <c r="O264" s="12">
        <f>(Tabla1[[#This Row],[Lista 3 (40%)]]-Tabla1[[#This Row],[PrecioFábrica]])/Tabla1[[#This Row],[Lista 3 (40%)]]</f>
        <v>0.50628585774074164</v>
      </c>
    </row>
    <row r="265" spans="1:15">
      <c r="A265" t="s">
        <v>6</v>
      </c>
      <c r="B265" t="s">
        <v>274</v>
      </c>
      <c r="C265" t="s">
        <v>1076</v>
      </c>
      <c r="D265" t="s">
        <v>811</v>
      </c>
      <c r="E265" t="s">
        <v>5</v>
      </c>
      <c r="F265" s="3">
        <v>20.575000000000003</v>
      </c>
      <c r="G265" s="10">
        <f>VLOOKUP(Tabla1[[#This Row],[Código Unificador]],PRECIOS_COMPETENCIA!B:D,3,FALSE)</f>
        <v>72.054200000000009</v>
      </c>
      <c r="H265" s="10">
        <f>Tabla1[[#This Row],[PVP Competencia]]*0.98</f>
        <v>70.613116000000005</v>
      </c>
      <c r="I265" s="10">
        <f>Tabla1[[#This Row],[Precio Lista CDR]]*0.8</f>
        <v>56.490492800000006</v>
      </c>
      <c r="J265" s="10">
        <f>Tabla1[[#This Row],[Precio Lista CDR]]*0.7</f>
        <v>49.429181200000002</v>
      </c>
      <c r="K265" s="10">
        <f>Tabla1[[#This Row],[Precio Lista CDR]]*0.6</f>
        <v>42.367869599999999</v>
      </c>
      <c r="L265" s="12">
        <f>(Tabla1[[#This Row],[Precio Lista CDR]]-Tabla1[[#This Row],[PrecioFábrica]])/Tabla1[[#This Row],[Precio Lista CDR]]</f>
        <v>0.70862353673784906</v>
      </c>
      <c r="M265" s="12">
        <f>(Tabla1[[#This Row],[Lista 1 (20%)]]-Tabla1[[#This Row],[PrecioFábrica]])/Tabla1[[#This Row],[Lista 1 (20%)]]</f>
        <v>0.63577942092231132</v>
      </c>
      <c r="N265" s="12">
        <f>(Tabla1[[#This Row],[Lista 2 (30%)]]-Tabla1[[#This Row],[PrecioFábrica]])/Tabla1[[#This Row],[Lista 2 (30%)]]</f>
        <v>0.58374790962549872</v>
      </c>
      <c r="O265" s="12">
        <f>(Tabla1[[#This Row],[Lista 3 (40%)]]-Tabla1[[#This Row],[PrecioFábrica]])/Tabla1[[#This Row],[Lista 3 (40%)]]</f>
        <v>0.51437256122974839</v>
      </c>
    </row>
    <row r="266" spans="1:15">
      <c r="A266" t="s">
        <v>6</v>
      </c>
      <c r="B266" t="s">
        <v>275</v>
      </c>
      <c r="C266" t="s">
        <v>1077</v>
      </c>
      <c r="D266" t="s">
        <v>811</v>
      </c>
      <c r="E266" t="s">
        <v>5</v>
      </c>
      <c r="F266" s="3">
        <v>2.6583333333333332</v>
      </c>
      <c r="G266" s="10">
        <f>VLOOKUP(Tabla1[[#This Row],[Código Unificador]],PRECIOS_COMPETENCIA!B:D,3,FALSE)</f>
        <v>18.248808333333333</v>
      </c>
      <c r="H266" s="10">
        <f>Tabla1[[#This Row],[PVP Competencia]]*0.98</f>
        <v>17.883832166666664</v>
      </c>
      <c r="I266" s="10">
        <f>Tabla1[[#This Row],[Precio Lista CDR]]*0.8</f>
        <v>14.307065733333332</v>
      </c>
      <c r="J266" s="10">
        <f>Tabla1[[#This Row],[Precio Lista CDR]]*0.7</f>
        <v>12.518682516666665</v>
      </c>
      <c r="K266" s="10">
        <f>Tabla1[[#This Row],[Precio Lista CDR]]*0.6</f>
        <v>10.730299299999999</v>
      </c>
      <c r="L266" s="12">
        <f>(Tabla1[[#This Row],[Precio Lista CDR]]-Tabla1[[#This Row],[PrecioFábrica]])/Tabla1[[#This Row],[Precio Lista CDR]]</f>
        <v>0.85135549760480589</v>
      </c>
      <c r="M266" s="12">
        <f>(Tabla1[[#This Row],[Lista 1 (20%)]]-Tabla1[[#This Row],[PrecioFábrica]])/Tabla1[[#This Row],[Lista 1 (20%)]]</f>
        <v>0.81419437200600731</v>
      </c>
      <c r="N266" s="12">
        <f>(Tabla1[[#This Row],[Lista 2 (30%)]]-Tabla1[[#This Row],[PrecioFábrica]])/Tabla1[[#This Row],[Lista 2 (30%)]]</f>
        <v>0.7876507108640084</v>
      </c>
      <c r="O266" s="12">
        <f>(Tabla1[[#This Row],[Lista 3 (40%)]]-Tabla1[[#This Row],[PrecioFábrica]])/Tabla1[[#This Row],[Lista 3 (40%)]]</f>
        <v>0.75225916267467641</v>
      </c>
    </row>
    <row r="267" spans="1:15">
      <c r="A267" t="s">
        <v>6</v>
      </c>
      <c r="B267" t="s">
        <v>276</v>
      </c>
      <c r="C267" t="s">
        <v>1078</v>
      </c>
      <c r="D267" t="s">
        <v>811</v>
      </c>
      <c r="E267" t="s">
        <v>5</v>
      </c>
      <c r="F267" s="3">
        <v>2.95</v>
      </c>
      <c r="G267" s="10">
        <f>VLOOKUP(Tabla1[[#This Row],[Código Unificador]],PRECIOS_COMPETENCIA!B:D,3,FALSE)</f>
        <v>18.726100000000002</v>
      </c>
      <c r="H267" s="10">
        <f>Tabla1[[#This Row],[PVP Competencia]]*0.98</f>
        <v>18.351578000000003</v>
      </c>
      <c r="I267" s="10">
        <f>Tabla1[[#This Row],[Precio Lista CDR]]*0.8</f>
        <v>14.681262400000003</v>
      </c>
      <c r="J267" s="10">
        <f>Tabla1[[#This Row],[Precio Lista CDR]]*0.7</f>
        <v>12.846104600000002</v>
      </c>
      <c r="K267" s="10">
        <f>Tabla1[[#This Row],[Precio Lista CDR]]*0.6</f>
        <v>11.010946800000001</v>
      </c>
      <c r="L267" s="12">
        <f>(Tabla1[[#This Row],[Precio Lista CDR]]-Tabla1[[#This Row],[PrecioFábrica]])/Tabla1[[#This Row],[Precio Lista CDR]]</f>
        <v>0.83925088076894538</v>
      </c>
      <c r="M267" s="12">
        <f>(Tabla1[[#This Row],[Lista 1 (20%)]]-Tabla1[[#This Row],[PrecioFábrica]])/Tabla1[[#This Row],[Lista 1 (20%)]]</f>
        <v>0.79906360096118167</v>
      </c>
      <c r="N267" s="12">
        <f>(Tabla1[[#This Row],[Lista 2 (30%)]]-Tabla1[[#This Row],[PrecioFábrica]])/Tabla1[[#This Row],[Lista 2 (30%)]]</f>
        <v>0.7703584010984933</v>
      </c>
      <c r="O267" s="12">
        <f>(Tabla1[[#This Row],[Lista 3 (40%)]]-Tabla1[[#This Row],[PrecioFábrica]])/Tabla1[[#This Row],[Lista 3 (40%)]]</f>
        <v>0.73208480128157549</v>
      </c>
    </row>
    <row r="268" spans="1:15">
      <c r="A268" t="s">
        <v>6</v>
      </c>
      <c r="B268" t="s">
        <v>277</v>
      </c>
      <c r="C268" t="s">
        <v>1079</v>
      </c>
      <c r="D268" t="s">
        <v>811</v>
      </c>
      <c r="E268" t="s">
        <v>5</v>
      </c>
      <c r="F268" s="3">
        <v>2.8166666666666669</v>
      </c>
      <c r="G268" s="10">
        <f>VLOOKUP(Tabla1[[#This Row],[Código Unificador]],PRECIOS_COMPETENCIA!B:D,3,FALSE)</f>
        <v>18.495066666666666</v>
      </c>
      <c r="H268" s="10">
        <f>Tabla1[[#This Row],[PVP Competencia]]*0.98</f>
        <v>18.125165333333332</v>
      </c>
      <c r="I268" s="10">
        <f>Tabla1[[#This Row],[Precio Lista CDR]]*0.8</f>
        <v>14.500132266666666</v>
      </c>
      <c r="J268" s="10">
        <f>Tabla1[[#This Row],[Precio Lista CDR]]*0.7</f>
        <v>12.687615733333331</v>
      </c>
      <c r="K268" s="10">
        <f>Tabla1[[#This Row],[Precio Lista CDR]]*0.6</f>
        <v>10.875099199999999</v>
      </c>
      <c r="L268" s="12">
        <f>(Tabla1[[#This Row],[Precio Lista CDR]]-Tabla1[[#This Row],[PrecioFábrica]])/Tabla1[[#This Row],[Precio Lista CDR]]</f>
        <v>0.84459911869125759</v>
      </c>
      <c r="M268" s="12">
        <f>(Tabla1[[#This Row],[Lista 1 (20%)]]-Tabla1[[#This Row],[PrecioFábrica]])/Tabla1[[#This Row],[Lista 1 (20%)]]</f>
        <v>0.80574889836407193</v>
      </c>
      <c r="N268" s="12">
        <f>(Tabla1[[#This Row],[Lista 2 (30%)]]-Tabla1[[#This Row],[PrecioFábrica]])/Tabla1[[#This Row],[Lista 2 (30%)]]</f>
        <v>0.77799874098751076</v>
      </c>
      <c r="O268" s="12">
        <f>(Tabla1[[#This Row],[Lista 3 (40%)]]-Tabla1[[#This Row],[PrecioFábrica]])/Tabla1[[#This Row],[Lista 3 (40%)]]</f>
        <v>0.74099853115209591</v>
      </c>
    </row>
    <row r="269" spans="1:15">
      <c r="A269" t="s">
        <v>6</v>
      </c>
      <c r="B269" t="s">
        <v>278</v>
      </c>
      <c r="C269" t="s">
        <v>1080</v>
      </c>
      <c r="D269" t="s">
        <v>811</v>
      </c>
      <c r="E269" t="s">
        <v>5</v>
      </c>
      <c r="F269" s="3">
        <v>2.7833333333333332</v>
      </c>
      <c r="G269" s="10">
        <f>VLOOKUP(Tabla1[[#This Row],[Código Unificador]],PRECIOS_COMPETENCIA!B:D,3,FALSE)</f>
        <v>18.55596666666667</v>
      </c>
      <c r="H269" s="10">
        <f>Tabla1[[#This Row],[PVP Competencia]]*0.98</f>
        <v>18.184847333333337</v>
      </c>
      <c r="I269" s="10">
        <f>Tabla1[[#This Row],[Precio Lista CDR]]*0.8</f>
        <v>14.547877866666671</v>
      </c>
      <c r="J269" s="10">
        <f>Tabla1[[#This Row],[Precio Lista CDR]]*0.7</f>
        <v>12.729393133333335</v>
      </c>
      <c r="K269" s="10">
        <f>Tabla1[[#This Row],[Precio Lista CDR]]*0.6</f>
        <v>10.910908400000002</v>
      </c>
      <c r="L269" s="12">
        <f>(Tabla1[[#This Row],[Precio Lista CDR]]-Tabla1[[#This Row],[PrecioFábrica]])/Tabla1[[#This Row],[Precio Lista CDR]]</f>
        <v>0.84694216661190191</v>
      </c>
      <c r="M269" s="12">
        <f>(Tabla1[[#This Row],[Lista 1 (20%)]]-Tabla1[[#This Row],[PrecioFábrica]])/Tabla1[[#This Row],[Lista 1 (20%)]]</f>
        <v>0.80867770826487739</v>
      </c>
      <c r="N269" s="12">
        <f>(Tabla1[[#This Row],[Lista 2 (30%)]]-Tabla1[[#This Row],[PrecioFábrica]])/Tabla1[[#This Row],[Lista 2 (30%)]]</f>
        <v>0.78134595230271708</v>
      </c>
      <c r="O269" s="12">
        <f>(Tabla1[[#This Row],[Lista 3 (40%)]]-Tabla1[[#This Row],[PrecioFábrica]])/Tabla1[[#This Row],[Lista 3 (40%)]]</f>
        <v>0.7449036110198366</v>
      </c>
    </row>
    <row r="270" spans="1:15">
      <c r="A270" t="s">
        <v>7</v>
      </c>
      <c r="B270" t="s">
        <v>279</v>
      </c>
      <c r="C270" t="s">
        <v>1081</v>
      </c>
      <c r="D270" t="s">
        <v>811</v>
      </c>
      <c r="E270" t="s">
        <v>5</v>
      </c>
      <c r="F270" s="3">
        <v>2.8833333333333333</v>
      </c>
      <c r="G270" s="10">
        <f>VLOOKUP(Tabla1[[#This Row],[Código Unificador]],PRECIOS_COMPETENCIA!B:D,3,FALSE)</f>
        <v>18.696133333333336</v>
      </c>
      <c r="H270" s="10">
        <f>Tabla1[[#This Row],[PVP Competencia]]*0.98</f>
        <v>18.32221066666667</v>
      </c>
      <c r="I270" s="10">
        <f>Tabla1[[#This Row],[Precio Lista CDR]]*0.8</f>
        <v>14.657768533333337</v>
      </c>
      <c r="J270" s="10">
        <f>Tabla1[[#This Row],[Precio Lista CDR]]*0.7</f>
        <v>12.825547466666668</v>
      </c>
      <c r="K270" s="10">
        <f>Tabla1[[#This Row],[Precio Lista CDR]]*0.6</f>
        <v>10.993326400000003</v>
      </c>
      <c r="L270" s="12">
        <f>(Tabla1[[#This Row],[Precio Lista CDR]]-Tabla1[[#This Row],[PrecioFábrica]])/Tabla1[[#This Row],[Precio Lista CDR]]</f>
        <v>0.8426317988702674</v>
      </c>
      <c r="M270" s="12">
        <f>(Tabla1[[#This Row],[Lista 1 (20%)]]-Tabla1[[#This Row],[PrecioFábrica]])/Tabla1[[#This Row],[Lista 1 (20%)]]</f>
        <v>0.8032897485878342</v>
      </c>
      <c r="N270" s="12">
        <f>(Tabla1[[#This Row],[Lista 2 (30%)]]-Tabla1[[#This Row],[PrecioFábrica]])/Tabla1[[#This Row],[Lista 2 (30%)]]</f>
        <v>0.77518828410038199</v>
      </c>
      <c r="O270" s="12">
        <f>(Tabla1[[#This Row],[Lista 3 (40%)]]-Tabla1[[#This Row],[PrecioFábrica]])/Tabla1[[#This Row],[Lista 3 (40%)]]</f>
        <v>0.73771966478377904</v>
      </c>
    </row>
    <row r="271" spans="1:15">
      <c r="A271" t="s">
        <v>6</v>
      </c>
      <c r="B271" t="s">
        <v>280</v>
      </c>
      <c r="C271" t="s">
        <v>1082</v>
      </c>
      <c r="D271" t="s">
        <v>811</v>
      </c>
      <c r="E271" t="s">
        <v>5</v>
      </c>
      <c r="F271" s="3">
        <v>3.1</v>
      </c>
      <c r="G271" s="10">
        <f>VLOOKUP(Tabla1[[#This Row],[Código Unificador]],PRECIOS_COMPETENCIA!B:D,3,FALSE)</f>
        <v>19.169800000000002</v>
      </c>
      <c r="H271" s="10">
        <f>Tabla1[[#This Row],[PVP Competencia]]*0.98</f>
        <v>18.786404000000001</v>
      </c>
      <c r="I271" s="10">
        <f>Tabla1[[#This Row],[Precio Lista CDR]]*0.8</f>
        <v>15.029123200000001</v>
      </c>
      <c r="J271" s="10">
        <f>Tabla1[[#This Row],[Precio Lista CDR]]*0.7</f>
        <v>13.150482800000001</v>
      </c>
      <c r="K271" s="10">
        <f>Tabla1[[#This Row],[Precio Lista CDR]]*0.6</f>
        <v>11.271842400000001</v>
      </c>
      <c r="L271" s="12">
        <f>(Tabla1[[#This Row],[Precio Lista CDR]]-Tabla1[[#This Row],[PrecioFábrica]])/Tabla1[[#This Row],[Precio Lista CDR]]</f>
        <v>0.83498704701549065</v>
      </c>
      <c r="M271" s="12">
        <f>(Tabla1[[#This Row],[Lista 1 (20%)]]-Tabla1[[#This Row],[PrecioFábrica]])/Tabla1[[#This Row],[Lista 1 (20%)]]</f>
        <v>0.79373380876936328</v>
      </c>
      <c r="N271" s="12">
        <f>(Tabla1[[#This Row],[Lista 2 (30%)]]-Tabla1[[#This Row],[PrecioFábrica]])/Tabla1[[#This Row],[Lista 2 (30%)]]</f>
        <v>0.76426721002212938</v>
      </c>
      <c r="O271" s="12">
        <f>(Tabla1[[#This Row],[Lista 3 (40%)]]-Tabla1[[#This Row],[PrecioFábrica]])/Tabla1[[#This Row],[Lista 3 (40%)]]</f>
        <v>0.72497841169248434</v>
      </c>
    </row>
    <row r="272" spans="1:15">
      <c r="A272" t="s">
        <v>6</v>
      </c>
      <c r="B272" t="s">
        <v>281</v>
      </c>
      <c r="C272" t="s">
        <v>1083</v>
      </c>
      <c r="D272" t="s">
        <v>811</v>
      </c>
      <c r="E272" t="s">
        <v>5</v>
      </c>
      <c r="F272" s="3">
        <v>3.1083333333333334</v>
      </c>
      <c r="G272" s="10">
        <f>VLOOKUP(Tabla1[[#This Row],[Código Unificador]],PRECIOS_COMPETENCIA!B:D,3,FALSE)</f>
        <v>19.284591666666667</v>
      </c>
      <c r="H272" s="10">
        <f>Tabla1[[#This Row],[PVP Competencia]]*0.98</f>
        <v>18.898899833333335</v>
      </c>
      <c r="I272" s="10">
        <f>Tabla1[[#This Row],[Precio Lista CDR]]*0.8</f>
        <v>15.119119866666669</v>
      </c>
      <c r="J272" s="10">
        <f>Tabla1[[#This Row],[Precio Lista CDR]]*0.7</f>
        <v>13.229229883333334</v>
      </c>
      <c r="K272" s="10">
        <f>Tabla1[[#This Row],[Precio Lista CDR]]*0.6</f>
        <v>11.339339900000001</v>
      </c>
      <c r="L272" s="12">
        <f>(Tabla1[[#This Row],[Precio Lista CDR]]-Tabla1[[#This Row],[PrecioFábrica]])/Tabla1[[#This Row],[Precio Lista CDR]]</f>
        <v>0.83552834499651951</v>
      </c>
      <c r="M272" s="12">
        <f>(Tabla1[[#This Row],[Lista 1 (20%)]]-Tabla1[[#This Row],[PrecioFábrica]])/Tabla1[[#This Row],[Lista 1 (20%)]]</f>
        <v>0.79441043124564947</v>
      </c>
      <c r="N272" s="12">
        <f>(Tabla1[[#This Row],[Lista 2 (30%)]]-Tabla1[[#This Row],[PrecioFábrica]])/Tabla1[[#This Row],[Lista 2 (30%)]]</f>
        <v>0.76504049285217091</v>
      </c>
      <c r="O272" s="12">
        <f>(Tabla1[[#This Row],[Lista 3 (40%)]]-Tabla1[[#This Row],[PrecioFábrica]])/Tabla1[[#This Row],[Lista 3 (40%)]]</f>
        <v>0.72588057499419945</v>
      </c>
    </row>
    <row r="273" spans="1:15">
      <c r="A273" t="s">
        <v>6</v>
      </c>
      <c r="B273" t="s">
        <v>282</v>
      </c>
      <c r="C273" t="s">
        <v>1084</v>
      </c>
      <c r="D273" t="s">
        <v>811</v>
      </c>
      <c r="E273" t="s">
        <v>5</v>
      </c>
      <c r="F273" s="3">
        <v>3.4583333333333339</v>
      </c>
      <c r="G273" s="10">
        <f>VLOOKUP(Tabla1[[#This Row],[Código Unificador]],PRECIOS_COMPETENCIA!B:D,3,FALSE)</f>
        <v>20.630916666666668</v>
      </c>
      <c r="H273" s="10">
        <f>Tabla1[[#This Row],[PVP Competencia]]*0.98</f>
        <v>20.218298333333333</v>
      </c>
      <c r="I273" s="10">
        <f>Tabla1[[#This Row],[Precio Lista CDR]]*0.8</f>
        <v>16.174638666666667</v>
      </c>
      <c r="J273" s="10">
        <f>Tabla1[[#This Row],[Precio Lista CDR]]*0.7</f>
        <v>14.152808833333332</v>
      </c>
      <c r="K273" s="10">
        <f>Tabla1[[#This Row],[Precio Lista CDR]]*0.6</f>
        <v>12.130979</v>
      </c>
      <c r="L273" s="12">
        <f>(Tabla1[[#This Row],[Precio Lista CDR]]-Tabla1[[#This Row],[PrecioFábrica]])/Tabla1[[#This Row],[Precio Lista CDR]]</f>
        <v>0.82895032626797893</v>
      </c>
      <c r="M273" s="12">
        <f>(Tabla1[[#This Row],[Lista 1 (20%)]]-Tabla1[[#This Row],[PrecioFábrica]])/Tabla1[[#This Row],[Lista 1 (20%)]]</f>
        <v>0.7861879078349735</v>
      </c>
      <c r="N273" s="12">
        <f>(Tabla1[[#This Row],[Lista 2 (30%)]]-Tabla1[[#This Row],[PrecioFábrica]])/Tabla1[[#This Row],[Lista 2 (30%)]]</f>
        <v>0.75564332323996974</v>
      </c>
      <c r="O273" s="12">
        <f>(Tabla1[[#This Row],[Lista 3 (40%)]]-Tabla1[[#This Row],[PrecioFábrica]])/Tabla1[[#This Row],[Lista 3 (40%)]]</f>
        <v>0.71491721044663137</v>
      </c>
    </row>
    <row r="274" spans="1:15">
      <c r="A274" t="s">
        <v>6</v>
      </c>
      <c r="B274" t="s">
        <v>283</v>
      </c>
      <c r="C274" t="s">
        <v>1085</v>
      </c>
      <c r="D274" t="s">
        <v>811</v>
      </c>
      <c r="E274" t="s">
        <v>5</v>
      </c>
      <c r="F274" s="3">
        <v>3.4083333333333332</v>
      </c>
      <c r="G274" s="10">
        <f>VLOOKUP(Tabla1[[#This Row],[Código Unificador]],PRECIOS_COMPETENCIA!B:D,3,FALSE)</f>
        <v>20.081849999999999</v>
      </c>
      <c r="H274" s="10">
        <f>Tabla1[[#This Row],[PVP Competencia]]*0.98</f>
        <v>19.680212999999998</v>
      </c>
      <c r="I274" s="10">
        <f>Tabla1[[#This Row],[Precio Lista CDR]]*0.8</f>
        <v>15.7441704</v>
      </c>
      <c r="J274" s="10">
        <f>Tabla1[[#This Row],[Precio Lista CDR]]*0.7</f>
        <v>13.776149099999998</v>
      </c>
      <c r="K274" s="10">
        <f>Tabla1[[#This Row],[Precio Lista CDR]]*0.6</f>
        <v>11.808127799999999</v>
      </c>
      <c r="L274" s="12">
        <f>(Tabla1[[#This Row],[Precio Lista CDR]]-Tabla1[[#This Row],[PrecioFábrica]])/Tabla1[[#This Row],[Precio Lista CDR]]</f>
        <v>0.82681420504273329</v>
      </c>
      <c r="M274" s="12">
        <f>(Tabla1[[#This Row],[Lista 1 (20%)]]-Tabla1[[#This Row],[PrecioFábrica]])/Tabla1[[#This Row],[Lista 1 (20%)]]</f>
        <v>0.78351775630341669</v>
      </c>
      <c r="N274" s="12">
        <f>(Tabla1[[#This Row],[Lista 2 (30%)]]-Tabla1[[#This Row],[PrecioFábrica]])/Tabla1[[#This Row],[Lista 2 (30%)]]</f>
        <v>0.75259172148961906</v>
      </c>
      <c r="O274" s="12">
        <f>(Tabla1[[#This Row],[Lista 3 (40%)]]-Tabla1[[#This Row],[PrecioFábrica]])/Tabla1[[#This Row],[Lista 3 (40%)]]</f>
        <v>0.71135700840455562</v>
      </c>
    </row>
    <row r="275" spans="1:15">
      <c r="A275" t="s">
        <v>6</v>
      </c>
      <c r="B275" t="s">
        <v>284</v>
      </c>
      <c r="C275" t="s">
        <v>1086</v>
      </c>
      <c r="D275" t="s">
        <v>811</v>
      </c>
      <c r="E275" t="s">
        <v>5</v>
      </c>
      <c r="F275" s="3">
        <v>3.4333333333333336</v>
      </c>
      <c r="G275" s="10">
        <f>VLOOKUP(Tabla1[[#This Row],[Código Unificador]],PRECIOS_COMPETENCIA!B:D,3,FALSE)</f>
        <v>20.155799999999999</v>
      </c>
      <c r="H275" s="10">
        <f>Tabla1[[#This Row],[PVP Competencia]]*0.98</f>
        <v>19.752683999999999</v>
      </c>
      <c r="I275" s="10">
        <f>Tabla1[[#This Row],[Precio Lista CDR]]*0.8</f>
        <v>15.8021472</v>
      </c>
      <c r="J275" s="10">
        <f>Tabla1[[#This Row],[Precio Lista CDR]]*0.7</f>
        <v>13.826878799999998</v>
      </c>
      <c r="K275" s="10">
        <f>Tabla1[[#This Row],[Precio Lista CDR]]*0.6</f>
        <v>11.851610399999998</v>
      </c>
      <c r="L275" s="12">
        <f>(Tabla1[[#This Row],[Precio Lista CDR]]-Tabla1[[#This Row],[PrecioFábrica]])/Tabla1[[#This Row],[Precio Lista CDR]]</f>
        <v>0.82618395893270336</v>
      </c>
      <c r="M275" s="12">
        <f>(Tabla1[[#This Row],[Lista 1 (20%)]]-Tabla1[[#This Row],[PrecioFábrica]])/Tabla1[[#This Row],[Lista 1 (20%)]]</f>
        <v>0.78272994866587919</v>
      </c>
      <c r="N275" s="12">
        <f>(Tabla1[[#This Row],[Lista 2 (30%)]]-Tabla1[[#This Row],[PrecioFábrica]])/Tabla1[[#This Row],[Lista 2 (30%)]]</f>
        <v>0.75169136990386187</v>
      </c>
      <c r="O275" s="12">
        <f>(Tabla1[[#This Row],[Lista 3 (40%)]]-Tabla1[[#This Row],[PrecioFábrica]])/Tabla1[[#This Row],[Lista 3 (40%)]]</f>
        <v>0.71030659822117215</v>
      </c>
    </row>
    <row r="276" spans="1:15">
      <c r="A276" t="s">
        <v>9</v>
      </c>
      <c r="B276" t="s">
        <v>285</v>
      </c>
      <c r="C276" t="s">
        <v>1087</v>
      </c>
      <c r="D276" t="s">
        <v>811</v>
      </c>
      <c r="E276" t="s">
        <v>5</v>
      </c>
      <c r="F276" s="3">
        <v>26.416666666666668</v>
      </c>
      <c r="G276" s="10">
        <f>VLOOKUP(Tabla1[[#This Row],[Código Unificador]],PRECIOS_COMPETENCIA!B:D,3,FALSE)</f>
        <v>91.204833333333355</v>
      </c>
      <c r="H276" s="10">
        <f>Tabla1[[#This Row],[PVP Competencia]]*0.98</f>
        <v>89.380736666666692</v>
      </c>
      <c r="I276" s="10">
        <f>Tabla1[[#This Row],[Precio Lista CDR]]*0.8</f>
        <v>71.504589333333357</v>
      </c>
      <c r="J276" s="10">
        <f>Tabla1[[#This Row],[Precio Lista CDR]]*0.7</f>
        <v>62.566515666666682</v>
      </c>
      <c r="K276" s="10">
        <f>Tabla1[[#This Row],[Precio Lista CDR]]*0.6</f>
        <v>53.628442000000014</v>
      </c>
      <c r="L276" s="12">
        <f>(Tabla1[[#This Row],[Precio Lista CDR]]-Tabla1[[#This Row],[PrecioFábrica]])/Tabla1[[#This Row],[Precio Lista CDR]]</f>
        <v>0.70444787487952754</v>
      </c>
      <c r="M276" s="12">
        <f>(Tabla1[[#This Row],[Lista 1 (20%)]]-Tabla1[[#This Row],[PrecioFábrica]])/Tabla1[[#This Row],[Lista 1 (20%)]]</f>
        <v>0.63055984359940953</v>
      </c>
      <c r="N276" s="12">
        <f>(Tabla1[[#This Row],[Lista 2 (30%)]]-Tabla1[[#This Row],[PrecioFábrica]])/Tabla1[[#This Row],[Lista 2 (30%)]]</f>
        <v>0.57778267839932518</v>
      </c>
      <c r="O276" s="12">
        <f>(Tabla1[[#This Row],[Lista 3 (40%)]]-Tabla1[[#This Row],[PrecioFábrica]])/Tabla1[[#This Row],[Lista 3 (40%)]]</f>
        <v>0.50741312479921263</v>
      </c>
    </row>
    <row r="277" spans="1:15">
      <c r="A277" t="s">
        <v>9</v>
      </c>
      <c r="B277" t="s">
        <v>286</v>
      </c>
      <c r="C277" t="s">
        <v>1088</v>
      </c>
      <c r="D277" t="s">
        <v>811</v>
      </c>
      <c r="E277" t="s">
        <v>5</v>
      </c>
      <c r="F277" s="3">
        <v>35.141666666666673</v>
      </c>
      <c r="G277" s="10">
        <f>VLOOKUP(Tabla1[[#This Row],[Código Unificador]],PRECIOS_COMPETENCIA!B:D,3,FALSE)</f>
        <v>124.96815833333336</v>
      </c>
      <c r="H277" s="10">
        <f>Tabla1[[#This Row],[PVP Competencia]]*0.98</f>
        <v>122.46879516666669</v>
      </c>
      <c r="I277" s="10">
        <f>Tabla1[[#This Row],[Precio Lista CDR]]*0.8</f>
        <v>97.975036133333361</v>
      </c>
      <c r="J277" s="10">
        <f>Tabla1[[#This Row],[Precio Lista CDR]]*0.7</f>
        <v>85.728156616666681</v>
      </c>
      <c r="K277" s="10">
        <f>Tabla1[[#This Row],[Precio Lista CDR]]*0.6</f>
        <v>73.481277100000014</v>
      </c>
      <c r="L277" s="12">
        <f>(Tabla1[[#This Row],[Precio Lista CDR]]-Tabla1[[#This Row],[PrecioFábrica]])/Tabla1[[#This Row],[Precio Lista CDR]]</f>
        <v>0.7130561575392107</v>
      </c>
      <c r="M277" s="12">
        <f>(Tabla1[[#This Row],[Lista 1 (20%)]]-Tabla1[[#This Row],[PrecioFábrica]])/Tabla1[[#This Row],[Lista 1 (20%)]]</f>
        <v>0.64132019692401354</v>
      </c>
      <c r="N277" s="12">
        <f>(Tabla1[[#This Row],[Lista 2 (30%)]]-Tabla1[[#This Row],[PrecioFábrica]])/Tabla1[[#This Row],[Lista 2 (30%)]]</f>
        <v>0.59008022505601532</v>
      </c>
      <c r="O277" s="12">
        <f>(Tabla1[[#This Row],[Lista 3 (40%)]]-Tabla1[[#This Row],[PrecioFábrica]])/Tabla1[[#This Row],[Lista 3 (40%)]]</f>
        <v>0.52176026256535124</v>
      </c>
    </row>
    <row r="278" spans="1:15">
      <c r="A278" t="s">
        <v>9</v>
      </c>
      <c r="B278" t="s">
        <v>287</v>
      </c>
      <c r="C278" t="s">
        <v>1089</v>
      </c>
      <c r="D278" t="s">
        <v>811</v>
      </c>
      <c r="E278" t="s">
        <v>5</v>
      </c>
      <c r="F278" s="3">
        <v>31.974999999999998</v>
      </c>
      <c r="G278" s="10">
        <f>VLOOKUP(Tabla1[[#This Row],[Código Unificador]],PRECIOS_COMPETENCIA!B:D,3,FALSE)</f>
        <v>110.14570000000002</v>
      </c>
      <c r="H278" s="10">
        <f>Tabla1[[#This Row],[PVP Competencia]]*0.98</f>
        <v>107.94278600000001</v>
      </c>
      <c r="I278" s="10">
        <f>Tabla1[[#This Row],[Precio Lista CDR]]*0.8</f>
        <v>86.354228800000016</v>
      </c>
      <c r="J278" s="10">
        <f>Tabla1[[#This Row],[Precio Lista CDR]]*0.7</f>
        <v>75.559950200000003</v>
      </c>
      <c r="K278" s="10">
        <f>Tabla1[[#This Row],[Precio Lista CDR]]*0.6</f>
        <v>64.765671600000005</v>
      </c>
      <c r="L278" s="12">
        <f>(Tabla1[[#This Row],[Precio Lista CDR]]-Tabla1[[#This Row],[PrecioFábrica]])/Tabla1[[#This Row],[Precio Lista CDR]]</f>
        <v>0.70377825897508339</v>
      </c>
      <c r="M278" s="12">
        <f>(Tabla1[[#This Row],[Lista 1 (20%)]]-Tabla1[[#This Row],[PrecioFábrica]])/Tabla1[[#This Row],[Lista 1 (20%)]]</f>
        <v>0.62972282371885435</v>
      </c>
      <c r="N278" s="12">
        <f>(Tabla1[[#This Row],[Lista 2 (30%)]]-Tabla1[[#This Row],[PrecioFábrica]])/Tabla1[[#This Row],[Lista 2 (30%)]]</f>
        <v>0.57682608425011916</v>
      </c>
      <c r="O278" s="12">
        <f>(Tabla1[[#This Row],[Lista 3 (40%)]]-Tabla1[[#This Row],[PrecioFábrica]])/Tabla1[[#This Row],[Lista 3 (40%)]]</f>
        <v>0.50629709829180569</v>
      </c>
    </row>
    <row r="279" spans="1:15">
      <c r="A279" t="s">
        <v>6</v>
      </c>
      <c r="B279" t="s">
        <v>288</v>
      </c>
      <c r="C279" t="s">
        <v>1090</v>
      </c>
      <c r="D279" t="s">
        <v>811</v>
      </c>
      <c r="E279" t="s">
        <v>5</v>
      </c>
      <c r="F279" s="3">
        <v>23.941666666666666</v>
      </c>
      <c r="G279" s="10">
        <f>VLOOKUP(Tabla1[[#This Row],[Código Unificador]],PRECIOS_COMPETENCIA!B:D,3,FALSE)</f>
        <v>83.596683333333331</v>
      </c>
      <c r="H279" s="10">
        <f>Tabla1[[#This Row],[PVP Competencia]]*0.98</f>
        <v>81.924749666666656</v>
      </c>
      <c r="I279" s="10">
        <f>Tabla1[[#This Row],[Precio Lista CDR]]*0.8</f>
        <v>65.539799733333325</v>
      </c>
      <c r="J279" s="10">
        <f>Tabla1[[#This Row],[Precio Lista CDR]]*0.7</f>
        <v>57.347324766666652</v>
      </c>
      <c r="K279" s="10">
        <f>Tabla1[[#This Row],[Precio Lista CDR]]*0.6</f>
        <v>49.154849799999994</v>
      </c>
      <c r="L279" s="12">
        <f>(Tabla1[[#This Row],[Precio Lista CDR]]-Tabla1[[#This Row],[PrecioFábrica]])/Tabla1[[#This Row],[Precio Lista CDR]]</f>
        <v>0.7077602706864542</v>
      </c>
      <c r="M279" s="12">
        <f>(Tabla1[[#This Row],[Lista 1 (20%)]]-Tabla1[[#This Row],[PrecioFábrica]])/Tabla1[[#This Row],[Lista 1 (20%)]]</f>
        <v>0.63470033835806783</v>
      </c>
      <c r="N279" s="12">
        <f>(Tabla1[[#This Row],[Lista 2 (30%)]]-Tabla1[[#This Row],[PrecioFábrica]])/Tabla1[[#This Row],[Lista 2 (30%)]]</f>
        <v>0.58251467240922017</v>
      </c>
      <c r="O279" s="12">
        <f>(Tabla1[[#This Row],[Lista 3 (40%)]]-Tabla1[[#This Row],[PrecioFábrica]])/Tabla1[[#This Row],[Lista 3 (40%)]]</f>
        <v>0.51293378447742366</v>
      </c>
    </row>
    <row r="280" spans="1:15">
      <c r="A280" t="s">
        <v>6</v>
      </c>
      <c r="B280" t="s">
        <v>289</v>
      </c>
      <c r="C280" t="s">
        <v>1091</v>
      </c>
      <c r="D280" t="s">
        <v>811</v>
      </c>
      <c r="E280" t="s">
        <v>5</v>
      </c>
      <c r="F280" s="3">
        <v>7.5</v>
      </c>
      <c r="G280" s="10">
        <f>VLOOKUP(Tabla1[[#This Row],[Código Unificador]],PRECIOS_COMPETENCIA!B:D,3,FALSE)</f>
        <v>33.49</v>
      </c>
      <c r="H280" s="10">
        <f>Tabla1[[#This Row],[PVP Competencia]]*0.98</f>
        <v>32.8202</v>
      </c>
      <c r="I280" s="10">
        <f>Tabla1[[#This Row],[Precio Lista CDR]]*0.8</f>
        <v>26.256160000000001</v>
      </c>
      <c r="J280" s="10">
        <f>Tabla1[[#This Row],[Precio Lista CDR]]*0.7</f>
        <v>22.974139999999998</v>
      </c>
      <c r="K280" s="10">
        <f>Tabla1[[#This Row],[Precio Lista CDR]]*0.6</f>
        <v>19.692119999999999</v>
      </c>
      <c r="L280" s="12">
        <f>(Tabla1[[#This Row],[Precio Lista CDR]]-Tabla1[[#This Row],[PrecioFábrica]])/Tabla1[[#This Row],[Precio Lista CDR]]</f>
        <v>0.77148219693968956</v>
      </c>
      <c r="M280" s="12">
        <f>(Tabla1[[#This Row],[Lista 1 (20%)]]-Tabla1[[#This Row],[PrecioFábrica]])/Tabla1[[#This Row],[Lista 1 (20%)]]</f>
        <v>0.71435274617461197</v>
      </c>
      <c r="N280" s="12">
        <f>(Tabla1[[#This Row],[Lista 2 (30%)]]-Tabla1[[#This Row],[PrecioFábrica]])/Tabla1[[#This Row],[Lista 2 (30%)]]</f>
        <v>0.673545995628128</v>
      </c>
      <c r="O280" s="12">
        <f>(Tabla1[[#This Row],[Lista 3 (40%)]]-Tabla1[[#This Row],[PrecioFábrica]])/Tabla1[[#This Row],[Lista 3 (40%)]]</f>
        <v>0.6191369948994826</v>
      </c>
    </row>
    <row r="281" spans="1:15">
      <c r="A281" t="s">
        <v>6</v>
      </c>
      <c r="B281" t="s">
        <v>290</v>
      </c>
      <c r="C281" t="s">
        <v>1092</v>
      </c>
      <c r="D281" t="s">
        <v>811</v>
      </c>
      <c r="E281" t="s">
        <v>5</v>
      </c>
      <c r="F281" s="3">
        <v>7.9583333333333339</v>
      </c>
      <c r="G281" s="10">
        <f>VLOOKUP(Tabla1[[#This Row],[Código Unificador]],PRECIOS_COMPETENCIA!B:D,3,FALSE)</f>
        <v>33.771541666666671</v>
      </c>
      <c r="H281" s="10">
        <f>Tabla1[[#This Row],[PVP Competencia]]*0.98</f>
        <v>33.096110833333334</v>
      </c>
      <c r="I281" s="10">
        <f>Tabla1[[#This Row],[Precio Lista CDR]]*0.8</f>
        <v>26.476888666666667</v>
      </c>
      <c r="J281" s="10">
        <f>Tabla1[[#This Row],[Precio Lista CDR]]*0.7</f>
        <v>23.167277583333334</v>
      </c>
      <c r="K281" s="10">
        <f>Tabla1[[#This Row],[Precio Lista CDR]]*0.6</f>
        <v>19.857666500000001</v>
      </c>
      <c r="L281" s="12">
        <f>(Tabla1[[#This Row],[Precio Lista CDR]]-Tabla1[[#This Row],[PrecioFábrica]])/Tabla1[[#This Row],[Precio Lista CDR]]</f>
        <v>0.75953871518589555</v>
      </c>
      <c r="M281" s="12">
        <f>(Tabla1[[#This Row],[Lista 1 (20%)]]-Tabla1[[#This Row],[PrecioFábrica]])/Tabla1[[#This Row],[Lista 1 (20%)]]</f>
        <v>0.69942339398236941</v>
      </c>
      <c r="N281" s="12">
        <f>(Tabla1[[#This Row],[Lista 2 (30%)]]-Tabla1[[#This Row],[PrecioFábrica]])/Tabla1[[#This Row],[Lista 2 (30%)]]</f>
        <v>0.65648387883699366</v>
      </c>
      <c r="O281" s="12">
        <f>(Tabla1[[#This Row],[Lista 3 (40%)]]-Tabla1[[#This Row],[PrecioFábrica]])/Tabla1[[#This Row],[Lista 3 (40%)]]</f>
        <v>0.59923119197649266</v>
      </c>
    </row>
    <row r="282" spans="1:15">
      <c r="A282" t="s">
        <v>7</v>
      </c>
      <c r="B282" t="s">
        <v>291</v>
      </c>
      <c r="C282" t="s">
        <v>1093</v>
      </c>
      <c r="D282" t="s">
        <v>811</v>
      </c>
      <c r="E282" t="s">
        <v>5</v>
      </c>
      <c r="F282" s="3">
        <v>20.241666666666667</v>
      </c>
      <c r="G282" s="10">
        <f>VLOOKUP(Tabla1[[#This Row],[Código Unificador]],PRECIOS_COMPETENCIA!B:D,3,FALSE)</f>
        <v>73.396900000000002</v>
      </c>
      <c r="H282" s="10">
        <f>Tabla1[[#This Row],[PVP Competencia]]*0.98</f>
        <v>71.928961999999999</v>
      </c>
      <c r="I282" s="10">
        <f>Tabla1[[#This Row],[Precio Lista CDR]]*0.8</f>
        <v>57.543169599999999</v>
      </c>
      <c r="J282" s="10">
        <f>Tabla1[[#This Row],[Precio Lista CDR]]*0.7</f>
        <v>50.350273399999999</v>
      </c>
      <c r="K282" s="10">
        <f>Tabla1[[#This Row],[Precio Lista CDR]]*0.6</f>
        <v>43.157377199999999</v>
      </c>
      <c r="L282" s="12">
        <f>(Tabla1[[#This Row],[Precio Lista CDR]]-Tabla1[[#This Row],[PrecioFábrica]])/Tabla1[[#This Row],[Precio Lista CDR]]</f>
        <v>0.71858808880535952</v>
      </c>
      <c r="M282" s="12">
        <f>(Tabla1[[#This Row],[Lista 1 (20%)]]-Tabla1[[#This Row],[PrecioFábrica]])/Tabla1[[#This Row],[Lista 1 (20%)]]</f>
        <v>0.64823511100669939</v>
      </c>
      <c r="N282" s="12">
        <f>(Tabla1[[#This Row],[Lista 2 (30%)]]-Tabla1[[#This Row],[PrecioFábrica]])/Tabla1[[#This Row],[Lista 2 (30%)]]</f>
        <v>0.59798298400765648</v>
      </c>
      <c r="O282" s="12">
        <f>(Tabla1[[#This Row],[Lista 3 (40%)]]-Tabla1[[#This Row],[PrecioFábrica]])/Tabla1[[#This Row],[Lista 3 (40%)]]</f>
        <v>0.53098014800893256</v>
      </c>
    </row>
    <row r="283" spans="1:15">
      <c r="A283" t="s">
        <v>6</v>
      </c>
      <c r="B283" t="s">
        <v>292</v>
      </c>
      <c r="C283" t="s">
        <v>1094</v>
      </c>
      <c r="D283" t="s">
        <v>811</v>
      </c>
      <c r="E283" t="s">
        <v>5</v>
      </c>
      <c r="F283" s="3">
        <v>3.9416666666666673</v>
      </c>
      <c r="G283" s="10">
        <f>VLOOKUP(Tabla1[[#This Row],[Código Unificador]],PRECIOS_COMPETENCIA!B:D,3,FALSE)</f>
        <v>21.773758333333333</v>
      </c>
      <c r="H283" s="10">
        <f>Tabla1[[#This Row],[PVP Competencia]]*0.98</f>
        <v>21.338283166666667</v>
      </c>
      <c r="I283" s="10">
        <f>Tabla1[[#This Row],[Precio Lista CDR]]*0.8</f>
        <v>17.070626533333336</v>
      </c>
      <c r="J283" s="10">
        <f>Tabla1[[#This Row],[Precio Lista CDR]]*0.7</f>
        <v>14.936798216666666</v>
      </c>
      <c r="K283" s="10">
        <f>Tabla1[[#This Row],[Precio Lista CDR]]*0.6</f>
        <v>12.802969899999999</v>
      </c>
      <c r="L283" s="12">
        <f>(Tabla1[[#This Row],[Precio Lista CDR]]-Tabla1[[#This Row],[PrecioFábrica]])/Tabla1[[#This Row],[Precio Lista CDR]]</f>
        <v>0.81527723501091731</v>
      </c>
      <c r="M283" s="12">
        <f>(Tabla1[[#This Row],[Lista 1 (20%)]]-Tabla1[[#This Row],[PrecioFábrica]])/Tabla1[[#This Row],[Lista 1 (20%)]]</f>
        <v>0.76909654376364667</v>
      </c>
      <c r="N283" s="12">
        <f>(Tabla1[[#This Row],[Lista 2 (30%)]]-Tabla1[[#This Row],[PrecioFábrica]])/Tabla1[[#This Row],[Lista 2 (30%)]]</f>
        <v>0.73611033572988183</v>
      </c>
      <c r="O283" s="12">
        <f>(Tabla1[[#This Row],[Lista 3 (40%)]]-Tabla1[[#This Row],[PrecioFábrica]])/Tabla1[[#This Row],[Lista 3 (40%)]]</f>
        <v>0.69212872501819533</v>
      </c>
    </row>
    <row r="284" spans="1:15">
      <c r="A284" t="s">
        <v>6</v>
      </c>
      <c r="B284" t="s">
        <v>293</v>
      </c>
      <c r="C284" t="s">
        <v>1095</v>
      </c>
      <c r="D284" t="s">
        <v>811</v>
      </c>
      <c r="E284" t="s">
        <v>5</v>
      </c>
      <c r="F284" s="3">
        <v>5.8583333333333334</v>
      </c>
      <c r="G284" s="10">
        <f>VLOOKUP(Tabla1[[#This Row],[Código Unificador]],PRECIOS_COMPETENCIA!B:D,3,FALSE)</f>
        <v>28.008516666666669</v>
      </c>
      <c r="H284" s="10">
        <f>Tabla1[[#This Row],[PVP Competencia]]*0.98</f>
        <v>27.448346333333333</v>
      </c>
      <c r="I284" s="10">
        <f>Tabla1[[#This Row],[Precio Lista CDR]]*0.8</f>
        <v>21.958677066666667</v>
      </c>
      <c r="J284" s="10">
        <f>Tabla1[[#This Row],[Precio Lista CDR]]*0.7</f>
        <v>19.213842433333333</v>
      </c>
      <c r="K284" s="10">
        <f>Tabla1[[#This Row],[Precio Lista CDR]]*0.6</f>
        <v>16.4690078</v>
      </c>
      <c r="L284" s="12">
        <f>(Tabla1[[#This Row],[Precio Lista CDR]]-Tabla1[[#This Row],[PrecioFábrica]])/Tabla1[[#This Row],[Precio Lista CDR]]</f>
        <v>0.78656880592405809</v>
      </c>
      <c r="M284" s="12">
        <f>(Tabla1[[#This Row],[Lista 1 (20%)]]-Tabla1[[#This Row],[PrecioFábrica]])/Tabla1[[#This Row],[Lista 1 (20%)]]</f>
        <v>0.73321100740507261</v>
      </c>
      <c r="N284" s="12">
        <f>(Tabla1[[#This Row],[Lista 2 (30%)]]-Tabla1[[#This Row],[PrecioFábrica]])/Tabla1[[#This Row],[Lista 2 (30%)]]</f>
        <v>0.69509829417722591</v>
      </c>
      <c r="O284" s="12">
        <f>(Tabla1[[#This Row],[Lista 3 (40%)]]-Tabla1[[#This Row],[PrecioFábrica]])/Tabla1[[#This Row],[Lista 3 (40%)]]</f>
        <v>0.64428134320676356</v>
      </c>
    </row>
    <row r="285" spans="1:15">
      <c r="A285" t="s">
        <v>6</v>
      </c>
      <c r="B285" t="s">
        <v>294</v>
      </c>
      <c r="C285" t="s">
        <v>1096</v>
      </c>
      <c r="D285" t="s">
        <v>811</v>
      </c>
      <c r="E285" t="s">
        <v>5</v>
      </c>
      <c r="F285" s="3">
        <v>4.2666666666666666</v>
      </c>
      <c r="G285" s="10">
        <f>VLOOKUP(Tabla1[[#This Row],[Código Unificador]],PRECIOS_COMPETENCIA!B:D,3,FALSE)</f>
        <v>22.992000000000001</v>
      </c>
      <c r="H285" s="10">
        <f>Tabla1[[#This Row],[PVP Competencia]]*0.98</f>
        <v>22.532160000000001</v>
      </c>
      <c r="I285" s="10">
        <f>Tabla1[[#This Row],[Precio Lista CDR]]*0.8</f>
        <v>18.025728000000001</v>
      </c>
      <c r="J285" s="10">
        <f>Tabla1[[#This Row],[Precio Lista CDR]]*0.7</f>
        <v>15.772511999999999</v>
      </c>
      <c r="K285" s="10">
        <f>Tabla1[[#This Row],[Precio Lista CDR]]*0.6</f>
        <v>13.519296000000001</v>
      </c>
      <c r="L285" s="12">
        <f>(Tabla1[[#This Row],[Precio Lista CDR]]-Tabla1[[#This Row],[PrecioFábrica]])/Tabla1[[#This Row],[Precio Lista CDR]]</f>
        <v>0.81064102746178501</v>
      </c>
      <c r="M285" s="12">
        <f>(Tabla1[[#This Row],[Lista 1 (20%)]]-Tabla1[[#This Row],[PrecioFábrica]])/Tabla1[[#This Row],[Lista 1 (20%)]]</f>
        <v>0.76330128432723132</v>
      </c>
      <c r="N285" s="12">
        <f>(Tabla1[[#This Row],[Lista 2 (30%)]]-Tabla1[[#This Row],[PrecioFábrica]])/Tabla1[[#This Row],[Lista 2 (30%)]]</f>
        <v>0.72948718208826435</v>
      </c>
      <c r="O285" s="12">
        <f>(Tabla1[[#This Row],[Lista 3 (40%)]]-Tabla1[[#This Row],[PrecioFábrica]])/Tabla1[[#This Row],[Lista 3 (40%)]]</f>
        <v>0.68440171243630843</v>
      </c>
    </row>
    <row r="286" spans="1:15">
      <c r="A286" t="s">
        <v>6</v>
      </c>
      <c r="B286" t="s">
        <v>295</v>
      </c>
      <c r="C286" t="s">
        <v>1097</v>
      </c>
      <c r="D286" t="s">
        <v>811</v>
      </c>
      <c r="E286" t="s">
        <v>5</v>
      </c>
      <c r="F286" s="3">
        <v>6.0583333333333336</v>
      </c>
      <c r="G286" s="10">
        <f>VLOOKUP(Tabla1[[#This Row],[Código Unificador]],PRECIOS_COMPETENCIA!B:D,3,FALSE)</f>
        <v>28.623316666666668</v>
      </c>
      <c r="H286" s="10">
        <f>Tabla1[[#This Row],[PVP Competencia]]*0.98</f>
        <v>28.050850333333333</v>
      </c>
      <c r="I286" s="10">
        <f>Tabla1[[#This Row],[Precio Lista CDR]]*0.8</f>
        <v>22.440680266666668</v>
      </c>
      <c r="J286" s="10">
        <f>Tabla1[[#This Row],[Precio Lista CDR]]*0.7</f>
        <v>19.635595233333333</v>
      </c>
      <c r="K286" s="10">
        <f>Tabla1[[#This Row],[Precio Lista CDR]]*0.6</f>
        <v>16.830510199999999</v>
      </c>
      <c r="L286" s="12">
        <f>(Tabla1[[#This Row],[Precio Lista CDR]]-Tabla1[[#This Row],[PrecioFábrica]])/Tabla1[[#This Row],[Precio Lista CDR]]</f>
        <v>0.78402318427637441</v>
      </c>
      <c r="M286" s="12">
        <f>(Tabla1[[#This Row],[Lista 1 (20%)]]-Tabla1[[#This Row],[PrecioFábrica]])/Tabla1[[#This Row],[Lista 1 (20%)]]</f>
        <v>0.73002898034546804</v>
      </c>
      <c r="N286" s="12">
        <f>(Tabla1[[#This Row],[Lista 2 (30%)]]-Tabla1[[#This Row],[PrecioFábrica]])/Tabla1[[#This Row],[Lista 2 (30%)]]</f>
        <v>0.69146169182339212</v>
      </c>
      <c r="O286" s="12">
        <f>(Tabla1[[#This Row],[Lista 3 (40%)]]-Tabla1[[#This Row],[PrecioFábrica]])/Tabla1[[#This Row],[Lista 3 (40%)]]</f>
        <v>0.64003864046062409</v>
      </c>
    </row>
    <row r="287" spans="1:15">
      <c r="A287" t="s">
        <v>6</v>
      </c>
      <c r="B287" t="s">
        <v>296</v>
      </c>
      <c r="C287" t="s">
        <v>1098</v>
      </c>
      <c r="D287" t="s">
        <v>811</v>
      </c>
      <c r="E287" t="s">
        <v>5</v>
      </c>
      <c r="F287" s="3">
        <v>6.3083333333333336</v>
      </c>
      <c r="G287" s="10">
        <f>VLOOKUP(Tabla1[[#This Row],[Código Unificador]],PRECIOS_COMPETENCIA!B:D,3,FALSE)</f>
        <v>29.7577</v>
      </c>
      <c r="H287" s="10">
        <f>Tabla1[[#This Row],[PVP Competencia]]*0.98</f>
        <v>29.162545999999999</v>
      </c>
      <c r="I287" s="10">
        <f>Tabla1[[#This Row],[Precio Lista CDR]]*0.8</f>
        <v>23.330036800000002</v>
      </c>
      <c r="J287" s="10">
        <f>Tabla1[[#This Row],[Precio Lista CDR]]*0.7</f>
        <v>20.413782199999996</v>
      </c>
      <c r="K287" s="10">
        <f>Tabla1[[#This Row],[Precio Lista CDR]]*0.6</f>
        <v>17.497527599999998</v>
      </c>
      <c r="L287" s="12">
        <f>(Tabla1[[#This Row],[Precio Lista CDR]]-Tabla1[[#This Row],[PrecioFábrica]])/Tabla1[[#This Row],[Precio Lista CDR]]</f>
        <v>0.7836837245508903</v>
      </c>
      <c r="M287" s="12">
        <f>(Tabla1[[#This Row],[Lista 1 (20%)]]-Tabla1[[#This Row],[PrecioFábrica]])/Tabla1[[#This Row],[Lista 1 (20%)]]</f>
        <v>0.72960465568861288</v>
      </c>
      <c r="N287" s="12">
        <f>(Tabla1[[#This Row],[Lista 2 (30%)]]-Tabla1[[#This Row],[PrecioFábrica]])/Tabla1[[#This Row],[Lista 2 (30%)]]</f>
        <v>0.69097674935841458</v>
      </c>
      <c r="O287" s="12">
        <f>(Tabla1[[#This Row],[Lista 3 (40%)]]-Tabla1[[#This Row],[PrecioFábrica]])/Tabla1[[#This Row],[Lista 3 (40%)]]</f>
        <v>0.63947287425148369</v>
      </c>
    </row>
    <row r="288" spans="1:15">
      <c r="A288" t="s">
        <v>6</v>
      </c>
      <c r="B288" t="s">
        <v>297</v>
      </c>
      <c r="C288" t="s">
        <v>1099</v>
      </c>
      <c r="D288" t="s">
        <v>811</v>
      </c>
      <c r="E288" t="s">
        <v>5</v>
      </c>
      <c r="F288" s="3">
        <v>3.9583333333333335</v>
      </c>
      <c r="G288" s="10">
        <f>VLOOKUP(Tabla1[[#This Row],[Código Unificador]],PRECIOS_COMPETENCIA!B:D,3,FALSE)</f>
        <v>22.397500000000001</v>
      </c>
      <c r="H288" s="10">
        <f>Tabla1[[#This Row],[PVP Competencia]]*0.98</f>
        <v>21.949550000000002</v>
      </c>
      <c r="I288" s="10">
        <f>Tabla1[[#This Row],[Precio Lista CDR]]*0.8</f>
        <v>17.559640000000002</v>
      </c>
      <c r="J288" s="10">
        <f>Tabla1[[#This Row],[Precio Lista CDR]]*0.7</f>
        <v>15.364685</v>
      </c>
      <c r="K288" s="10">
        <f>Tabla1[[#This Row],[Precio Lista CDR]]*0.6</f>
        <v>13.169730000000001</v>
      </c>
      <c r="L288" s="12">
        <f>(Tabla1[[#This Row],[Precio Lista CDR]]-Tabla1[[#This Row],[PrecioFábrica]])/Tabla1[[#This Row],[Precio Lista CDR]]</f>
        <v>0.81966221023513774</v>
      </c>
      <c r="M288" s="12">
        <f>(Tabla1[[#This Row],[Lista 1 (20%)]]-Tabla1[[#This Row],[PrecioFábrica]])/Tabla1[[#This Row],[Lista 1 (20%)]]</f>
        <v>0.7745777627939221</v>
      </c>
      <c r="N288" s="12">
        <f>(Tabla1[[#This Row],[Lista 2 (30%)]]-Tabla1[[#This Row],[PrecioFábrica]])/Tabla1[[#This Row],[Lista 2 (30%)]]</f>
        <v>0.74237458605019668</v>
      </c>
      <c r="O288" s="12">
        <f>(Tabla1[[#This Row],[Lista 3 (40%)]]-Tabla1[[#This Row],[PrecioFábrica]])/Tabla1[[#This Row],[Lista 3 (40%)]]</f>
        <v>0.69943701705856276</v>
      </c>
    </row>
    <row r="289" spans="1:15">
      <c r="A289" t="s">
        <v>6</v>
      </c>
      <c r="B289" t="s">
        <v>298</v>
      </c>
      <c r="C289" t="s">
        <v>1100</v>
      </c>
      <c r="D289" t="s">
        <v>811</v>
      </c>
      <c r="E289" t="s">
        <v>5</v>
      </c>
      <c r="F289" s="3">
        <v>15.533333333333335</v>
      </c>
      <c r="G289" s="10">
        <f>VLOOKUP(Tabla1[[#This Row],[Código Unificador]],PRECIOS_COMPETENCIA!B:D,3,FALSE)</f>
        <v>55.947600000000001</v>
      </c>
      <c r="H289" s="10">
        <f>Tabla1[[#This Row],[PVP Competencia]]*0.98</f>
        <v>54.828648000000001</v>
      </c>
      <c r="I289" s="10">
        <f>Tabla1[[#This Row],[Precio Lista CDR]]*0.8</f>
        <v>43.862918400000005</v>
      </c>
      <c r="J289" s="10">
        <f>Tabla1[[#This Row],[Precio Lista CDR]]*0.7</f>
        <v>38.380053599999997</v>
      </c>
      <c r="K289" s="10">
        <f>Tabla1[[#This Row],[Precio Lista CDR]]*0.6</f>
        <v>32.897188800000002</v>
      </c>
      <c r="L289" s="12">
        <f>(Tabla1[[#This Row],[Precio Lista CDR]]-Tabla1[[#This Row],[PrecioFábrica]])/Tabla1[[#This Row],[Precio Lista CDR]]</f>
        <v>0.71669311755902987</v>
      </c>
      <c r="M289" s="12">
        <f>(Tabla1[[#This Row],[Lista 1 (20%)]]-Tabla1[[#This Row],[PrecioFábrica]])/Tabla1[[#This Row],[Lista 1 (20%)]]</f>
        <v>0.64586639694878734</v>
      </c>
      <c r="N289" s="12">
        <f>(Tabla1[[#This Row],[Lista 2 (30%)]]-Tabla1[[#This Row],[PrecioFábrica]])/Tabla1[[#This Row],[Lista 2 (30%)]]</f>
        <v>0.59527588222718542</v>
      </c>
      <c r="O289" s="12">
        <f>(Tabla1[[#This Row],[Lista 3 (40%)]]-Tabla1[[#This Row],[PrecioFábrica]])/Tabla1[[#This Row],[Lista 3 (40%)]]</f>
        <v>0.52782186259838304</v>
      </c>
    </row>
    <row r="290" spans="1:15">
      <c r="A290" t="s">
        <v>7</v>
      </c>
      <c r="B290" t="s">
        <v>299</v>
      </c>
      <c r="C290" t="s">
        <v>1101</v>
      </c>
      <c r="D290" t="s">
        <v>811</v>
      </c>
      <c r="E290" t="s">
        <v>5</v>
      </c>
      <c r="F290" s="3">
        <v>5.3333333333333339</v>
      </c>
      <c r="G290" s="10">
        <f>VLOOKUP(Tabla1[[#This Row],[Código Unificador]],PRECIOS_COMPETENCIA!B:D,3,FALSE)</f>
        <v>26.394666666666669</v>
      </c>
      <c r="H290" s="10">
        <f>Tabla1[[#This Row],[PVP Competencia]]*0.98</f>
        <v>25.866773333333335</v>
      </c>
      <c r="I290" s="10">
        <f>Tabla1[[#This Row],[Precio Lista CDR]]*0.8</f>
        <v>20.69341866666667</v>
      </c>
      <c r="J290" s="10">
        <f>Tabla1[[#This Row],[Precio Lista CDR]]*0.7</f>
        <v>18.106741333333332</v>
      </c>
      <c r="K290" s="10">
        <f>Tabla1[[#This Row],[Precio Lista CDR]]*0.6</f>
        <v>15.520064</v>
      </c>
      <c r="L290" s="12">
        <f>(Tabla1[[#This Row],[Precio Lista CDR]]-Tabla1[[#This Row],[PrecioFábrica]])/Tabla1[[#This Row],[Precio Lista CDR]]</f>
        <v>0.7938152832359453</v>
      </c>
      <c r="M290" s="12">
        <f>(Tabla1[[#This Row],[Lista 1 (20%)]]-Tabla1[[#This Row],[PrecioFábrica]])/Tabla1[[#This Row],[Lista 1 (20%)]]</f>
        <v>0.74226910404493174</v>
      </c>
      <c r="N290" s="12">
        <f>(Tabla1[[#This Row],[Lista 2 (30%)]]-Tabla1[[#This Row],[PrecioFábrica]])/Tabla1[[#This Row],[Lista 2 (30%)]]</f>
        <v>0.70545040462277908</v>
      </c>
      <c r="O290" s="12">
        <f>(Tabla1[[#This Row],[Lista 3 (40%)]]-Tabla1[[#This Row],[PrecioFábrica]])/Tabla1[[#This Row],[Lista 3 (40%)]]</f>
        <v>0.65635880539324232</v>
      </c>
    </row>
    <row r="291" spans="1:15">
      <c r="A291" t="s">
        <v>7</v>
      </c>
      <c r="B291" t="s">
        <v>300</v>
      </c>
      <c r="C291" t="s">
        <v>1102</v>
      </c>
      <c r="D291" t="s">
        <v>811</v>
      </c>
      <c r="E291" t="s">
        <v>5</v>
      </c>
      <c r="F291" s="3">
        <v>7.7500000000000009</v>
      </c>
      <c r="G291" s="10">
        <f>VLOOKUP(Tabla1[[#This Row],[Código Unificador]],PRECIOS_COMPETENCIA!B:D,3,FALSE)</f>
        <v>33.598750000000003</v>
      </c>
      <c r="H291" s="10">
        <f>Tabla1[[#This Row],[PVP Competencia]]*0.98</f>
        <v>32.926774999999999</v>
      </c>
      <c r="I291" s="10">
        <f>Tabla1[[#This Row],[Precio Lista CDR]]*0.8</f>
        <v>26.341419999999999</v>
      </c>
      <c r="J291" s="10">
        <f>Tabla1[[#This Row],[Precio Lista CDR]]*0.7</f>
        <v>23.048742499999999</v>
      </c>
      <c r="K291" s="10">
        <f>Tabla1[[#This Row],[Precio Lista CDR]]*0.6</f>
        <v>19.756065</v>
      </c>
      <c r="L291" s="12">
        <f>(Tabla1[[#This Row],[Precio Lista CDR]]-Tabla1[[#This Row],[PrecioFábrica]])/Tabla1[[#This Row],[Precio Lista CDR]]</f>
        <v>0.76462924170375024</v>
      </c>
      <c r="M291" s="12">
        <f>(Tabla1[[#This Row],[Lista 1 (20%)]]-Tabla1[[#This Row],[PrecioFábrica]])/Tabla1[[#This Row],[Lista 1 (20%)]]</f>
        <v>0.70578655212968777</v>
      </c>
      <c r="N291" s="12">
        <f>(Tabla1[[#This Row],[Lista 2 (30%)]]-Tabla1[[#This Row],[PrecioFábrica]])/Tabla1[[#This Row],[Lista 2 (30%)]]</f>
        <v>0.66375605957678596</v>
      </c>
      <c r="O291" s="12">
        <f>(Tabla1[[#This Row],[Lista 3 (40%)]]-Tabla1[[#This Row],[PrecioFábrica]])/Tabla1[[#This Row],[Lista 3 (40%)]]</f>
        <v>0.6077154028395837</v>
      </c>
    </row>
    <row r="292" spans="1:15">
      <c r="A292" t="s">
        <v>9</v>
      </c>
      <c r="B292" t="s">
        <v>301</v>
      </c>
      <c r="C292" t="s">
        <v>1103</v>
      </c>
      <c r="D292" t="s">
        <v>811</v>
      </c>
      <c r="E292" t="s">
        <v>5</v>
      </c>
      <c r="F292" s="3">
        <v>11.033333333333333</v>
      </c>
      <c r="G292" s="10">
        <f>VLOOKUP(Tabla1[[#This Row],[Código Unificador]],PRECIOS_COMPETENCIA!B:D,3,FALSE)</f>
        <v>43.596500000000006</v>
      </c>
      <c r="H292" s="10">
        <f>Tabla1[[#This Row],[PVP Competencia]]*0.98</f>
        <v>42.724570000000007</v>
      </c>
      <c r="I292" s="10">
        <f>Tabla1[[#This Row],[Precio Lista CDR]]*0.8</f>
        <v>34.179656000000008</v>
      </c>
      <c r="J292" s="10">
        <f>Tabla1[[#This Row],[Precio Lista CDR]]*0.7</f>
        <v>29.907199000000002</v>
      </c>
      <c r="K292" s="10">
        <f>Tabla1[[#This Row],[Precio Lista CDR]]*0.6</f>
        <v>25.634742000000003</v>
      </c>
      <c r="L292" s="12">
        <f>(Tabla1[[#This Row],[Precio Lista CDR]]-Tabla1[[#This Row],[PrecioFábrica]])/Tabla1[[#This Row],[Precio Lista CDR]]</f>
        <v>0.74175671438394042</v>
      </c>
      <c r="M292" s="12">
        <f>(Tabla1[[#This Row],[Lista 1 (20%)]]-Tabla1[[#This Row],[PrecioFábrica]])/Tabla1[[#This Row],[Lista 1 (20%)]]</f>
        <v>0.67719589297992555</v>
      </c>
      <c r="N292" s="12">
        <f>(Tabla1[[#This Row],[Lista 2 (30%)]]-Tabla1[[#This Row],[PrecioFábrica]])/Tabla1[[#This Row],[Lista 2 (30%)]]</f>
        <v>0.63108102054848625</v>
      </c>
      <c r="O292" s="12">
        <f>(Tabla1[[#This Row],[Lista 3 (40%)]]-Tabla1[[#This Row],[PrecioFábrica]])/Tabla1[[#This Row],[Lista 3 (40%)]]</f>
        <v>0.56959452397323396</v>
      </c>
    </row>
    <row r="293" spans="1:15">
      <c r="A293" t="s">
        <v>6</v>
      </c>
      <c r="B293" t="s">
        <v>302</v>
      </c>
      <c r="C293" t="s">
        <v>1104</v>
      </c>
      <c r="D293" t="s">
        <v>811</v>
      </c>
      <c r="E293" t="s">
        <v>5</v>
      </c>
      <c r="F293" s="3">
        <v>12.641666666666667</v>
      </c>
      <c r="G293" s="10">
        <f>VLOOKUP(Tabla1[[#This Row],[Código Unificador]],PRECIOS_COMPETENCIA!B:D,3,FALSE)</f>
        <v>48.860483333333342</v>
      </c>
      <c r="H293" s="10">
        <f>Tabla1[[#This Row],[PVP Competencia]]*0.98</f>
        <v>47.883273666666675</v>
      </c>
      <c r="I293" s="10">
        <f>Tabla1[[#This Row],[Precio Lista CDR]]*0.8</f>
        <v>38.30661893333334</v>
      </c>
      <c r="J293" s="10">
        <f>Tabla1[[#This Row],[Precio Lista CDR]]*0.7</f>
        <v>33.518291566666669</v>
      </c>
      <c r="K293" s="10">
        <f>Tabla1[[#This Row],[Precio Lista CDR]]*0.6</f>
        <v>28.729964200000005</v>
      </c>
      <c r="L293" s="12">
        <f>(Tabla1[[#This Row],[Precio Lista CDR]]-Tabla1[[#This Row],[PrecioFábrica]])/Tabla1[[#This Row],[Precio Lista CDR]]</f>
        <v>0.73598992511101013</v>
      </c>
      <c r="M293" s="12">
        <f>(Tabla1[[#This Row],[Lista 1 (20%)]]-Tabla1[[#This Row],[PrecioFábrica]])/Tabla1[[#This Row],[Lista 1 (20%)]]</f>
        <v>0.66998740638876264</v>
      </c>
      <c r="N293" s="12">
        <f>(Tabla1[[#This Row],[Lista 2 (30%)]]-Tabla1[[#This Row],[PrecioFábrica]])/Tabla1[[#This Row],[Lista 2 (30%)]]</f>
        <v>0.62284275015858581</v>
      </c>
      <c r="O293" s="12">
        <f>(Tabla1[[#This Row],[Lista 3 (40%)]]-Tabla1[[#This Row],[PrecioFábrica]])/Tabla1[[#This Row],[Lista 3 (40%)]]</f>
        <v>0.55998320851835015</v>
      </c>
    </row>
    <row r="294" spans="1:15">
      <c r="A294" t="s">
        <v>9</v>
      </c>
      <c r="B294" t="s">
        <v>303</v>
      </c>
      <c r="C294" t="s">
        <v>1105</v>
      </c>
      <c r="D294" t="s">
        <v>811</v>
      </c>
      <c r="E294" t="s">
        <v>5</v>
      </c>
      <c r="F294" s="3">
        <v>6.4916666666666671</v>
      </c>
      <c r="G294" s="10">
        <f>VLOOKUP(Tabla1[[#This Row],[Código Unificador]],PRECIOS_COMPETENCIA!B:D,3,FALSE)</f>
        <v>30.331900000000005</v>
      </c>
      <c r="H294" s="10">
        <f>Tabla1[[#This Row],[PVP Competencia]]*0.98</f>
        <v>29.725262000000004</v>
      </c>
      <c r="I294" s="10">
        <f>Tabla1[[#This Row],[Precio Lista CDR]]*0.8</f>
        <v>23.780209600000006</v>
      </c>
      <c r="J294" s="10">
        <f>Tabla1[[#This Row],[Precio Lista CDR]]*0.7</f>
        <v>20.807683400000002</v>
      </c>
      <c r="K294" s="10">
        <f>Tabla1[[#This Row],[Precio Lista CDR]]*0.6</f>
        <v>17.835157200000001</v>
      </c>
      <c r="L294" s="12">
        <f>(Tabla1[[#This Row],[Precio Lista CDR]]-Tabla1[[#This Row],[PrecioFábrica]])/Tabla1[[#This Row],[Precio Lista CDR]]</f>
        <v>0.78161112031017033</v>
      </c>
      <c r="M294" s="12">
        <f>(Tabla1[[#This Row],[Lista 1 (20%)]]-Tabla1[[#This Row],[PrecioFábrica]])/Tabla1[[#This Row],[Lista 1 (20%)]]</f>
        <v>0.72701390038771296</v>
      </c>
      <c r="N294" s="12">
        <f>(Tabla1[[#This Row],[Lista 2 (30%)]]-Tabla1[[#This Row],[PrecioFábrica]])/Tabla1[[#This Row],[Lista 2 (30%)]]</f>
        <v>0.68801588615738618</v>
      </c>
      <c r="O294" s="12">
        <f>(Tabla1[[#This Row],[Lista 3 (40%)]]-Tabla1[[#This Row],[PrecioFábrica]])/Tabla1[[#This Row],[Lista 3 (40%)]]</f>
        <v>0.63601853385028384</v>
      </c>
    </row>
    <row r="295" spans="1:15">
      <c r="A295" t="s">
        <v>9</v>
      </c>
      <c r="B295" t="s">
        <v>304</v>
      </c>
      <c r="C295" t="s">
        <v>1106</v>
      </c>
      <c r="D295" t="s">
        <v>811</v>
      </c>
      <c r="E295" t="s">
        <v>5</v>
      </c>
      <c r="F295" s="3">
        <v>13.266666666666667</v>
      </c>
      <c r="G295" s="10">
        <f>VLOOKUP(Tabla1[[#This Row],[Código Unificador]],PRECIOS_COMPETENCIA!B:D,3,FALSE)</f>
        <v>51.551200000000016</v>
      </c>
      <c r="H295" s="10">
        <f>Tabla1[[#This Row],[PVP Competencia]]*0.98</f>
        <v>50.520176000000014</v>
      </c>
      <c r="I295" s="10">
        <f>Tabla1[[#This Row],[Precio Lista CDR]]*0.8</f>
        <v>40.416140800000015</v>
      </c>
      <c r="J295" s="10">
        <f>Tabla1[[#This Row],[Precio Lista CDR]]*0.7</f>
        <v>35.364123200000009</v>
      </c>
      <c r="K295" s="10">
        <f>Tabla1[[#This Row],[Precio Lista CDR]]*0.6</f>
        <v>30.312105600000006</v>
      </c>
      <c r="L295" s="12">
        <f>(Tabla1[[#This Row],[Precio Lista CDR]]-Tabla1[[#This Row],[PrecioFábrica]])/Tabla1[[#This Row],[Precio Lista CDR]]</f>
        <v>0.7373986451142478</v>
      </c>
      <c r="M295" s="12">
        <f>(Tabla1[[#This Row],[Lista 1 (20%)]]-Tabla1[[#This Row],[PrecioFábrica]])/Tabla1[[#This Row],[Lista 1 (20%)]]</f>
        <v>0.6717483063928098</v>
      </c>
      <c r="N295" s="12">
        <f>(Tabla1[[#This Row],[Lista 2 (30%)]]-Tabla1[[#This Row],[PrecioFábrica]])/Tabla1[[#This Row],[Lista 2 (30%)]]</f>
        <v>0.62485520730606825</v>
      </c>
      <c r="O295" s="12">
        <f>(Tabla1[[#This Row],[Lista 3 (40%)]]-Tabla1[[#This Row],[PrecioFábrica]])/Tabla1[[#This Row],[Lista 3 (40%)]]</f>
        <v>0.56233107519041281</v>
      </c>
    </row>
    <row r="296" spans="1:15">
      <c r="A296" t="s">
        <v>6</v>
      </c>
      <c r="B296" t="s">
        <v>305</v>
      </c>
      <c r="C296" t="s">
        <v>1107</v>
      </c>
      <c r="D296" t="s">
        <v>811</v>
      </c>
      <c r="E296" t="s">
        <v>5</v>
      </c>
      <c r="F296" s="3">
        <v>29.608333333333334</v>
      </c>
      <c r="G296" s="10">
        <f>VLOOKUP(Tabla1[[#This Row],[Código Unificador]],PRECIOS_COMPETENCIA!B:D,3,FALSE)</f>
        <v>108.44009166666667</v>
      </c>
      <c r="H296" s="10">
        <f>Tabla1[[#This Row],[PVP Competencia]]*0.98</f>
        <v>106.27128983333334</v>
      </c>
      <c r="I296" s="10">
        <f>Tabla1[[#This Row],[Precio Lista CDR]]*0.8</f>
        <v>85.017031866666684</v>
      </c>
      <c r="J296" s="10">
        <f>Tabla1[[#This Row],[Precio Lista CDR]]*0.7</f>
        <v>74.389902883333335</v>
      </c>
      <c r="K296" s="10">
        <f>Tabla1[[#This Row],[Precio Lista CDR]]*0.6</f>
        <v>63.762773899999999</v>
      </c>
      <c r="L296" s="12">
        <f>(Tabla1[[#This Row],[Precio Lista CDR]]-Tabla1[[#This Row],[PrecioFábrica]])/Tabla1[[#This Row],[Precio Lista CDR]]</f>
        <v>0.72138915995309294</v>
      </c>
      <c r="M296" s="12">
        <f>(Tabla1[[#This Row],[Lista 1 (20%)]]-Tabla1[[#This Row],[PrecioFábrica]])/Tabla1[[#This Row],[Lista 1 (20%)]]</f>
        <v>0.65173644994136626</v>
      </c>
      <c r="N296" s="12">
        <f>(Tabla1[[#This Row],[Lista 2 (30%)]]-Tabla1[[#This Row],[PrecioFábrica]])/Tabla1[[#This Row],[Lista 2 (30%)]]</f>
        <v>0.60198451421870425</v>
      </c>
      <c r="O296" s="12">
        <f>(Tabla1[[#This Row],[Lista 3 (40%)]]-Tabla1[[#This Row],[PrecioFábrica]])/Tabla1[[#This Row],[Lista 3 (40%)]]</f>
        <v>0.53564859992182157</v>
      </c>
    </row>
    <row r="297" spans="1:15">
      <c r="A297" t="s">
        <v>6</v>
      </c>
      <c r="B297" t="s">
        <v>306</v>
      </c>
      <c r="C297" t="s">
        <v>1108</v>
      </c>
      <c r="D297" t="s">
        <v>811</v>
      </c>
      <c r="E297" t="s">
        <v>5</v>
      </c>
      <c r="F297" s="3">
        <v>14.06666666666667</v>
      </c>
      <c r="G297" s="10">
        <f>VLOOKUP(Tabla1[[#This Row],[Código Unificador]],PRECIOS_COMPETENCIA!B:D,3,FALSE)</f>
        <v>52.425066666666673</v>
      </c>
      <c r="H297" s="10">
        <f>Tabla1[[#This Row],[PVP Competencia]]*0.98</f>
        <v>51.376565333333339</v>
      </c>
      <c r="I297" s="10">
        <f>Tabla1[[#This Row],[Precio Lista CDR]]*0.8</f>
        <v>41.101252266666677</v>
      </c>
      <c r="J297" s="10">
        <f>Tabla1[[#This Row],[Precio Lista CDR]]*0.7</f>
        <v>35.963595733333335</v>
      </c>
      <c r="K297" s="10">
        <f>Tabla1[[#This Row],[Precio Lista CDR]]*0.6</f>
        <v>30.825939200000001</v>
      </c>
      <c r="L297" s="12">
        <f>(Tabla1[[#This Row],[Precio Lista CDR]]-Tabla1[[#This Row],[PrecioFábrica]])/Tabla1[[#This Row],[Precio Lista CDR]]</f>
        <v>0.7262046114721461</v>
      </c>
      <c r="M297" s="12">
        <f>(Tabla1[[#This Row],[Lista 1 (20%)]]-Tabla1[[#This Row],[PrecioFábrica]])/Tabla1[[#This Row],[Lista 1 (20%)]]</f>
        <v>0.65775576434018268</v>
      </c>
      <c r="N297" s="12">
        <f>(Tabla1[[#This Row],[Lista 2 (30%)]]-Tabla1[[#This Row],[PrecioFábrica]])/Tabla1[[#This Row],[Lista 2 (30%)]]</f>
        <v>0.6088637306744944</v>
      </c>
      <c r="O297" s="12">
        <f>(Tabla1[[#This Row],[Lista 3 (40%)]]-Tabla1[[#This Row],[PrecioFábrica]])/Tabla1[[#This Row],[Lista 3 (40%)]]</f>
        <v>0.54367435245357687</v>
      </c>
    </row>
    <row r="298" spans="1:15">
      <c r="A298" t="s">
        <v>6</v>
      </c>
      <c r="B298" t="s">
        <v>307</v>
      </c>
      <c r="C298" t="s">
        <v>1109</v>
      </c>
      <c r="D298" t="s">
        <v>811</v>
      </c>
      <c r="E298" t="s">
        <v>5</v>
      </c>
      <c r="F298" s="3">
        <v>5.2083333333333339</v>
      </c>
      <c r="G298" s="10">
        <f>VLOOKUP(Tabla1[[#This Row],[Código Unificador]],PRECIOS_COMPETENCIA!B:D,3,FALSE)</f>
        <v>25.859375000000004</v>
      </c>
      <c r="H298" s="10">
        <f>Tabla1[[#This Row],[PVP Competencia]]*0.98</f>
        <v>25.342187500000001</v>
      </c>
      <c r="I298" s="10">
        <f>Tabla1[[#This Row],[Precio Lista CDR]]*0.8</f>
        <v>20.273750000000003</v>
      </c>
      <c r="J298" s="10">
        <f>Tabla1[[#This Row],[Precio Lista CDR]]*0.7</f>
        <v>17.739531249999999</v>
      </c>
      <c r="K298" s="10">
        <f>Tabla1[[#This Row],[Precio Lista CDR]]*0.6</f>
        <v>15.2053125</v>
      </c>
      <c r="L298" s="12">
        <f>(Tabla1[[#This Row],[Precio Lista CDR]]-Tabla1[[#This Row],[PrecioFábrica]])/Tabla1[[#This Row],[Precio Lista CDR]]</f>
        <v>0.79447972542491307</v>
      </c>
      <c r="M298" s="12">
        <f>(Tabla1[[#This Row],[Lista 1 (20%)]]-Tabla1[[#This Row],[PrecioFábrica]])/Tabla1[[#This Row],[Lista 1 (20%)]]</f>
        <v>0.74309965678114143</v>
      </c>
      <c r="N298" s="12">
        <f>(Tabla1[[#This Row],[Lista 2 (30%)]]-Tabla1[[#This Row],[PrecioFábrica]])/Tabla1[[#This Row],[Lista 2 (30%)]]</f>
        <v>0.70639960774987587</v>
      </c>
      <c r="O298" s="12">
        <f>(Tabla1[[#This Row],[Lista 3 (40%)]]-Tabla1[[#This Row],[PrecioFábrica]])/Tabla1[[#This Row],[Lista 3 (40%)]]</f>
        <v>0.65746620904152187</v>
      </c>
    </row>
    <row r="299" spans="1:15">
      <c r="A299" t="s">
        <v>9</v>
      </c>
      <c r="B299" t="s">
        <v>308</v>
      </c>
      <c r="C299" t="s">
        <v>1110</v>
      </c>
      <c r="D299" t="s">
        <v>811</v>
      </c>
      <c r="E299" t="s">
        <v>5</v>
      </c>
      <c r="F299" s="3">
        <v>10.033333333333333</v>
      </c>
      <c r="G299" s="10">
        <f>VLOOKUP(Tabla1[[#This Row],[Código Unificador]],PRECIOS_COMPETENCIA!B:D,3,FALSE)</f>
        <v>41.133433333333329</v>
      </c>
      <c r="H299" s="10">
        <f>Tabla1[[#This Row],[PVP Competencia]]*0.98</f>
        <v>40.310764666666664</v>
      </c>
      <c r="I299" s="10">
        <f>Tabla1[[#This Row],[Precio Lista CDR]]*0.8</f>
        <v>32.248611733333334</v>
      </c>
      <c r="J299" s="10">
        <f>Tabla1[[#This Row],[Precio Lista CDR]]*0.7</f>
        <v>28.217535266666662</v>
      </c>
      <c r="K299" s="10">
        <f>Tabla1[[#This Row],[Precio Lista CDR]]*0.6</f>
        <v>24.186458799999997</v>
      </c>
      <c r="L299" s="12">
        <f>(Tabla1[[#This Row],[Precio Lista CDR]]-Tabla1[[#This Row],[PrecioFábrica]])/Tabla1[[#This Row],[Precio Lista CDR]]</f>
        <v>0.75110039672281426</v>
      </c>
      <c r="M299" s="12">
        <f>(Tabla1[[#This Row],[Lista 1 (20%)]]-Tabla1[[#This Row],[PrecioFábrica]])/Tabla1[[#This Row],[Lista 1 (20%)]]</f>
        <v>0.68887549590351782</v>
      </c>
      <c r="N299" s="12">
        <f>(Tabla1[[#This Row],[Lista 2 (30%)]]-Tabla1[[#This Row],[PrecioFábrica]])/Tabla1[[#This Row],[Lista 2 (30%)]]</f>
        <v>0.64442913817544867</v>
      </c>
      <c r="O299" s="12">
        <f>(Tabla1[[#This Row],[Lista 3 (40%)]]-Tabla1[[#This Row],[PrecioFábrica]])/Tabla1[[#This Row],[Lista 3 (40%)]]</f>
        <v>0.58516732787135695</v>
      </c>
    </row>
    <row r="300" spans="1:15">
      <c r="A300" t="s">
        <v>9</v>
      </c>
      <c r="B300" t="s">
        <v>309</v>
      </c>
      <c r="C300" t="s">
        <v>1111</v>
      </c>
      <c r="D300" t="s">
        <v>811</v>
      </c>
      <c r="E300" t="s">
        <v>5</v>
      </c>
      <c r="F300" s="3">
        <v>17.858333333333334</v>
      </c>
      <c r="G300" s="10">
        <f>VLOOKUP(Tabla1[[#This Row],[Código Unificador]],PRECIOS_COMPETENCIA!B:D,3,FALSE)</f>
        <v>63.860733333333336</v>
      </c>
      <c r="H300" s="10">
        <f>Tabla1[[#This Row],[PVP Competencia]]*0.98</f>
        <v>62.58351866666667</v>
      </c>
      <c r="I300" s="10">
        <f>Tabla1[[#This Row],[Precio Lista CDR]]*0.8</f>
        <v>50.06681493333334</v>
      </c>
      <c r="J300" s="10">
        <f>Tabla1[[#This Row],[Precio Lista CDR]]*0.7</f>
        <v>43.808463066666668</v>
      </c>
      <c r="K300" s="10">
        <f>Tabla1[[#This Row],[Precio Lista CDR]]*0.6</f>
        <v>37.550111200000003</v>
      </c>
      <c r="L300" s="12">
        <f>(Tabla1[[#This Row],[Precio Lista CDR]]-Tabla1[[#This Row],[PrecioFábrica]])/Tabla1[[#This Row],[Precio Lista CDR]]</f>
        <v>0.71464798218760006</v>
      </c>
      <c r="M300" s="12">
        <f>(Tabla1[[#This Row],[Lista 1 (20%)]]-Tabla1[[#This Row],[PrecioFábrica]])/Tabla1[[#This Row],[Lista 1 (20%)]]</f>
        <v>0.64330997773450005</v>
      </c>
      <c r="N300" s="12">
        <f>(Tabla1[[#This Row],[Lista 2 (30%)]]-Tabla1[[#This Row],[PrecioFábrica]])/Tabla1[[#This Row],[Lista 2 (30%)]]</f>
        <v>0.59235426026799998</v>
      </c>
      <c r="O300" s="12">
        <f>(Tabla1[[#This Row],[Lista 3 (40%)]]-Tabla1[[#This Row],[PrecioFábrica]])/Tabla1[[#This Row],[Lista 3 (40%)]]</f>
        <v>0.52441330364600003</v>
      </c>
    </row>
    <row r="301" spans="1:15">
      <c r="A301" t="s">
        <v>6</v>
      </c>
      <c r="B301" t="s">
        <v>310</v>
      </c>
      <c r="C301" t="s">
        <v>1112</v>
      </c>
      <c r="D301" t="s">
        <v>811</v>
      </c>
      <c r="E301" t="s">
        <v>5</v>
      </c>
      <c r="F301" s="3">
        <v>2.2583333333333333</v>
      </c>
      <c r="G301" s="10">
        <f>VLOOKUP(Tabla1[[#This Row],[Código Unificador]],PRECIOS_COMPETENCIA!B:D,3,FALSE)</f>
        <v>16.942116666666667</v>
      </c>
      <c r="H301" s="10">
        <f>Tabla1[[#This Row],[PVP Competencia]]*0.98</f>
        <v>16.603274333333335</v>
      </c>
      <c r="I301" s="10">
        <f>Tabla1[[#This Row],[Precio Lista CDR]]*0.8</f>
        <v>13.282619466666668</v>
      </c>
      <c r="J301" s="10">
        <f>Tabla1[[#This Row],[Precio Lista CDR]]*0.7</f>
        <v>11.622292033333334</v>
      </c>
      <c r="K301" s="10">
        <f>Tabla1[[#This Row],[Precio Lista CDR]]*0.6</f>
        <v>9.9619645999999999</v>
      </c>
      <c r="L301" s="12">
        <f>(Tabla1[[#This Row],[Precio Lista CDR]]-Tabla1[[#This Row],[PrecioFábrica]])/Tabla1[[#This Row],[Precio Lista CDR]]</f>
        <v>0.86398265257838802</v>
      </c>
      <c r="M301" s="12">
        <f>(Tabla1[[#This Row],[Lista 1 (20%)]]-Tabla1[[#This Row],[PrecioFábrica]])/Tabla1[[#This Row],[Lista 1 (20%)]]</f>
        <v>0.82997831572298508</v>
      </c>
      <c r="N301" s="12">
        <f>(Tabla1[[#This Row],[Lista 2 (30%)]]-Tabla1[[#This Row],[PrecioFábrica]])/Tabla1[[#This Row],[Lista 2 (30%)]]</f>
        <v>0.80568950368341152</v>
      </c>
      <c r="O301" s="12">
        <f>(Tabla1[[#This Row],[Lista 3 (40%)]]-Tabla1[[#This Row],[PrecioFábrica]])/Tabla1[[#This Row],[Lista 3 (40%)]]</f>
        <v>0.77330442096398</v>
      </c>
    </row>
    <row r="302" spans="1:15">
      <c r="A302" t="s">
        <v>9</v>
      </c>
      <c r="B302" t="s">
        <v>311</v>
      </c>
      <c r="C302" t="s">
        <v>1113</v>
      </c>
      <c r="D302" t="s">
        <v>811</v>
      </c>
      <c r="E302" t="s">
        <v>5</v>
      </c>
      <c r="F302" s="3">
        <v>6.541666666666667</v>
      </c>
      <c r="G302" s="10">
        <f>VLOOKUP(Tabla1[[#This Row],[Código Unificador]],PRECIOS_COMPETENCIA!B:D,3,FALSE)</f>
        <v>29.539958333333335</v>
      </c>
      <c r="H302" s="10">
        <f>Tabla1[[#This Row],[PVP Competencia]]*0.98</f>
        <v>28.949159166666668</v>
      </c>
      <c r="I302" s="10">
        <f>Tabla1[[#This Row],[Precio Lista CDR]]*0.8</f>
        <v>23.159327333333337</v>
      </c>
      <c r="J302" s="10">
        <f>Tabla1[[#This Row],[Precio Lista CDR]]*0.7</f>
        <v>20.264411416666665</v>
      </c>
      <c r="K302" s="10">
        <f>Tabla1[[#This Row],[Precio Lista CDR]]*0.6</f>
        <v>17.369495499999999</v>
      </c>
      <c r="L302" s="12">
        <f>(Tabla1[[#This Row],[Precio Lista CDR]]-Tabla1[[#This Row],[PrecioFábrica]])/Tabla1[[#This Row],[Precio Lista CDR]]</f>
        <v>0.77402913055246769</v>
      </c>
      <c r="M302" s="12">
        <f>(Tabla1[[#This Row],[Lista 1 (20%)]]-Tabla1[[#This Row],[PrecioFábrica]])/Tabla1[[#This Row],[Lista 1 (20%)]]</f>
        <v>0.71753641319058459</v>
      </c>
      <c r="N302" s="12">
        <f>(Tabla1[[#This Row],[Lista 2 (30%)]]-Tabla1[[#This Row],[PrecioFábrica]])/Tabla1[[#This Row],[Lista 2 (30%)]]</f>
        <v>0.67718447221781086</v>
      </c>
      <c r="O302" s="12">
        <f>(Tabla1[[#This Row],[Lista 3 (40%)]]-Tabla1[[#This Row],[PrecioFábrica]])/Tabla1[[#This Row],[Lista 3 (40%)]]</f>
        <v>0.62338188425411278</v>
      </c>
    </row>
    <row r="303" spans="1:15">
      <c r="A303" t="s">
        <v>9</v>
      </c>
      <c r="B303" t="s">
        <v>312</v>
      </c>
      <c r="C303" t="s">
        <v>1114</v>
      </c>
      <c r="D303" t="s">
        <v>811</v>
      </c>
      <c r="E303" t="s">
        <v>5</v>
      </c>
      <c r="F303" s="3">
        <v>3.7833333333333337</v>
      </c>
      <c r="G303" s="10">
        <f>VLOOKUP(Tabla1[[#This Row],[Código Unificador]],PRECIOS_COMPETENCIA!B:D,3,FALSE)</f>
        <v>21.30081666666667</v>
      </c>
      <c r="H303" s="10">
        <f>Tabla1[[#This Row],[PVP Competencia]]*0.98</f>
        <v>20.874800333333337</v>
      </c>
      <c r="I303" s="10">
        <f>Tabla1[[#This Row],[Precio Lista CDR]]*0.8</f>
        <v>16.699840266666669</v>
      </c>
      <c r="J303" s="10">
        <f>Tabla1[[#This Row],[Precio Lista CDR]]*0.7</f>
        <v>14.612360233333334</v>
      </c>
      <c r="K303" s="10">
        <f>Tabla1[[#This Row],[Precio Lista CDR]]*0.6</f>
        <v>12.524880200000002</v>
      </c>
      <c r="L303" s="12">
        <f>(Tabla1[[#This Row],[Precio Lista CDR]]-Tabla1[[#This Row],[PrecioFábrica]])/Tabla1[[#This Row],[Precio Lista CDR]]</f>
        <v>0.81876074151990685</v>
      </c>
      <c r="M303" s="12">
        <f>(Tabla1[[#This Row],[Lista 1 (20%)]]-Tabla1[[#This Row],[PrecioFábrica]])/Tabla1[[#This Row],[Lista 1 (20%)]]</f>
        <v>0.77345092689988371</v>
      </c>
      <c r="N303" s="12">
        <f>(Tabla1[[#This Row],[Lista 2 (30%)]]-Tabla1[[#This Row],[PrecioFábrica]])/Tabla1[[#This Row],[Lista 2 (30%)]]</f>
        <v>0.74108677359986708</v>
      </c>
      <c r="O303" s="12">
        <f>(Tabla1[[#This Row],[Lista 3 (40%)]]-Tabla1[[#This Row],[PrecioFábrica]])/Tabla1[[#This Row],[Lista 3 (40%)]]</f>
        <v>0.69793456919984487</v>
      </c>
    </row>
    <row r="304" spans="1:15">
      <c r="A304" t="s">
        <v>9</v>
      </c>
      <c r="B304" t="s">
        <v>313</v>
      </c>
      <c r="C304" t="s">
        <v>1115</v>
      </c>
      <c r="D304" t="s">
        <v>811</v>
      </c>
      <c r="E304" t="s">
        <v>5</v>
      </c>
      <c r="F304" s="3">
        <v>3.2833333333333332</v>
      </c>
      <c r="G304" s="10">
        <f>VLOOKUP(Tabla1[[#This Row],[Código Unificador]],PRECIOS_COMPETENCIA!B:D,3,FALSE)</f>
        <v>20.2834</v>
      </c>
      <c r="H304" s="10">
        <f>Tabla1[[#This Row],[PVP Competencia]]*0.98</f>
        <v>19.877731999999998</v>
      </c>
      <c r="I304" s="10">
        <f>Tabla1[[#This Row],[Precio Lista CDR]]*0.8</f>
        <v>15.902185599999999</v>
      </c>
      <c r="J304" s="10">
        <f>Tabla1[[#This Row],[Precio Lista CDR]]*0.7</f>
        <v>13.914412399999998</v>
      </c>
      <c r="K304" s="10">
        <f>Tabla1[[#This Row],[Precio Lista CDR]]*0.6</f>
        <v>11.926639199999999</v>
      </c>
      <c r="L304" s="12">
        <f>(Tabla1[[#This Row],[Precio Lista CDR]]-Tabla1[[#This Row],[PrecioFábrica]])/Tabla1[[#This Row],[Precio Lista CDR]]</f>
        <v>0.8348235435846838</v>
      </c>
      <c r="M304" s="12">
        <f>(Tabla1[[#This Row],[Lista 1 (20%)]]-Tabla1[[#This Row],[PrecioFábrica]])/Tabla1[[#This Row],[Lista 1 (20%)]]</f>
        <v>0.79352942948085492</v>
      </c>
      <c r="N304" s="12">
        <f>(Tabla1[[#This Row],[Lista 2 (30%)]]-Tabla1[[#This Row],[PrecioFábrica]])/Tabla1[[#This Row],[Lista 2 (30%)]]</f>
        <v>0.76403363369240562</v>
      </c>
      <c r="O304" s="12">
        <f>(Tabla1[[#This Row],[Lista 3 (40%)]]-Tabla1[[#This Row],[PrecioFábrica]])/Tabla1[[#This Row],[Lista 3 (40%)]]</f>
        <v>0.72470590597447326</v>
      </c>
    </row>
    <row r="305" spans="1:15">
      <c r="A305" t="s">
        <v>9</v>
      </c>
      <c r="B305" t="s">
        <v>314</v>
      </c>
      <c r="C305" t="s">
        <v>1116</v>
      </c>
      <c r="D305" t="s">
        <v>811</v>
      </c>
      <c r="E305" t="s">
        <v>5</v>
      </c>
      <c r="F305" s="3">
        <v>1.8416666666666668</v>
      </c>
      <c r="G305" s="10">
        <f>VLOOKUP(Tabla1[[#This Row],[Código Unificador]],PRECIOS_COMPETENCIA!B:D,3,FALSE)</f>
        <v>15.7681</v>
      </c>
      <c r="H305" s="10">
        <f>Tabla1[[#This Row],[PVP Competencia]]*0.98</f>
        <v>15.452738</v>
      </c>
      <c r="I305" s="10">
        <f>Tabla1[[#This Row],[Precio Lista CDR]]*0.8</f>
        <v>12.362190400000001</v>
      </c>
      <c r="J305" s="10">
        <f>Tabla1[[#This Row],[Precio Lista CDR]]*0.7</f>
        <v>10.816916599999999</v>
      </c>
      <c r="K305" s="10">
        <f>Tabla1[[#This Row],[Precio Lista CDR]]*0.6</f>
        <v>9.2716428000000004</v>
      </c>
      <c r="L305" s="12">
        <f>(Tabla1[[#This Row],[Precio Lista CDR]]-Tabla1[[#This Row],[PrecioFábrica]])/Tabla1[[#This Row],[Precio Lista CDR]]</f>
        <v>0.88081939481102534</v>
      </c>
      <c r="M305" s="12">
        <f>(Tabla1[[#This Row],[Lista 1 (20%)]]-Tabla1[[#This Row],[PrecioFábrica]])/Tabla1[[#This Row],[Lista 1 (20%)]]</f>
        <v>0.85102424351378159</v>
      </c>
      <c r="N305" s="12">
        <f>(Tabla1[[#This Row],[Lista 2 (30%)]]-Tabla1[[#This Row],[PrecioFábrica]])/Tabla1[[#This Row],[Lista 2 (30%)]]</f>
        <v>0.82974199258717896</v>
      </c>
      <c r="O305" s="12">
        <f>(Tabla1[[#This Row],[Lista 3 (40%)]]-Tabla1[[#This Row],[PrecioFábrica]])/Tabla1[[#This Row],[Lista 3 (40%)]]</f>
        <v>0.80136565801837545</v>
      </c>
    </row>
    <row r="306" spans="1:15">
      <c r="A306" t="s">
        <v>9</v>
      </c>
      <c r="B306" t="s">
        <v>315</v>
      </c>
      <c r="C306" t="s">
        <v>1117</v>
      </c>
      <c r="D306" t="s">
        <v>811</v>
      </c>
      <c r="E306" t="s">
        <v>5</v>
      </c>
      <c r="F306" s="3">
        <v>2.5833333333333335</v>
      </c>
      <c r="G306" s="10">
        <f>VLOOKUP(Tabla1[[#This Row],[Código Unificador]],PRECIOS_COMPETENCIA!B:D,3,FALSE)</f>
        <v>17.941166666666668</v>
      </c>
      <c r="H306" s="10">
        <f>Tabla1[[#This Row],[PVP Competencia]]*0.98</f>
        <v>17.582343333333334</v>
      </c>
      <c r="I306" s="10">
        <f>Tabla1[[#This Row],[Precio Lista CDR]]*0.8</f>
        <v>14.065874666666668</v>
      </c>
      <c r="J306" s="10">
        <f>Tabla1[[#This Row],[Precio Lista CDR]]*0.7</f>
        <v>12.307640333333334</v>
      </c>
      <c r="K306" s="10">
        <f>Tabla1[[#This Row],[Precio Lista CDR]]*0.6</f>
        <v>10.549405999999999</v>
      </c>
      <c r="L306" s="12">
        <f>(Tabla1[[#This Row],[Precio Lista CDR]]-Tabla1[[#This Row],[PrecioFábrica]])/Tabla1[[#This Row],[Precio Lista CDR]]</f>
        <v>0.85307229620321745</v>
      </c>
      <c r="M306" s="12">
        <f>(Tabla1[[#This Row],[Lista 1 (20%)]]-Tabla1[[#This Row],[PrecioFábrica]])/Tabla1[[#This Row],[Lista 1 (20%)]]</f>
        <v>0.81634037025402184</v>
      </c>
      <c r="N306" s="12">
        <f>(Tabla1[[#This Row],[Lista 2 (30%)]]-Tabla1[[#This Row],[PrecioFábrica]])/Tabla1[[#This Row],[Lista 2 (30%)]]</f>
        <v>0.79010328029031063</v>
      </c>
      <c r="O306" s="12">
        <f>(Tabla1[[#This Row],[Lista 3 (40%)]]-Tabla1[[#This Row],[PrecioFábrica]])/Tabla1[[#This Row],[Lista 3 (40%)]]</f>
        <v>0.75512049367202916</v>
      </c>
    </row>
    <row r="307" spans="1:15">
      <c r="A307" t="s">
        <v>9</v>
      </c>
      <c r="B307" t="s">
        <v>316</v>
      </c>
      <c r="C307" t="s">
        <v>1118</v>
      </c>
      <c r="D307" t="s">
        <v>811</v>
      </c>
      <c r="E307" t="s">
        <v>5</v>
      </c>
      <c r="F307" s="3">
        <v>2.041666666666667</v>
      </c>
      <c r="G307" s="10">
        <f>VLOOKUP(Tabla1[[#This Row],[Código Unificador]],PRECIOS_COMPETENCIA!B:D,3,FALSE)</f>
        <v>16.157666666666668</v>
      </c>
      <c r="H307" s="10">
        <f>Tabla1[[#This Row],[PVP Competencia]]*0.98</f>
        <v>15.834513333333334</v>
      </c>
      <c r="I307" s="10">
        <f>Tabla1[[#This Row],[Precio Lista CDR]]*0.8</f>
        <v>12.667610666666668</v>
      </c>
      <c r="J307" s="10">
        <f>Tabla1[[#This Row],[Precio Lista CDR]]*0.7</f>
        <v>11.084159333333332</v>
      </c>
      <c r="K307" s="10">
        <f>Tabla1[[#This Row],[Precio Lista CDR]]*0.6</f>
        <v>9.5007079999999995</v>
      </c>
      <c r="L307" s="12">
        <f>(Tabla1[[#This Row],[Precio Lista CDR]]-Tabla1[[#This Row],[PrecioFábrica]])/Tabla1[[#This Row],[Precio Lista CDR]]</f>
        <v>0.87106224083510397</v>
      </c>
      <c r="M307" s="12">
        <f>(Tabla1[[#This Row],[Lista 1 (20%)]]-Tabla1[[#This Row],[PrecioFábrica]])/Tabla1[[#This Row],[Lista 1 (20%)]]</f>
        <v>0.83882780104387999</v>
      </c>
      <c r="N307" s="12">
        <f>(Tabla1[[#This Row],[Lista 2 (30%)]]-Tabla1[[#This Row],[PrecioFábrica]])/Tabla1[[#This Row],[Lista 2 (30%)]]</f>
        <v>0.81580320119300564</v>
      </c>
      <c r="O307" s="12">
        <f>(Tabla1[[#This Row],[Lista 3 (40%)]]-Tabla1[[#This Row],[PrecioFábrica]])/Tabla1[[#This Row],[Lista 3 (40%)]]</f>
        <v>0.78510373472517347</v>
      </c>
    </row>
    <row r="308" spans="1:15">
      <c r="A308" t="s">
        <v>9</v>
      </c>
      <c r="B308" t="s">
        <v>317</v>
      </c>
      <c r="C308" t="s">
        <v>1119</v>
      </c>
      <c r="D308" t="s">
        <v>811</v>
      </c>
      <c r="E308" t="s">
        <v>5</v>
      </c>
      <c r="F308" s="3">
        <v>2.1166666666666667</v>
      </c>
      <c r="G308" s="10">
        <f>VLOOKUP(Tabla1[[#This Row],[Código Unificador]],PRECIOS_COMPETENCIA!B:D,3,FALSE)</f>
        <v>16.322483333333334</v>
      </c>
      <c r="H308" s="10">
        <f>Tabla1[[#This Row],[PVP Competencia]]*0.98</f>
        <v>15.996033666666667</v>
      </c>
      <c r="I308" s="10">
        <f>Tabla1[[#This Row],[Precio Lista CDR]]*0.8</f>
        <v>12.796826933333335</v>
      </c>
      <c r="J308" s="10">
        <f>Tabla1[[#This Row],[Precio Lista CDR]]*0.7</f>
        <v>11.197223566666667</v>
      </c>
      <c r="K308" s="10">
        <f>Tabla1[[#This Row],[Precio Lista CDR]]*0.6</f>
        <v>9.5976201999999997</v>
      </c>
      <c r="L308" s="12">
        <f>(Tabla1[[#This Row],[Precio Lista CDR]]-Tabla1[[#This Row],[PrecioFábrica]])/Tabla1[[#This Row],[Precio Lista CDR]]</f>
        <v>0.86767553064873304</v>
      </c>
      <c r="M308" s="12">
        <f>(Tabla1[[#This Row],[Lista 1 (20%)]]-Tabla1[[#This Row],[PrecioFábrica]])/Tabla1[[#This Row],[Lista 1 (20%)]]</f>
        <v>0.83459441331091633</v>
      </c>
      <c r="N308" s="12">
        <f>(Tabla1[[#This Row],[Lista 2 (30%)]]-Tabla1[[#This Row],[PrecioFábrica]])/Tabla1[[#This Row],[Lista 2 (30%)]]</f>
        <v>0.81096504378390444</v>
      </c>
      <c r="O308" s="12">
        <f>(Tabla1[[#This Row],[Lista 3 (40%)]]-Tabla1[[#This Row],[PrecioFábrica]])/Tabla1[[#This Row],[Lista 3 (40%)]]</f>
        <v>0.77945921774788851</v>
      </c>
    </row>
    <row r="309" spans="1:15">
      <c r="A309" t="s">
        <v>6</v>
      </c>
      <c r="B309" t="s">
        <v>318</v>
      </c>
      <c r="C309" t="s">
        <v>1120</v>
      </c>
      <c r="D309" t="s">
        <v>811</v>
      </c>
      <c r="E309" t="s">
        <v>5</v>
      </c>
      <c r="F309" s="3">
        <v>2.041666666666667</v>
      </c>
      <c r="G309" s="10">
        <f>VLOOKUP(Tabla1[[#This Row],[Código Unificador]],PRECIOS_COMPETENCIA!B:D,3,FALSE)</f>
        <v>16.098458333333333</v>
      </c>
      <c r="H309" s="10">
        <f>Tabla1[[#This Row],[PVP Competencia]]*0.98</f>
        <v>15.776489166666666</v>
      </c>
      <c r="I309" s="10">
        <f>Tabla1[[#This Row],[Precio Lista CDR]]*0.8</f>
        <v>12.621191333333334</v>
      </c>
      <c r="J309" s="10">
        <f>Tabla1[[#This Row],[Precio Lista CDR]]*0.7</f>
        <v>11.043542416666666</v>
      </c>
      <c r="K309" s="10">
        <f>Tabla1[[#This Row],[Precio Lista CDR]]*0.6</f>
        <v>9.4658935</v>
      </c>
      <c r="L309" s="12">
        <f>(Tabla1[[#This Row],[Precio Lista CDR]]-Tabla1[[#This Row],[PrecioFábrica]])/Tabla1[[#This Row],[Precio Lista CDR]]</f>
        <v>0.87058802214497766</v>
      </c>
      <c r="M309" s="12">
        <f>(Tabla1[[#This Row],[Lista 1 (20%)]]-Tabla1[[#This Row],[PrecioFábrica]])/Tabla1[[#This Row],[Lista 1 (20%)]]</f>
        <v>0.83823502768122216</v>
      </c>
      <c r="N309" s="12">
        <f>(Tabla1[[#This Row],[Lista 2 (30%)]]-Tabla1[[#This Row],[PrecioFábrica]])/Tabla1[[#This Row],[Lista 2 (30%)]]</f>
        <v>0.81512574592139664</v>
      </c>
      <c r="O309" s="12">
        <f>(Tabla1[[#This Row],[Lista 3 (40%)]]-Tabla1[[#This Row],[PrecioFábrica]])/Tabla1[[#This Row],[Lista 3 (40%)]]</f>
        <v>0.78431337024162939</v>
      </c>
    </row>
    <row r="310" spans="1:15">
      <c r="A310" t="s">
        <v>9</v>
      </c>
      <c r="B310" t="s">
        <v>319</v>
      </c>
      <c r="C310" t="s">
        <v>1121</v>
      </c>
      <c r="D310" t="s">
        <v>811</v>
      </c>
      <c r="E310" t="s">
        <v>5</v>
      </c>
      <c r="F310" s="3">
        <v>2.7083333333333335</v>
      </c>
      <c r="G310" s="10">
        <f>VLOOKUP(Tabla1[[#This Row],[Código Unificador]],PRECIOS_COMPETENCIA!B:D,3,FALSE)</f>
        <v>18.246874999999999</v>
      </c>
      <c r="H310" s="10">
        <f>Tabla1[[#This Row],[PVP Competencia]]*0.98</f>
        <v>17.881937499999999</v>
      </c>
      <c r="I310" s="10">
        <f>Tabla1[[#This Row],[Precio Lista CDR]]*0.8</f>
        <v>14.30555</v>
      </c>
      <c r="J310" s="10">
        <f>Tabla1[[#This Row],[Precio Lista CDR]]*0.7</f>
        <v>12.517356249999999</v>
      </c>
      <c r="K310" s="10">
        <f>Tabla1[[#This Row],[Precio Lista CDR]]*0.6</f>
        <v>10.729162499999999</v>
      </c>
      <c r="L310" s="12">
        <f>(Tabla1[[#This Row],[Precio Lista CDR]]-Tabla1[[#This Row],[PrecioFábrica]])/Tabla1[[#This Row],[Precio Lista CDR]]</f>
        <v>0.84854363050238069</v>
      </c>
      <c r="M310" s="12">
        <f>(Tabla1[[#This Row],[Lista 1 (20%)]]-Tabla1[[#This Row],[PrecioFábrica]])/Tabla1[[#This Row],[Lista 1 (20%)]]</f>
        <v>0.81067953812797588</v>
      </c>
      <c r="N310" s="12">
        <f>(Tabla1[[#This Row],[Lista 2 (30%)]]-Tabla1[[#This Row],[PrecioFábrica]])/Tabla1[[#This Row],[Lista 2 (30%)]]</f>
        <v>0.7836337578605439</v>
      </c>
      <c r="O310" s="12">
        <f>(Tabla1[[#This Row],[Lista 3 (40%)]]-Tabla1[[#This Row],[PrecioFábrica]])/Tabla1[[#This Row],[Lista 3 (40%)]]</f>
        <v>0.74757271750396792</v>
      </c>
    </row>
    <row r="311" spans="1:15">
      <c r="A311" t="s">
        <v>9</v>
      </c>
      <c r="B311" t="s">
        <v>320</v>
      </c>
      <c r="C311" t="s">
        <v>1122</v>
      </c>
      <c r="D311" t="s">
        <v>811</v>
      </c>
      <c r="E311" t="s">
        <v>5</v>
      </c>
      <c r="F311" s="3">
        <v>18.25</v>
      </c>
      <c r="G311" s="10">
        <f>VLOOKUP(Tabla1[[#This Row],[Código Unificador]],PRECIOS_COMPETENCIA!B:D,3,FALSE)</f>
        <v>65.042000000000002</v>
      </c>
      <c r="H311" s="10">
        <f>Tabla1[[#This Row],[PVP Competencia]]*0.98</f>
        <v>63.741160000000001</v>
      </c>
      <c r="I311" s="10">
        <f>Tabla1[[#This Row],[Precio Lista CDR]]*0.8</f>
        <v>50.992928000000006</v>
      </c>
      <c r="J311" s="10">
        <f>Tabla1[[#This Row],[Precio Lista CDR]]*0.7</f>
        <v>44.618811999999998</v>
      </c>
      <c r="K311" s="10">
        <f>Tabla1[[#This Row],[Precio Lista CDR]]*0.6</f>
        <v>38.244695999999998</v>
      </c>
      <c r="L311" s="12">
        <f>(Tabla1[[#This Row],[Precio Lista CDR]]-Tabla1[[#This Row],[PrecioFábrica]])/Tabla1[[#This Row],[Precio Lista CDR]]</f>
        <v>0.71368578795867532</v>
      </c>
      <c r="M311" s="12">
        <f>(Tabla1[[#This Row],[Lista 1 (20%)]]-Tabla1[[#This Row],[PrecioFábrica]])/Tabla1[[#This Row],[Lista 1 (20%)]]</f>
        <v>0.64210723494834421</v>
      </c>
      <c r="N311" s="12">
        <f>(Tabla1[[#This Row],[Lista 2 (30%)]]-Tabla1[[#This Row],[PrecioFábrica]])/Tabla1[[#This Row],[Lista 2 (30%)]]</f>
        <v>0.59097969708382192</v>
      </c>
      <c r="O311" s="12">
        <f>(Tabla1[[#This Row],[Lista 3 (40%)]]-Tabla1[[#This Row],[PrecioFábrica]])/Tabla1[[#This Row],[Lista 3 (40%)]]</f>
        <v>0.52280964659779228</v>
      </c>
    </row>
    <row r="312" spans="1:15">
      <c r="A312" t="s">
        <v>6</v>
      </c>
      <c r="B312" t="s">
        <v>321</v>
      </c>
      <c r="C312" t="s">
        <v>1123</v>
      </c>
      <c r="D312" t="s">
        <v>811</v>
      </c>
      <c r="E312" t="s">
        <v>5</v>
      </c>
      <c r="F312" s="3">
        <v>5.2583333333333329</v>
      </c>
      <c r="G312" s="10">
        <f>VLOOKUP(Tabla1[[#This Row],[Código Unificador]],PRECIOS_COMPETENCIA!B:D,3,FALSE)</f>
        <v>25.70664166666667</v>
      </c>
      <c r="H312" s="10">
        <f>Tabla1[[#This Row],[PVP Competencia]]*0.98</f>
        <v>25.192508833333335</v>
      </c>
      <c r="I312" s="10">
        <f>Tabla1[[#This Row],[Precio Lista CDR]]*0.8</f>
        <v>20.154007066666669</v>
      </c>
      <c r="J312" s="10">
        <f>Tabla1[[#This Row],[Precio Lista CDR]]*0.7</f>
        <v>17.634756183333334</v>
      </c>
      <c r="K312" s="10">
        <f>Tabla1[[#This Row],[Precio Lista CDR]]*0.6</f>
        <v>15.115505300000001</v>
      </c>
      <c r="L312" s="12">
        <f>(Tabla1[[#This Row],[Precio Lista CDR]]-Tabla1[[#This Row],[PrecioFábrica]])/Tabla1[[#This Row],[Precio Lista CDR]]</f>
        <v>0.79127393114671463</v>
      </c>
      <c r="M312" s="12">
        <f>(Tabla1[[#This Row],[Lista 1 (20%)]]-Tabla1[[#This Row],[PrecioFábrica]])/Tabla1[[#This Row],[Lista 1 (20%)]]</f>
        <v>0.73909241393339331</v>
      </c>
      <c r="N312" s="12">
        <f>(Tabla1[[#This Row],[Lista 2 (30%)]]-Tabla1[[#This Row],[PrecioFábrica]])/Tabla1[[#This Row],[Lista 2 (30%)]]</f>
        <v>0.70181990163816377</v>
      </c>
      <c r="O312" s="12">
        <f>(Tabla1[[#This Row],[Lista 3 (40%)]]-Tabla1[[#This Row],[PrecioFábrica]])/Tabla1[[#This Row],[Lista 3 (40%)]]</f>
        <v>0.65212321857785771</v>
      </c>
    </row>
    <row r="313" spans="1:15">
      <c r="A313" t="s">
        <v>9</v>
      </c>
      <c r="B313" t="s">
        <v>322</v>
      </c>
      <c r="C313" t="s">
        <v>1124</v>
      </c>
      <c r="D313" t="s">
        <v>811</v>
      </c>
      <c r="E313" t="s">
        <v>5</v>
      </c>
      <c r="F313" s="3">
        <v>5.3833333333333337</v>
      </c>
      <c r="G313" s="10">
        <f>VLOOKUP(Tabla1[[#This Row],[Código Unificador]],PRECIOS_COMPETENCIA!B:D,3,FALSE)</f>
        <v>26.236133333333335</v>
      </c>
      <c r="H313" s="10">
        <f>Tabla1[[#This Row],[PVP Competencia]]*0.98</f>
        <v>25.711410666666669</v>
      </c>
      <c r="I313" s="10">
        <f>Tabla1[[#This Row],[Precio Lista CDR]]*0.8</f>
        <v>20.569128533333338</v>
      </c>
      <c r="J313" s="10">
        <f>Tabla1[[#This Row],[Precio Lista CDR]]*0.7</f>
        <v>17.997987466666668</v>
      </c>
      <c r="K313" s="10">
        <f>Tabla1[[#This Row],[Precio Lista CDR]]*0.6</f>
        <v>15.426846400000001</v>
      </c>
      <c r="L313" s="12">
        <f>(Tabla1[[#This Row],[Precio Lista CDR]]-Tabla1[[#This Row],[PrecioFábrica]])/Tabla1[[#This Row],[Precio Lista CDR]]</f>
        <v>0.7906247384429782</v>
      </c>
      <c r="M313" s="12">
        <f>(Tabla1[[#This Row],[Lista 1 (20%)]]-Tabla1[[#This Row],[PrecioFábrica]])/Tabla1[[#This Row],[Lista 1 (20%)]]</f>
        <v>0.73828092305372284</v>
      </c>
      <c r="N313" s="12">
        <f>(Tabla1[[#This Row],[Lista 2 (30%)]]-Tabla1[[#This Row],[PrecioFábrica]])/Tabla1[[#This Row],[Lista 2 (30%)]]</f>
        <v>0.70089248348996891</v>
      </c>
      <c r="O313" s="12">
        <f>(Tabla1[[#This Row],[Lista 3 (40%)]]-Tabla1[[#This Row],[PrecioFábrica]])/Tabla1[[#This Row],[Lista 3 (40%)]]</f>
        <v>0.65104123073829689</v>
      </c>
    </row>
    <row r="314" spans="1:15">
      <c r="A314" t="s">
        <v>7</v>
      </c>
      <c r="B314" t="s">
        <v>323</v>
      </c>
      <c r="C314" t="s">
        <v>1125</v>
      </c>
      <c r="D314" t="s">
        <v>811</v>
      </c>
      <c r="E314" t="s">
        <v>5</v>
      </c>
      <c r="F314" s="3">
        <v>6.3833333333333337</v>
      </c>
      <c r="G314" s="10">
        <f>VLOOKUP(Tabla1[[#This Row],[Código Unificador]],PRECIOS_COMPETENCIA!B:D,3,FALSE)</f>
        <v>29.437250000000002</v>
      </c>
      <c r="H314" s="10">
        <f>Tabla1[[#This Row],[PVP Competencia]]*0.98</f>
        <v>28.848505000000003</v>
      </c>
      <c r="I314" s="10">
        <f>Tabla1[[#This Row],[Precio Lista CDR]]*0.8</f>
        <v>23.078804000000005</v>
      </c>
      <c r="J314" s="10">
        <f>Tabla1[[#This Row],[Precio Lista CDR]]*0.7</f>
        <v>20.193953499999999</v>
      </c>
      <c r="K314" s="10">
        <f>Tabla1[[#This Row],[Precio Lista CDR]]*0.6</f>
        <v>17.309103</v>
      </c>
      <c r="L314" s="12">
        <f>(Tabla1[[#This Row],[Precio Lista CDR]]-Tabla1[[#This Row],[PrecioFábrica]])/Tabla1[[#This Row],[Precio Lista CDR]]</f>
        <v>0.7787291461608381</v>
      </c>
      <c r="M314" s="12">
        <f>(Tabla1[[#This Row],[Lista 1 (20%)]]-Tabla1[[#This Row],[PrecioFábrica]])/Tabla1[[#This Row],[Lista 1 (20%)]]</f>
        <v>0.72341143270104757</v>
      </c>
      <c r="N314" s="12">
        <f>(Tabla1[[#This Row],[Lista 2 (30%)]]-Tabla1[[#This Row],[PrecioFábrica]])/Tabla1[[#This Row],[Lista 2 (30%)]]</f>
        <v>0.68389878022976858</v>
      </c>
      <c r="O314" s="12">
        <f>(Tabla1[[#This Row],[Lista 3 (40%)]]-Tabla1[[#This Row],[PrecioFábrica]])/Tabla1[[#This Row],[Lista 3 (40%)]]</f>
        <v>0.6312152436013968</v>
      </c>
    </row>
    <row r="315" spans="1:15">
      <c r="A315" t="s">
        <v>9</v>
      </c>
      <c r="B315" t="s">
        <v>324</v>
      </c>
      <c r="C315" t="s">
        <v>1126</v>
      </c>
      <c r="D315" t="s">
        <v>811</v>
      </c>
      <c r="E315" t="s">
        <v>5</v>
      </c>
      <c r="F315" s="3">
        <v>7.1749999999999998</v>
      </c>
      <c r="G315" s="10">
        <f>VLOOKUP(Tabla1[[#This Row],[Código Unificador]],PRECIOS_COMPETENCIA!B:D,3,FALSE)</f>
        <v>32.264025000000004</v>
      </c>
      <c r="H315" s="10">
        <f>Tabla1[[#This Row],[PVP Competencia]]*0.98</f>
        <v>31.618744500000002</v>
      </c>
      <c r="I315" s="10">
        <f>Tabla1[[#This Row],[Precio Lista CDR]]*0.8</f>
        <v>25.294995600000004</v>
      </c>
      <c r="J315" s="10">
        <f>Tabla1[[#This Row],[Precio Lista CDR]]*0.7</f>
        <v>22.133121150000001</v>
      </c>
      <c r="K315" s="10">
        <f>Tabla1[[#This Row],[Precio Lista CDR]]*0.6</f>
        <v>18.971246700000002</v>
      </c>
      <c r="L315" s="12">
        <f>(Tabla1[[#This Row],[Precio Lista CDR]]-Tabla1[[#This Row],[PrecioFábrica]])/Tabla1[[#This Row],[Precio Lista CDR]]</f>
        <v>0.7730776438640693</v>
      </c>
      <c r="M315" s="12">
        <f>(Tabla1[[#This Row],[Lista 1 (20%)]]-Tabla1[[#This Row],[PrecioFábrica]])/Tabla1[[#This Row],[Lista 1 (20%)]]</f>
        <v>0.71634705483008665</v>
      </c>
      <c r="N315" s="12">
        <f>(Tabla1[[#This Row],[Lista 2 (30%)]]-Tabla1[[#This Row],[PrecioFábrica]])/Tabla1[[#This Row],[Lista 2 (30%)]]</f>
        <v>0.67582520552009895</v>
      </c>
      <c r="O315" s="12">
        <f>(Tabla1[[#This Row],[Lista 3 (40%)]]-Tabla1[[#This Row],[PrecioFábrica]])/Tabla1[[#This Row],[Lista 3 (40%)]]</f>
        <v>0.6217960731067822</v>
      </c>
    </row>
    <row r="316" spans="1:15">
      <c r="A316" t="s">
        <v>6</v>
      </c>
      <c r="B316" t="s">
        <v>325</v>
      </c>
      <c r="C316" t="s">
        <v>1127</v>
      </c>
      <c r="D316" t="s">
        <v>811</v>
      </c>
      <c r="E316" t="s">
        <v>5</v>
      </c>
      <c r="F316" s="3">
        <v>5.3500000000000005</v>
      </c>
      <c r="G316" s="10">
        <f>VLOOKUP(Tabla1[[#This Row],[Código Unificador]],PRECIOS_COMPETENCIA!B:D,3,FALSE)</f>
        <v>26.601050000000004</v>
      </c>
      <c r="H316" s="10">
        <f>Tabla1[[#This Row],[PVP Competencia]]*0.98</f>
        <v>26.069029000000004</v>
      </c>
      <c r="I316" s="10">
        <f>Tabla1[[#This Row],[Precio Lista CDR]]*0.8</f>
        <v>20.855223200000005</v>
      </c>
      <c r="J316" s="10">
        <f>Tabla1[[#This Row],[Precio Lista CDR]]*0.7</f>
        <v>18.248320300000003</v>
      </c>
      <c r="K316" s="10">
        <f>Tabla1[[#This Row],[Precio Lista CDR]]*0.6</f>
        <v>15.641417400000002</v>
      </c>
      <c r="L316" s="12">
        <f>(Tabla1[[#This Row],[Precio Lista CDR]]-Tabla1[[#This Row],[PrecioFábrica]])/Tabla1[[#This Row],[Precio Lista CDR]]</f>
        <v>0.79477563203447277</v>
      </c>
      <c r="M316" s="12">
        <f>(Tabla1[[#This Row],[Lista 1 (20%)]]-Tabla1[[#This Row],[PrecioFábrica]])/Tabla1[[#This Row],[Lista 1 (20%)]]</f>
        <v>0.74346954004309096</v>
      </c>
      <c r="N316" s="12">
        <f>(Tabla1[[#This Row],[Lista 2 (30%)]]-Tabla1[[#This Row],[PrecioFábrica]])/Tabla1[[#This Row],[Lista 2 (30%)]]</f>
        <v>0.70682233147781826</v>
      </c>
      <c r="O316" s="12">
        <f>(Tabla1[[#This Row],[Lista 3 (40%)]]-Tabla1[[#This Row],[PrecioFábrica]])/Tabla1[[#This Row],[Lista 3 (40%)]]</f>
        <v>0.65795938672412124</v>
      </c>
    </row>
    <row r="317" spans="1:15">
      <c r="A317" t="s">
        <v>7</v>
      </c>
      <c r="B317" t="s">
        <v>326</v>
      </c>
      <c r="C317" t="s">
        <v>1128</v>
      </c>
      <c r="D317" t="s">
        <v>811</v>
      </c>
      <c r="E317" t="s">
        <v>5</v>
      </c>
      <c r="F317" s="3">
        <v>5.625</v>
      </c>
      <c r="G317" s="10">
        <f>VLOOKUP(Tabla1[[#This Row],[Código Unificador]],PRECIOS_COMPETENCIA!B:D,3,FALSE)</f>
        <v>26.638750000000002</v>
      </c>
      <c r="H317" s="10">
        <f>Tabla1[[#This Row],[PVP Competencia]]*0.98</f>
        <v>26.105975000000001</v>
      </c>
      <c r="I317" s="10">
        <f>Tabla1[[#This Row],[Precio Lista CDR]]*0.8</f>
        <v>20.884780000000003</v>
      </c>
      <c r="J317" s="10">
        <f>Tabla1[[#This Row],[Precio Lista CDR]]*0.7</f>
        <v>18.274182499999998</v>
      </c>
      <c r="K317" s="10">
        <f>Tabla1[[#This Row],[Precio Lista CDR]]*0.6</f>
        <v>15.663584999999999</v>
      </c>
      <c r="L317" s="12">
        <f>(Tabla1[[#This Row],[Precio Lista CDR]]-Tabla1[[#This Row],[PrecioFábrica]])/Tabla1[[#This Row],[Precio Lista CDR]]</f>
        <v>0.78453208508780081</v>
      </c>
      <c r="M317" s="12">
        <f>(Tabla1[[#This Row],[Lista 1 (20%)]]-Tabla1[[#This Row],[PrecioFábrica]])/Tabla1[[#This Row],[Lista 1 (20%)]]</f>
        <v>0.73066510635975102</v>
      </c>
      <c r="N317" s="12">
        <f>(Tabla1[[#This Row],[Lista 2 (30%)]]-Tabla1[[#This Row],[PrecioFábrica]])/Tabla1[[#This Row],[Lista 2 (30%)]]</f>
        <v>0.69218869298257257</v>
      </c>
      <c r="O317" s="12">
        <f>(Tabla1[[#This Row],[Lista 3 (40%)]]-Tabla1[[#This Row],[PrecioFábrica]])/Tabla1[[#This Row],[Lista 3 (40%)]]</f>
        <v>0.64088680847966795</v>
      </c>
    </row>
    <row r="318" spans="1:15">
      <c r="A318" t="s">
        <v>7</v>
      </c>
      <c r="B318" t="s">
        <v>327</v>
      </c>
      <c r="C318" t="s">
        <v>1129</v>
      </c>
      <c r="D318" t="s">
        <v>811</v>
      </c>
      <c r="E318" t="s">
        <v>5</v>
      </c>
      <c r="F318" s="3">
        <v>4.8416666666666677</v>
      </c>
      <c r="G318" s="10">
        <f>VLOOKUP(Tabla1[[#This Row],[Código Unificador]],PRECIOS_COMPETENCIA!B:D,3,FALSE)</f>
        <v>24.321650000000005</v>
      </c>
      <c r="H318" s="10">
        <f>Tabla1[[#This Row],[PVP Competencia]]*0.98</f>
        <v>23.835217000000004</v>
      </c>
      <c r="I318" s="10">
        <f>Tabla1[[#This Row],[Precio Lista CDR]]*0.8</f>
        <v>19.068173600000005</v>
      </c>
      <c r="J318" s="10">
        <f>Tabla1[[#This Row],[Precio Lista CDR]]*0.7</f>
        <v>16.684651900000002</v>
      </c>
      <c r="K318" s="10">
        <f>Tabla1[[#This Row],[Precio Lista CDR]]*0.6</f>
        <v>14.301130200000001</v>
      </c>
      <c r="L318" s="12">
        <f>(Tabla1[[#This Row],[Precio Lista CDR]]-Tabla1[[#This Row],[PrecioFábrica]])/Tabla1[[#This Row],[Precio Lista CDR]]</f>
        <v>0.79686920128872052</v>
      </c>
      <c r="M318" s="12">
        <f>(Tabla1[[#This Row],[Lista 1 (20%)]]-Tabla1[[#This Row],[PrecioFábrica]])/Tabla1[[#This Row],[Lista 1 (20%)]]</f>
        <v>0.74608650161090062</v>
      </c>
      <c r="N318" s="12">
        <f>(Tabla1[[#This Row],[Lista 2 (30%)]]-Tabla1[[#This Row],[PrecioFábrica]])/Tabla1[[#This Row],[Lista 2 (30%)]]</f>
        <v>0.70981314469817214</v>
      </c>
      <c r="O318" s="12">
        <f>(Tabla1[[#This Row],[Lista 3 (40%)]]-Tabla1[[#This Row],[PrecioFábrica]])/Tabla1[[#This Row],[Lista 3 (40%)]]</f>
        <v>0.66144866881453424</v>
      </c>
    </row>
    <row r="319" spans="1:15">
      <c r="A319" t="s">
        <v>6</v>
      </c>
      <c r="B319" t="s">
        <v>328</v>
      </c>
      <c r="C319" t="s">
        <v>1130</v>
      </c>
      <c r="D319" t="s">
        <v>811</v>
      </c>
      <c r="E319" t="s">
        <v>5</v>
      </c>
      <c r="F319" s="3">
        <v>5.2083333333333339</v>
      </c>
      <c r="G319" s="10">
        <f>VLOOKUP(Tabla1[[#This Row],[Código Unificador]],PRECIOS_COMPETENCIA!B:D,3,FALSE)</f>
        <v>20.2</v>
      </c>
      <c r="H319" s="10">
        <f>Tabla1[[#This Row],[PVP Competencia]]*0.98</f>
        <v>19.795999999999999</v>
      </c>
      <c r="I319" s="10">
        <f>Tabla1[[#This Row],[Precio Lista CDR]]*0.8</f>
        <v>15.8368</v>
      </c>
      <c r="J319" s="10">
        <f>Tabla1[[#This Row],[Precio Lista CDR]]*0.7</f>
        <v>13.857199999999999</v>
      </c>
      <c r="K319" s="10">
        <f>Tabla1[[#This Row],[Precio Lista CDR]]*0.6</f>
        <v>11.877599999999999</v>
      </c>
      <c r="L319" s="12">
        <f>(Tabla1[[#This Row],[Precio Lista CDR]]-Tabla1[[#This Row],[PrecioFábrica]])/Tabla1[[#This Row],[Precio Lista CDR]]</f>
        <v>0.7368997103792011</v>
      </c>
      <c r="M319" s="12">
        <f>(Tabla1[[#This Row],[Lista 1 (20%)]]-Tabla1[[#This Row],[PrecioFábrica]])/Tabla1[[#This Row],[Lista 1 (20%)]]</f>
        <v>0.67112463797400146</v>
      </c>
      <c r="N319" s="12">
        <f>(Tabla1[[#This Row],[Lista 2 (30%)]]-Tabla1[[#This Row],[PrecioFábrica]])/Tabla1[[#This Row],[Lista 2 (30%)]]</f>
        <v>0.62414244339885872</v>
      </c>
      <c r="O319" s="12">
        <f>(Tabla1[[#This Row],[Lista 3 (40%)]]-Tabla1[[#This Row],[PrecioFábrica]])/Tabla1[[#This Row],[Lista 3 (40%)]]</f>
        <v>0.56149951729866854</v>
      </c>
    </row>
    <row r="320" spans="1:15">
      <c r="A320" t="s">
        <v>6</v>
      </c>
      <c r="B320" t="s">
        <v>329</v>
      </c>
      <c r="C320" t="s">
        <v>1131</v>
      </c>
      <c r="D320" t="s">
        <v>811</v>
      </c>
      <c r="E320" t="s">
        <v>5</v>
      </c>
      <c r="F320" s="3">
        <v>11.6</v>
      </c>
      <c r="G320" s="10">
        <f>VLOOKUP(Tabla1[[#This Row],[Código Unificador]],PRECIOS_COMPETENCIA!B:D,3,FALSE)</f>
        <v>44.6492</v>
      </c>
      <c r="H320" s="10">
        <f>Tabla1[[#This Row],[PVP Competencia]]*0.98</f>
        <v>43.756216000000002</v>
      </c>
      <c r="I320" s="10">
        <f>Tabla1[[#This Row],[Precio Lista CDR]]*0.8</f>
        <v>35.004972800000004</v>
      </c>
      <c r="J320" s="10">
        <f>Tabla1[[#This Row],[Precio Lista CDR]]*0.7</f>
        <v>30.629351199999999</v>
      </c>
      <c r="K320" s="10">
        <f>Tabla1[[#This Row],[Precio Lista CDR]]*0.6</f>
        <v>26.2537296</v>
      </c>
      <c r="L320" s="12">
        <f>(Tabla1[[#This Row],[Precio Lista CDR]]-Tabla1[[#This Row],[PrecioFábrica]])/Tabla1[[#This Row],[Precio Lista CDR]]</f>
        <v>0.73489480900267978</v>
      </c>
      <c r="M320" s="12">
        <f>(Tabla1[[#This Row],[Lista 1 (20%)]]-Tabla1[[#This Row],[PrecioFábrica]])/Tabla1[[#This Row],[Lista 1 (20%)]]</f>
        <v>0.6686185112533497</v>
      </c>
      <c r="N320" s="12">
        <f>(Tabla1[[#This Row],[Lista 2 (30%)]]-Tabla1[[#This Row],[PrecioFábrica]])/Tabla1[[#This Row],[Lista 2 (30%)]]</f>
        <v>0.62127829857525685</v>
      </c>
      <c r="O320" s="12">
        <f>(Tabla1[[#This Row],[Lista 3 (40%)]]-Tabla1[[#This Row],[PrecioFábrica]])/Tabla1[[#This Row],[Lista 3 (40%)]]</f>
        <v>0.55815801500446627</v>
      </c>
    </row>
    <row r="321" spans="1:15">
      <c r="A321" t="s">
        <v>7</v>
      </c>
      <c r="B321" t="s">
        <v>330</v>
      </c>
      <c r="C321" t="s">
        <v>1132</v>
      </c>
      <c r="D321" t="s">
        <v>811</v>
      </c>
      <c r="E321" t="s">
        <v>10</v>
      </c>
      <c r="F321" s="3">
        <v>4.9833333333333343</v>
      </c>
      <c r="G321" s="10">
        <f>VLOOKUP(Tabla1[[#This Row],[Código Unificador]],PRECIOS_COMPETENCIA!B:D,3,FALSE)</f>
        <v>24.885216666666672</v>
      </c>
      <c r="H321" s="10">
        <f>Tabla1[[#This Row],[PVP Competencia]]*0.98</f>
        <v>24.387512333333337</v>
      </c>
      <c r="I321" s="10">
        <f>Tabla1[[#This Row],[Precio Lista CDR]]*0.8</f>
        <v>19.510009866666671</v>
      </c>
      <c r="J321" s="10">
        <f>Tabla1[[#This Row],[Precio Lista CDR]]*0.7</f>
        <v>17.071258633333336</v>
      </c>
      <c r="K321" s="10">
        <f>Tabla1[[#This Row],[Precio Lista CDR]]*0.6</f>
        <v>14.632507400000001</v>
      </c>
      <c r="L321" s="12">
        <f>(Tabla1[[#This Row],[Precio Lista CDR]]-Tabla1[[#This Row],[PrecioFábrica]])/Tabla1[[#This Row],[Precio Lista CDR]]</f>
        <v>0.79566044846148509</v>
      </c>
      <c r="M321" s="12">
        <f>(Tabla1[[#This Row],[Lista 1 (20%)]]-Tabla1[[#This Row],[PrecioFábrica]])/Tabla1[[#This Row],[Lista 1 (20%)]]</f>
        <v>0.74457556057685648</v>
      </c>
      <c r="N321" s="12">
        <f>(Tabla1[[#This Row],[Lista 2 (30%)]]-Tabla1[[#This Row],[PrecioFábrica]])/Tabla1[[#This Row],[Lista 2 (30%)]]</f>
        <v>0.70808635494497874</v>
      </c>
      <c r="O321" s="12">
        <f>(Tabla1[[#This Row],[Lista 3 (40%)]]-Tabla1[[#This Row],[PrecioFábrica]])/Tabla1[[#This Row],[Lista 3 (40%)]]</f>
        <v>0.65943408076914189</v>
      </c>
    </row>
    <row r="322" spans="1:15">
      <c r="A322" t="s">
        <v>7</v>
      </c>
      <c r="B322" t="s">
        <v>331</v>
      </c>
      <c r="C322" t="s">
        <v>1133</v>
      </c>
      <c r="D322" t="s">
        <v>811</v>
      </c>
      <c r="E322" t="s">
        <v>10</v>
      </c>
      <c r="F322" s="3">
        <v>4.5833333333333339</v>
      </c>
      <c r="G322" s="10">
        <f>VLOOKUP(Tabla1[[#This Row],[Código Unificador]],PRECIOS_COMPETENCIA!B:D,3,FALSE)</f>
        <v>24.089166666666671</v>
      </c>
      <c r="H322" s="10">
        <f>Tabla1[[#This Row],[PVP Competencia]]*0.98</f>
        <v>23.607383333333338</v>
      </c>
      <c r="I322" s="10">
        <f>Tabla1[[#This Row],[Precio Lista CDR]]*0.8</f>
        <v>18.885906666666671</v>
      </c>
      <c r="J322" s="10">
        <f>Tabla1[[#This Row],[Precio Lista CDR]]*0.7</f>
        <v>16.525168333333337</v>
      </c>
      <c r="K322" s="10">
        <f>Tabla1[[#This Row],[Precio Lista CDR]]*0.6</f>
        <v>14.164430000000003</v>
      </c>
      <c r="L322" s="12">
        <f>(Tabla1[[#This Row],[Precio Lista CDR]]-Tabla1[[#This Row],[PrecioFábrica]])/Tabla1[[#This Row],[Precio Lista CDR]]</f>
        <v>0.80585170035080822</v>
      </c>
      <c r="M322" s="12">
        <f>(Tabla1[[#This Row],[Lista 1 (20%)]]-Tabla1[[#This Row],[PrecioFábrica]])/Tabla1[[#This Row],[Lista 1 (20%)]]</f>
        <v>0.75731462543851047</v>
      </c>
      <c r="N322" s="12">
        <f>(Tabla1[[#This Row],[Lista 2 (30%)]]-Tabla1[[#This Row],[PrecioFábrica]])/Tabla1[[#This Row],[Lista 2 (30%)]]</f>
        <v>0.72264528621544044</v>
      </c>
      <c r="O322" s="12">
        <f>(Tabla1[[#This Row],[Lista 3 (40%)]]-Tabla1[[#This Row],[PrecioFábrica]])/Tabla1[[#This Row],[Lista 3 (40%)]]</f>
        <v>0.67641950058468059</v>
      </c>
    </row>
    <row r="323" spans="1:15">
      <c r="A323" t="s">
        <v>6</v>
      </c>
      <c r="B323" t="s">
        <v>332</v>
      </c>
      <c r="C323" t="s">
        <v>1134</v>
      </c>
      <c r="D323" t="s">
        <v>811</v>
      </c>
      <c r="E323" t="s">
        <v>5</v>
      </c>
      <c r="F323" s="3">
        <v>11.533333333333333</v>
      </c>
      <c r="G323" s="10">
        <f>VLOOKUP(Tabla1[[#This Row],[Código Unificador]],PRECIOS_COMPETENCIA!B:D,3,FALSE)</f>
        <v>45.787933333333335</v>
      </c>
      <c r="H323" s="10">
        <f>Tabla1[[#This Row],[PVP Competencia]]*0.98</f>
        <v>44.872174666666666</v>
      </c>
      <c r="I323" s="10">
        <f>Tabla1[[#This Row],[Precio Lista CDR]]*0.8</f>
        <v>35.897739733333331</v>
      </c>
      <c r="J323" s="10">
        <f>Tabla1[[#This Row],[Precio Lista CDR]]*0.7</f>
        <v>31.410522266666664</v>
      </c>
      <c r="K323" s="10">
        <f>Tabla1[[#This Row],[Precio Lista CDR]]*0.6</f>
        <v>26.9233048</v>
      </c>
      <c r="L323" s="12">
        <f>(Tabla1[[#This Row],[Precio Lista CDR]]-Tabla1[[#This Row],[PrecioFábrica]])/Tabla1[[#This Row],[Precio Lista CDR]]</f>
        <v>0.74297360404284396</v>
      </c>
      <c r="M323" s="12">
        <f>(Tabla1[[#This Row],[Lista 1 (20%)]]-Tabla1[[#This Row],[PrecioFábrica]])/Tabla1[[#This Row],[Lista 1 (20%)]]</f>
        <v>0.67871700505355492</v>
      </c>
      <c r="N323" s="12">
        <f>(Tabla1[[#This Row],[Lista 2 (30%)]]-Tabla1[[#This Row],[PrecioFábrica]])/Tabla1[[#This Row],[Lista 2 (30%)]]</f>
        <v>0.6328194343469199</v>
      </c>
      <c r="O323" s="12">
        <f>(Tabla1[[#This Row],[Lista 3 (40%)]]-Tabla1[[#This Row],[PrecioFábrica]])/Tabla1[[#This Row],[Lista 3 (40%)]]</f>
        <v>0.57162267340473993</v>
      </c>
    </row>
    <row r="324" spans="1:15">
      <c r="A324" t="s">
        <v>9</v>
      </c>
      <c r="B324" t="s">
        <v>333</v>
      </c>
      <c r="C324" t="s">
        <v>1135</v>
      </c>
      <c r="D324" t="s">
        <v>811</v>
      </c>
      <c r="E324" t="s">
        <v>5</v>
      </c>
      <c r="F324" s="3">
        <v>14.258333333333333</v>
      </c>
      <c r="G324" s="10">
        <f>VLOOKUP(Tabla1[[#This Row],[Código Unificador]],PRECIOS_COMPETENCIA!B:D,3,FALSE)</f>
        <v>52.17615</v>
      </c>
      <c r="H324" s="10">
        <f>Tabla1[[#This Row],[PVP Competencia]]*0.98</f>
        <v>51.132626999999999</v>
      </c>
      <c r="I324" s="10">
        <f>Tabla1[[#This Row],[Precio Lista CDR]]*0.8</f>
        <v>40.9061016</v>
      </c>
      <c r="J324" s="10">
        <f>Tabla1[[#This Row],[Precio Lista CDR]]*0.7</f>
        <v>35.7928389</v>
      </c>
      <c r="K324" s="10">
        <f>Tabla1[[#This Row],[Precio Lista CDR]]*0.6</f>
        <v>30.6795762</v>
      </c>
      <c r="L324" s="12">
        <f>(Tabla1[[#This Row],[Precio Lista CDR]]-Tabla1[[#This Row],[PrecioFábrica]])/Tabla1[[#This Row],[Precio Lista CDR]]</f>
        <v>0.72114999424274973</v>
      </c>
      <c r="M324" s="12">
        <f>(Tabla1[[#This Row],[Lista 1 (20%)]]-Tabla1[[#This Row],[PrecioFábrica]])/Tabla1[[#This Row],[Lista 1 (20%)]]</f>
        <v>0.6514374928034371</v>
      </c>
      <c r="N324" s="12">
        <f>(Tabla1[[#This Row],[Lista 2 (30%)]]-Tabla1[[#This Row],[PrecioFábrica]])/Tabla1[[#This Row],[Lista 2 (30%)]]</f>
        <v>0.60164284891821385</v>
      </c>
      <c r="O324" s="12">
        <f>(Tabla1[[#This Row],[Lista 3 (40%)]]-Tabla1[[#This Row],[PrecioFábrica]])/Tabla1[[#This Row],[Lista 3 (40%)]]</f>
        <v>0.53524999040458277</v>
      </c>
    </row>
    <row r="325" spans="1:15">
      <c r="A325" t="s">
        <v>6</v>
      </c>
      <c r="B325" t="s">
        <v>334</v>
      </c>
      <c r="C325" t="s">
        <v>1136</v>
      </c>
      <c r="D325" t="s">
        <v>811</v>
      </c>
      <c r="E325" t="s">
        <v>5</v>
      </c>
      <c r="F325" s="3">
        <v>20.758333333333333</v>
      </c>
      <c r="G325" s="10">
        <f>VLOOKUP(Tabla1[[#This Row],[Código Unificador]],PRECIOS_COMPETENCIA!B:D,3,FALSE)</f>
        <v>72.005141666666674</v>
      </c>
      <c r="H325" s="10">
        <f>Tabla1[[#This Row],[PVP Competencia]]*0.98</f>
        <v>70.565038833333332</v>
      </c>
      <c r="I325" s="10">
        <f>Tabla1[[#This Row],[Precio Lista CDR]]*0.8</f>
        <v>56.45203106666667</v>
      </c>
      <c r="J325" s="10">
        <f>Tabla1[[#This Row],[Precio Lista CDR]]*0.7</f>
        <v>49.395527183333328</v>
      </c>
      <c r="K325" s="10">
        <f>Tabla1[[#This Row],[Precio Lista CDR]]*0.6</f>
        <v>42.339023300000001</v>
      </c>
      <c r="L325" s="12">
        <f>(Tabla1[[#This Row],[Precio Lista CDR]]-Tabla1[[#This Row],[PrecioFábrica]])/Tabla1[[#This Row],[Precio Lista CDR]]</f>
        <v>0.7058269409818908</v>
      </c>
      <c r="M325" s="12">
        <f>(Tabla1[[#This Row],[Lista 1 (20%)]]-Tabla1[[#This Row],[PrecioFábrica]])/Tabla1[[#This Row],[Lista 1 (20%)]]</f>
        <v>0.63228367622736359</v>
      </c>
      <c r="N325" s="12">
        <f>(Tabla1[[#This Row],[Lista 2 (30%)]]-Tabla1[[#This Row],[PrecioFábrica]])/Tabla1[[#This Row],[Lista 2 (30%)]]</f>
        <v>0.57975277283127258</v>
      </c>
      <c r="O325" s="12">
        <f>(Tabla1[[#This Row],[Lista 3 (40%)]]-Tabla1[[#This Row],[PrecioFábrica]])/Tabla1[[#This Row],[Lista 3 (40%)]]</f>
        <v>0.50971156830315134</v>
      </c>
    </row>
    <row r="326" spans="1:15">
      <c r="A326" t="s">
        <v>9</v>
      </c>
      <c r="B326" t="s">
        <v>335</v>
      </c>
      <c r="C326" t="s">
        <v>1137</v>
      </c>
      <c r="D326" t="s">
        <v>811</v>
      </c>
      <c r="E326" t="s">
        <v>5</v>
      </c>
      <c r="F326" s="3">
        <v>39.400000000000006</v>
      </c>
      <c r="G326" s="10">
        <f>VLOOKUP(Tabla1[[#This Row],[Código Unificador]],PRECIOS_COMPETENCIA!B:D,3,FALSE)</f>
        <v>138.83040000000003</v>
      </c>
      <c r="H326" s="10">
        <f>Tabla1[[#This Row],[PVP Competencia]]*0.98</f>
        <v>136.05379200000002</v>
      </c>
      <c r="I326" s="10">
        <f>Tabla1[[#This Row],[Precio Lista CDR]]*0.8</f>
        <v>108.84303360000001</v>
      </c>
      <c r="J326" s="10">
        <f>Tabla1[[#This Row],[Precio Lista CDR]]*0.7</f>
        <v>95.237654400000011</v>
      </c>
      <c r="K326" s="10">
        <f>Tabla1[[#This Row],[Precio Lista CDR]]*0.6</f>
        <v>81.632275200000009</v>
      </c>
      <c r="L326" s="12">
        <f>(Tabla1[[#This Row],[Precio Lista CDR]]-Tabla1[[#This Row],[PrecioFábrica]])/Tabla1[[#This Row],[Precio Lista CDR]]</f>
        <v>0.7104086595396033</v>
      </c>
      <c r="M326" s="12">
        <f>(Tabla1[[#This Row],[Lista 1 (20%)]]-Tabla1[[#This Row],[PrecioFábrica]])/Tabla1[[#This Row],[Lista 1 (20%)]]</f>
        <v>0.63801082442450407</v>
      </c>
      <c r="N326" s="12">
        <f>(Tabla1[[#This Row],[Lista 2 (30%)]]-Tabla1[[#This Row],[PrecioFábrica]])/Tabla1[[#This Row],[Lista 2 (30%)]]</f>
        <v>0.5862980850565761</v>
      </c>
      <c r="O326" s="12">
        <f>(Tabla1[[#This Row],[Lista 3 (40%)]]-Tabla1[[#This Row],[PrecioFábrica]])/Tabla1[[#This Row],[Lista 3 (40%)]]</f>
        <v>0.51734776589933873</v>
      </c>
    </row>
    <row r="327" spans="1:15">
      <c r="A327" t="s">
        <v>6</v>
      </c>
      <c r="B327" t="s">
        <v>336</v>
      </c>
      <c r="C327" t="s">
        <v>1138</v>
      </c>
      <c r="D327" t="s">
        <v>811</v>
      </c>
      <c r="E327" t="s">
        <v>5</v>
      </c>
      <c r="F327" s="3">
        <v>15.008333333333335</v>
      </c>
      <c r="G327" s="10">
        <f>VLOOKUP(Tabla1[[#This Row],[Código Unificador]],PRECIOS_COMPETENCIA!B:D,3,FALSE)</f>
        <v>56.570858333333341</v>
      </c>
      <c r="H327" s="10">
        <f>Tabla1[[#This Row],[PVP Competencia]]*0.98</f>
        <v>55.439441166666676</v>
      </c>
      <c r="I327" s="10">
        <f>Tabla1[[#This Row],[Precio Lista CDR]]*0.8</f>
        <v>44.351552933333345</v>
      </c>
      <c r="J327" s="10">
        <f>Tabla1[[#This Row],[Precio Lista CDR]]*0.7</f>
        <v>38.807608816666672</v>
      </c>
      <c r="K327" s="10">
        <f>Tabla1[[#This Row],[Precio Lista CDR]]*0.6</f>
        <v>33.263664700000007</v>
      </c>
      <c r="L327" s="12">
        <f>(Tabla1[[#This Row],[Precio Lista CDR]]-Tabla1[[#This Row],[PrecioFábrica]])/Tabla1[[#This Row],[Precio Lista CDR]]</f>
        <v>0.72928418798064665</v>
      </c>
      <c r="M327" s="12">
        <f>(Tabla1[[#This Row],[Lista 1 (20%)]]-Tabla1[[#This Row],[PrecioFábrica]])/Tabla1[[#This Row],[Lista 1 (20%)]]</f>
        <v>0.66160523497580837</v>
      </c>
      <c r="N327" s="12">
        <f>(Tabla1[[#This Row],[Lista 2 (30%)]]-Tabla1[[#This Row],[PrecioFábrica]])/Tabla1[[#This Row],[Lista 2 (30%)]]</f>
        <v>0.6132631256866381</v>
      </c>
      <c r="O327" s="12">
        <f>(Tabla1[[#This Row],[Lista 3 (40%)]]-Tabla1[[#This Row],[PrecioFábrica]])/Tabla1[[#This Row],[Lista 3 (40%)]]</f>
        <v>0.54880697996774452</v>
      </c>
    </row>
    <row r="328" spans="1:15">
      <c r="A328" t="s">
        <v>9</v>
      </c>
      <c r="B328" t="s">
        <v>337</v>
      </c>
      <c r="C328" t="s">
        <v>1139</v>
      </c>
      <c r="D328" t="s">
        <v>811</v>
      </c>
      <c r="E328" t="s">
        <v>5</v>
      </c>
      <c r="F328" s="3">
        <v>40.450000000000003</v>
      </c>
      <c r="G328" s="10">
        <f>VLOOKUP(Tabla1[[#This Row],[Código Unificador]],PRECIOS_COMPETENCIA!B:D,3,FALSE)</f>
        <v>140.82415000000003</v>
      </c>
      <c r="H328" s="10">
        <f>Tabla1[[#This Row],[PVP Competencia]]*0.98</f>
        <v>138.00766700000003</v>
      </c>
      <c r="I328" s="10">
        <f>Tabla1[[#This Row],[Precio Lista CDR]]*0.8</f>
        <v>110.40613360000003</v>
      </c>
      <c r="J328" s="10">
        <f>Tabla1[[#This Row],[Precio Lista CDR]]*0.7</f>
        <v>96.605366900000007</v>
      </c>
      <c r="K328" s="10">
        <f>Tabla1[[#This Row],[Precio Lista CDR]]*0.6</f>
        <v>82.80460020000001</v>
      </c>
      <c r="L328" s="12">
        <f>(Tabla1[[#This Row],[Precio Lista CDR]]-Tabla1[[#This Row],[PrecioFábrica]])/Tabla1[[#This Row],[Precio Lista CDR]]</f>
        <v>0.70690034199331842</v>
      </c>
      <c r="M328" s="12">
        <f>(Tabla1[[#This Row],[Lista 1 (20%)]]-Tabla1[[#This Row],[PrecioFábrica]])/Tabla1[[#This Row],[Lista 1 (20%)]]</f>
        <v>0.63362542749164807</v>
      </c>
      <c r="N328" s="12">
        <f>(Tabla1[[#This Row],[Lista 2 (30%)]]-Tabla1[[#This Row],[PrecioFábrica]])/Tabla1[[#This Row],[Lista 2 (30%)]]</f>
        <v>0.58128620284759769</v>
      </c>
      <c r="O328" s="12">
        <f>(Tabla1[[#This Row],[Lista 3 (40%)]]-Tabla1[[#This Row],[PrecioFábrica]])/Tabla1[[#This Row],[Lista 3 (40%)]]</f>
        <v>0.51150056998886395</v>
      </c>
    </row>
    <row r="329" spans="1:15">
      <c r="A329" t="s">
        <v>9</v>
      </c>
      <c r="B329" t="s">
        <v>338</v>
      </c>
      <c r="C329" t="s">
        <v>1140</v>
      </c>
      <c r="D329" t="s">
        <v>811</v>
      </c>
      <c r="E329" t="s">
        <v>5</v>
      </c>
      <c r="F329" s="3">
        <v>35.633333333333333</v>
      </c>
      <c r="G329" s="10">
        <f>VLOOKUP(Tabla1[[#This Row],[Código Unificador]],PRECIOS_COMPETENCIA!B:D,3,FALSE)</f>
        <v>129.53686666666667</v>
      </c>
      <c r="H329" s="10">
        <f>Tabla1[[#This Row],[PVP Competencia]]*0.98</f>
        <v>126.94612933333333</v>
      </c>
      <c r="I329" s="10">
        <f>Tabla1[[#This Row],[Precio Lista CDR]]*0.8</f>
        <v>101.55690346666667</v>
      </c>
      <c r="J329" s="10">
        <f>Tabla1[[#This Row],[Precio Lista CDR]]*0.7</f>
        <v>88.862290533333322</v>
      </c>
      <c r="K329" s="10">
        <f>Tabla1[[#This Row],[Precio Lista CDR]]*0.6</f>
        <v>76.16767759999999</v>
      </c>
      <c r="L329" s="12">
        <f>(Tabla1[[#This Row],[Precio Lista CDR]]-Tabla1[[#This Row],[PrecioFábrica]])/Tabla1[[#This Row],[Precio Lista CDR]]</f>
        <v>0.71930350676728516</v>
      </c>
      <c r="M329" s="12">
        <f>(Tabla1[[#This Row],[Lista 1 (20%)]]-Tabla1[[#This Row],[PrecioFábrica]])/Tabla1[[#This Row],[Lista 1 (20%)]]</f>
        <v>0.64912938345910653</v>
      </c>
      <c r="N329" s="12">
        <f>(Tabla1[[#This Row],[Lista 2 (30%)]]-Tabla1[[#This Row],[PrecioFábrica]])/Tabla1[[#This Row],[Lista 2 (30%)]]</f>
        <v>0.59900500966755033</v>
      </c>
      <c r="O329" s="12">
        <f>(Tabla1[[#This Row],[Lista 3 (40%)]]-Tabla1[[#This Row],[PrecioFábrica]])/Tabla1[[#This Row],[Lista 3 (40%)]]</f>
        <v>0.53217251127880871</v>
      </c>
    </row>
    <row r="330" spans="1:15">
      <c r="A330" t="s">
        <v>9</v>
      </c>
      <c r="B330" t="s">
        <v>339</v>
      </c>
      <c r="C330" t="s">
        <v>1141</v>
      </c>
      <c r="D330" t="s">
        <v>811</v>
      </c>
      <c r="E330" t="s">
        <v>5</v>
      </c>
      <c r="F330" s="3">
        <v>53.933333333333337</v>
      </c>
      <c r="G330" s="10">
        <f>VLOOKUP(Tabla1[[#This Row],[Código Unificador]],PRECIOS_COMPETENCIA!B:D,3,FALSE)</f>
        <v>191.8</v>
      </c>
      <c r="H330" s="10">
        <f>Tabla1[[#This Row],[PVP Competencia]]*0.98</f>
        <v>187.964</v>
      </c>
      <c r="I330" s="10">
        <f>Tabla1[[#This Row],[Precio Lista CDR]]*0.8</f>
        <v>150.37120000000002</v>
      </c>
      <c r="J330" s="10">
        <f>Tabla1[[#This Row],[Precio Lista CDR]]*0.7</f>
        <v>131.57479999999998</v>
      </c>
      <c r="K330" s="10">
        <f>Tabla1[[#This Row],[Precio Lista CDR]]*0.6</f>
        <v>112.77839999999999</v>
      </c>
      <c r="L330" s="12">
        <f>(Tabla1[[#This Row],[Precio Lista CDR]]-Tabla1[[#This Row],[PrecioFábrica]])/Tabla1[[#This Row],[Precio Lista CDR]]</f>
        <v>0.71306562249508765</v>
      </c>
      <c r="M330" s="12">
        <f>(Tabla1[[#This Row],[Lista 1 (20%)]]-Tabla1[[#This Row],[PrecioFábrica]])/Tabla1[[#This Row],[Lista 1 (20%)]]</f>
        <v>0.6413320281188597</v>
      </c>
      <c r="N330" s="12">
        <f>(Tabla1[[#This Row],[Lista 2 (30%)]]-Tabla1[[#This Row],[PrecioFábrica]])/Tabla1[[#This Row],[Lista 2 (30%)]]</f>
        <v>0.59009374642155377</v>
      </c>
      <c r="O330" s="12">
        <f>(Tabla1[[#This Row],[Lista 3 (40%)]]-Tabla1[[#This Row],[PrecioFábrica]])/Tabla1[[#This Row],[Lista 3 (40%)]]</f>
        <v>0.52177603749181278</v>
      </c>
    </row>
    <row r="331" spans="1:15">
      <c r="A331" t="s">
        <v>6</v>
      </c>
      <c r="B331" t="s">
        <v>340</v>
      </c>
      <c r="C331" t="s">
        <v>1142</v>
      </c>
      <c r="D331" t="s">
        <v>811</v>
      </c>
      <c r="E331" t="s">
        <v>5</v>
      </c>
      <c r="F331" s="3">
        <v>15.55</v>
      </c>
      <c r="G331" s="10">
        <f>VLOOKUP(Tabla1[[#This Row],[Código Unificador]],PRECIOS_COMPETENCIA!B:D,3,FALSE)</f>
        <v>57.34975</v>
      </c>
      <c r="H331" s="10">
        <f>Tabla1[[#This Row],[PVP Competencia]]*0.98</f>
        <v>56.202754999999996</v>
      </c>
      <c r="I331" s="10">
        <f>Tabla1[[#This Row],[Precio Lista CDR]]*0.8</f>
        <v>44.962204</v>
      </c>
      <c r="J331" s="10">
        <f>Tabla1[[#This Row],[Precio Lista CDR]]*0.7</f>
        <v>39.341928499999995</v>
      </c>
      <c r="K331" s="10">
        <f>Tabla1[[#This Row],[Precio Lista CDR]]*0.6</f>
        <v>33.721652999999996</v>
      </c>
      <c r="L331" s="12">
        <f>(Tabla1[[#This Row],[Precio Lista CDR]]-Tabla1[[#This Row],[PrecioFábrica]])/Tabla1[[#This Row],[Precio Lista CDR]]</f>
        <v>0.72332317161320658</v>
      </c>
      <c r="M331" s="12">
        <f>(Tabla1[[#This Row],[Lista 1 (20%)]]-Tabla1[[#This Row],[PrecioFábrica]])/Tabla1[[#This Row],[Lista 1 (20%)]]</f>
        <v>0.65415396451650809</v>
      </c>
      <c r="N331" s="12">
        <f>(Tabla1[[#This Row],[Lista 2 (30%)]]-Tabla1[[#This Row],[PrecioFábrica]])/Tabla1[[#This Row],[Lista 2 (30%)]]</f>
        <v>0.60474738801886641</v>
      </c>
      <c r="O331" s="12">
        <f>(Tabla1[[#This Row],[Lista 3 (40%)]]-Tabla1[[#This Row],[PrecioFábrica]])/Tabla1[[#This Row],[Lista 3 (40%)]]</f>
        <v>0.53887195268867749</v>
      </c>
    </row>
    <row r="332" spans="1:15">
      <c r="A332" t="s">
        <v>9</v>
      </c>
      <c r="B332" t="s">
        <v>341</v>
      </c>
      <c r="C332" t="s">
        <v>1143</v>
      </c>
      <c r="D332" t="s">
        <v>811</v>
      </c>
      <c r="E332" t="s">
        <v>5</v>
      </c>
      <c r="F332" s="3">
        <v>25.083333333333336</v>
      </c>
      <c r="G332" s="10">
        <f>VLOOKUP(Tabla1[[#This Row],[Código Unificador]],PRECIOS_COMPETENCIA!B:D,3,FALSE)</f>
        <v>85.651333333333341</v>
      </c>
      <c r="H332" s="10">
        <f>Tabla1[[#This Row],[PVP Competencia]]*0.98</f>
        <v>83.938306666666676</v>
      </c>
      <c r="I332" s="10">
        <f>Tabla1[[#This Row],[Precio Lista CDR]]*0.8</f>
        <v>67.150645333333344</v>
      </c>
      <c r="J332" s="10">
        <f>Tabla1[[#This Row],[Precio Lista CDR]]*0.7</f>
        <v>58.756814666666671</v>
      </c>
      <c r="K332" s="10">
        <f>Tabla1[[#This Row],[Precio Lista CDR]]*0.6</f>
        <v>50.362984000000004</v>
      </c>
      <c r="L332" s="12">
        <f>(Tabla1[[#This Row],[Precio Lista CDR]]-Tabla1[[#This Row],[PrecioFábrica]])/Tabla1[[#This Row],[Precio Lista CDR]]</f>
        <v>0.70116941442548364</v>
      </c>
      <c r="M332" s="12">
        <f>(Tabla1[[#This Row],[Lista 1 (20%)]]-Tabla1[[#This Row],[PrecioFábrica]])/Tabla1[[#This Row],[Lista 1 (20%)]]</f>
        <v>0.62646176803185449</v>
      </c>
      <c r="N332" s="12">
        <f>(Tabla1[[#This Row],[Lista 2 (30%)]]-Tabla1[[#This Row],[PrecioFábrica]])/Tabla1[[#This Row],[Lista 2 (30%)]]</f>
        <v>0.57309916346497658</v>
      </c>
      <c r="O332" s="12">
        <f>(Tabla1[[#This Row],[Lista 3 (40%)]]-Tabla1[[#This Row],[PrecioFábrica]])/Tabla1[[#This Row],[Lista 3 (40%)]]</f>
        <v>0.50194902404247266</v>
      </c>
    </row>
    <row r="333" spans="1:15">
      <c r="A333" t="s">
        <v>9</v>
      </c>
      <c r="B333" t="s">
        <v>342</v>
      </c>
      <c r="C333" t="s">
        <v>1144</v>
      </c>
      <c r="D333" t="s">
        <v>811</v>
      </c>
      <c r="E333" t="s">
        <v>5</v>
      </c>
      <c r="F333" s="3">
        <v>40.825000000000003</v>
      </c>
      <c r="G333" s="10">
        <f>VLOOKUP(Tabla1[[#This Row],[Código Unificador]],PRECIOS_COMPETENCIA!B:D,3,FALSE)</f>
        <v>146.67997500000001</v>
      </c>
      <c r="H333" s="10">
        <f>Tabla1[[#This Row],[PVP Competencia]]*0.98</f>
        <v>143.7463755</v>
      </c>
      <c r="I333" s="10">
        <f>Tabla1[[#This Row],[Precio Lista CDR]]*0.8</f>
        <v>114.99710040000001</v>
      </c>
      <c r="J333" s="10">
        <f>Tabla1[[#This Row],[Precio Lista CDR]]*0.7</f>
        <v>100.62246284999999</v>
      </c>
      <c r="K333" s="10">
        <f>Tabla1[[#This Row],[Precio Lista CDR]]*0.6</f>
        <v>86.247825300000002</v>
      </c>
      <c r="L333" s="12">
        <f>(Tabla1[[#This Row],[Precio Lista CDR]]-Tabla1[[#This Row],[PrecioFábrica]])/Tabla1[[#This Row],[Precio Lista CDR]]</f>
        <v>0.71599283906814049</v>
      </c>
      <c r="M333" s="12">
        <f>(Tabla1[[#This Row],[Lista 1 (20%)]]-Tabla1[[#This Row],[PrecioFábrica]])/Tabla1[[#This Row],[Lista 1 (20%)]]</f>
        <v>0.64499104883517566</v>
      </c>
      <c r="N333" s="12">
        <f>(Tabla1[[#This Row],[Lista 2 (30%)]]-Tabla1[[#This Row],[PrecioFábrica]])/Tabla1[[#This Row],[Lista 2 (30%)]]</f>
        <v>0.59427548438305788</v>
      </c>
      <c r="O333" s="12">
        <f>(Tabla1[[#This Row],[Lista 3 (40%)]]-Tabla1[[#This Row],[PrecioFábrica]])/Tabla1[[#This Row],[Lista 3 (40%)]]</f>
        <v>0.52665473178023425</v>
      </c>
    </row>
    <row r="334" spans="1:15">
      <c r="A334" t="s">
        <v>6</v>
      </c>
      <c r="B334" t="s">
        <v>343</v>
      </c>
      <c r="C334" t="s">
        <v>1145</v>
      </c>
      <c r="D334" t="s">
        <v>811</v>
      </c>
      <c r="E334" t="s">
        <v>5</v>
      </c>
      <c r="F334" s="3">
        <v>56.641666666666666</v>
      </c>
      <c r="G334" s="10">
        <f>VLOOKUP(Tabla1[[#This Row],[Código Unificador]],PRECIOS_COMPETENCIA!B:D,3,FALSE)</f>
        <v>197.40170000000003</v>
      </c>
      <c r="H334" s="10">
        <f>Tabla1[[#This Row],[PVP Competencia]]*0.98</f>
        <v>193.45366600000003</v>
      </c>
      <c r="I334" s="10">
        <f>Tabla1[[#This Row],[Precio Lista CDR]]*0.8</f>
        <v>154.76293280000004</v>
      </c>
      <c r="J334" s="10">
        <f>Tabla1[[#This Row],[Precio Lista CDR]]*0.7</f>
        <v>135.41756620000001</v>
      </c>
      <c r="K334" s="10">
        <f>Tabla1[[#This Row],[Precio Lista CDR]]*0.6</f>
        <v>116.0721996</v>
      </c>
      <c r="L334" s="12">
        <f>(Tabla1[[#This Row],[Precio Lista CDR]]-Tabla1[[#This Row],[PrecioFábrica]])/Tabla1[[#This Row],[Precio Lista CDR]]</f>
        <v>0.70720809877716828</v>
      </c>
      <c r="M334" s="12">
        <f>(Tabla1[[#This Row],[Lista 1 (20%)]]-Tabla1[[#This Row],[PrecioFábrica]])/Tabla1[[#This Row],[Lista 1 (20%)]]</f>
        <v>0.63401012347146057</v>
      </c>
      <c r="N334" s="12">
        <f>(Tabla1[[#This Row],[Lista 2 (30%)]]-Tabla1[[#This Row],[PrecioFábrica]])/Tabla1[[#This Row],[Lista 2 (30%)]]</f>
        <v>0.58172585539595478</v>
      </c>
      <c r="O334" s="12">
        <f>(Tabla1[[#This Row],[Lista 3 (40%)]]-Tabla1[[#This Row],[PrecioFábrica]])/Tabla1[[#This Row],[Lista 3 (40%)]]</f>
        <v>0.51201349796194728</v>
      </c>
    </row>
    <row r="335" spans="1:15">
      <c r="A335" t="s">
        <v>9</v>
      </c>
      <c r="B335" t="s">
        <v>344</v>
      </c>
      <c r="C335" t="s">
        <v>1146</v>
      </c>
      <c r="D335" t="s">
        <v>811</v>
      </c>
      <c r="E335" t="s">
        <v>5</v>
      </c>
      <c r="F335" s="3">
        <v>45.825000000000003</v>
      </c>
      <c r="G335" s="10">
        <f>VLOOKUP(Tabla1[[#This Row],[Código Unificador]],PRECIOS_COMPETENCIA!B:D,3,FALSE)</f>
        <v>160.86605000000003</v>
      </c>
      <c r="H335" s="10">
        <f>Tabla1[[#This Row],[PVP Competencia]]*0.98</f>
        <v>157.64872900000003</v>
      </c>
      <c r="I335" s="10">
        <f>Tabla1[[#This Row],[Precio Lista CDR]]*0.8</f>
        <v>126.11898320000003</v>
      </c>
      <c r="J335" s="10">
        <f>Tabla1[[#This Row],[Precio Lista CDR]]*0.7</f>
        <v>110.35411030000002</v>
      </c>
      <c r="K335" s="10">
        <f>Tabla1[[#This Row],[Precio Lista CDR]]*0.6</f>
        <v>94.589237400000016</v>
      </c>
      <c r="L335" s="12">
        <f>(Tabla1[[#This Row],[Precio Lista CDR]]-Tabla1[[#This Row],[PrecioFábrica]])/Tabla1[[#This Row],[Precio Lista CDR]]</f>
        <v>0.70932210940945806</v>
      </c>
      <c r="M335" s="12">
        <f>(Tabla1[[#This Row],[Lista 1 (20%)]]-Tabla1[[#This Row],[PrecioFábrica]])/Tabla1[[#This Row],[Lista 1 (20%)]]</f>
        <v>0.6366526367618226</v>
      </c>
      <c r="N335" s="12">
        <f>(Tabla1[[#This Row],[Lista 2 (30%)]]-Tabla1[[#This Row],[PrecioFábrica]])/Tabla1[[#This Row],[Lista 2 (30%)]]</f>
        <v>0.5847458705849401</v>
      </c>
      <c r="O335" s="12">
        <f>(Tabla1[[#This Row],[Lista 3 (40%)]]-Tabla1[[#This Row],[PrecioFábrica]])/Tabla1[[#This Row],[Lista 3 (40%)]]</f>
        <v>0.51553684901576347</v>
      </c>
    </row>
    <row r="336" spans="1:15">
      <c r="A336" t="s">
        <v>6</v>
      </c>
      <c r="B336" t="s">
        <v>345</v>
      </c>
      <c r="C336" t="s">
        <v>1147</v>
      </c>
      <c r="D336" t="s">
        <v>811</v>
      </c>
      <c r="E336" t="s">
        <v>5</v>
      </c>
      <c r="F336" s="3">
        <v>64.816666666666677</v>
      </c>
      <c r="G336" s="10">
        <f>VLOOKUP(Tabla1[[#This Row],[Código Unificador]],PRECIOS_COMPETENCIA!B:D,3,FALSE)</f>
        <v>221.7277</v>
      </c>
      <c r="H336" s="10">
        <f>Tabla1[[#This Row],[PVP Competencia]]*0.98</f>
        <v>217.29314600000001</v>
      </c>
      <c r="I336" s="10">
        <f>Tabla1[[#This Row],[Precio Lista CDR]]*0.8</f>
        <v>173.83451680000002</v>
      </c>
      <c r="J336" s="10">
        <f>Tabla1[[#This Row],[Precio Lista CDR]]*0.7</f>
        <v>152.10520220000001</v>
      </c>
      <c r="K336" s="10">
        <f>Tabla1[[#This Row],[Precio Lista CDR]]*0.6</f>
        <v>130.3758876</v>
      </c>
      <c r="L336" s="12">
        <f>(Tabla1[[#This Row],[Precio Lista CDR]]-Tabla1[[#This Row],[PrecioFábrica]])/Tabla1[[#This Row],[Precio Lista CDR]]</f>
        <v>0.70170864631567031</v>
      </c>
      <c r="M336" s="12">
        <f>(Tabla1[[#This Row],[Lista 1 (20%)]]-Tabla1[[#This Row],[PrecioFábrica]])/Tabla1[[#This Row],[Lista 1 (20%)]]</f>
        <v>0.627135807894588</v>
      </c>
      <c r="N336" s="12">
        <f>(Tabla1[[#This Row],[Lista 2 (30%)]]-Tabla1[[#This Row],[PrecioFábrica]])/Tabla1[[#This Row],[Lista 2 (30%)]]</f>
        <v>0.57386949473667193</v>
      </c>
      <c r="O336" s="12">
        <f>(Tabla1[[#This Row],[Lista 3 (40%)]]-Tabla1[[#This Row],[PrecioFábrica]])/Tabla1[[#This Row],[Lista 3 (40%)]]</f>
        <v>0.50284774385945064</v>
      </c>
    </row>
    <row r="337" spans="1:15">
      <c r="A337" t="s">
        <v>6</v>
      </c>
      <c r="B337" t="s">
        <v>346</v>
      </c>
      <c r="C337" t="s">
        <v>1148</v>
      </c>
      <c r="D337" t="s">
        <v>811</v>
      </c>
      <c r="E337" t="s">
        <v>5</v>
      </c>
      <c r="F337" s="3">
        <v>13.508333333333335</v>
      </c>
      <c r="G337" s="10">
        <f>VLOOKUP(Tabla1[[#This Row],[Código Unificador]],PRECIOS_COMPETENCIA!B:D,3,FALSE)</f>
        <v>51.132875000000006</v>
      </c>
      <c r="H337" s="10">
        <f>Tabla1[[#This Row],[PVP Competencia]]*0.98</f>
        <v>50.110217500000005</v>
      </c>
      <c r="I337" s="10">
        <f>Tabla1[[#This Row],[Precio Lista CDR]]*0.8</f>
        <v>40.088174000000009</v>
      </c>
      <c r="J337" s="10">
        <f>Tabla1[[#This Row],[Precio Lista CDR]]*0.7</f>
        <v>35.077152249999997</v>
      </c>
      <c r="K337" s="10">
        <f>Tabla1[[#This Row],[Precio Lista CDR]]*0.6</f>
        <v>30.0661305</v>
      </c>
      <c r="L337" s="12">
        <f>(Tabla1[[#This Row],[Precio Lista CDR]]-Tabla1[[#This Row],[PrecioFábrica]])/Tabla1[[#This Row],[Precio Lista CDR]]</f>
        <v>0.73042756532969888</v>
      </c>
      <c r="M337" s="12">
        <f>(Tabla1[[#This Row],[Lista 1 (20%)]]-Tabla1[[#This Row],[PrecioFábrica]])/Tabla1[[#This Row],[Lista 1 (20%)]]</f>
        <v>0.66303445666212357</v>
      </c>
      <c r="N337" s="12">
        <f>(Tabla1[[#This Row],[Lista 2 (30%)]]-Tabla1[[#This Row],[PrecioFábrica]])/Tabla1[[#This Row],[Lista 2 (30%)]]</f>
        <v>0.61489652189956967</v>
      </c>
      <c r="O337" s="12">
        <f>(Tabla1[[#This Row],[Lista 3 (40%)]]-Tabla1[[#This Row],[PrecioFábrica]])/Tabla1[[#This Row],[Lista 3 (40%)]]</f>
        <v>0.55071260888283136</v>
      </c>
    </row>
    <row r="338" spans="1:15">
      <c r="A338" t="s">
        <v>9</v>
      </c>
      <c r="B338" t="s">
        <v>347</v>
      </c>
      <c r="C338" t="s">
        <v>1149</v>
      </c>
      <c r="D338" t="s">
        <v>811</v>
      </c>
      <c r="E338" t="s">
        <v>5</v>
      </c>
      <c r="F338" s="3">
        <v>6.1416666666666666</v>
      </c>
      <c r="G338" s="10">
        <f>VLOOKUP(Tabla1[[#This Row],[Código Unificador]],PRECIOS_COMPETENCIA!B:D,3,FALSE)</f>
        <v>29.057591666666671</v>
      </c>
      <c r="H338" s="10">
        <f>Tabla1[[#This Row],[PVP Competencia]]*0.98</f>
        <v>28.476439833333338</v>
      </c>
      <c r="I338" s="10">
        <f>Tabla1[[#This Row],[Precio Lista CDR]]*0.8</f>
        <v>22.781151866666672</v>
      </c>
      <c r="J338" s="10">
        <f>Tabla1[[#This Row],[Precio Lista CDR]]*0.7</f>
        <v>19.933507883333334</v>
      </c>
      <c r="K338" s="10">
        <f>Tabla1[[#This Row],[Precio Lista CDR]]*0.6</f>
        <v>17.085863900000003</v>
      </c>
      <c r="L338" s="12">
        <f>(Tabla1[[#This Row],[Precio Lista CDR]]-Tabla1[[#This Row],[PrecioFábrica]])/Tabla1[[#This Row],[Precio Lista CDR]]</f>
        <v>0.78432463107703909</v>
      </c>
      <c r="M338" s="12">
        <f>(Tabla1[[#This Row],[Lista 1 (20%)]]-Tabla1[[#This Row],[PrecioFábrica]])/Tabla1[[#This Row],[Lista 1 (20%)]]</f>
        <v>0.73040578884629892</v>
      </c>
      <c r="N338" s="12">
        <f>(Tabla1[[#This Row],[Lista 2 (30%)]]-Tabla1[[#This Row],[PrecioFábrica]])/Tabla1[[#This Row],[Lista 2 (30%)]]</f>
        <v>0.69189233011005591</v>
      </c>
      <c r="O338" s="12">
        <f>(Tabla1[[#This Row],[Lista 3 (40%)]]-Tabla1[[#This Row],[PrecioFábrica]])/Tabla1[[#This Row],[Lista 3 (40%)]]</f>
        <v>0.64054105179506526</v>
      </c>
    </row>
    <row r="339" spans="1:15">
      <c r="A339" t="s">
        <v>6</v>
      </c>
      <c r="B339" t="s">
        <v>348</v>
      </c>
      <c r="C339" t="s">
        <v>1150</v>
      </c>
      <c r="D339" t="s">
        <v>811</v>
      </c>
      <c r="E339" t="s">
        <v>5</v>
      </c>
      <c r="F339" s="3">
        <v>7.7083333333333339</v>
      </c>
      <c r="G339" s="10">
        <f>VLOOKUP(Tabla1[[#This Row],[Código Unificador]],PRECIOS_COMPETENCIA!B:D,3,FALSE)</f>
        <v>33.695416666666674</v>
      </c>
      <c r="H339" s="10">
        <f>Tabla1[[#This Row],[PVP Competencia]]*0.98</f>
        <v>33.021508333333337</v>
      </c>
      <c r="I339" s="10">
        <f>Tabla1[[#This Row],[Precio Lista CDR]]*0.8</f>
        <v>26.417206666666672</v>
      </c>
      <c r="J339" s="10">
        <f>Tabla1[[#This Row],[Precio Lista CDR]]*0.7</f>
        <v>23.115055833333333</v>
      </c>
      <c r="K339" s="10">
        <f>Tabla1[[#This Row],[Precio Lista CDR]]*0.6</f>
        <v>19.812905000000001</v>
      </c>
      <c r="L339" s="12">
        <f>(Tabla1[[#This Row],[Precio Lista CDR]]-Tabla1[[#This Row],[PrecioFábrica]])/Tabla1[[#This Row],[Precio Lista CDR]]</f>
        <v>0.76656628596361809</v>
      </c>
      <c r="M339" s="12">
        <f>(Tabla1[[#This Row],[Lista 1 (20%)]]-Tabla1[[#This Row],[PrecioFábrica]])/Tabla1[[#This Row],[Lista 1 (20%)]]</f>
        <v>0.70820785745452264</v>
      </c>
      <c r="N339" s="12">
        <f>(Tabla1[[#This Row],[Lista 2 (30%)]]-Tabla1[[#This Row],[PrecioFábrica]])/Tabla1[[#This Row],[Lista 2 (30%)]]</f>
        <v>0.66652326566231157</v>
      </c>
      <c r="O339" s="12">
        <f>(Tabla1[[#This Row],[Lista 3 (40%)]]-Tabla1[[#This Row],[PrecioFábrica]])/Tabla1[[#This Row],[Lista 3 (40%)]]</f>
        <v>0.61094380993936359</v>
      </c>
    </row>
    <row r="340" spans="1:15">
      <c r="A340" t="s">
        <v>9</v>
      </c>
      <c r="B340" t="s">
        <v>349</v>
      </c>
      <c r="C340" t="s">
        <v>1151</v>
      </c>
      <c r="D340" t="s">
        <v>811</v>
      </c>
      <c r="E340" t="s">
        <v>5</v>
      </c>
      <c r="F340" s="3">
        <v>30.666666666666664</v>
      </c>
      <c r="G340" s="10">
        <f>VLOOKUP(Tabla1[[#This Row],[Código Unificador]],PRECIOS_COMPETENCIA!B:D,3,FALSE)</f>
        <v>105.15866666666666</v>
      </c>
      <c r="H340" s="10">
        <f>Tabla1[[#This Row],[PVP Competencia]]*0.98</f>
        <v>103.05549333333333</v>
      </c>
      <c r="I340" s="10">
        <f>Tabla1[[#This Row],[Precio Lista CDR]]*0.8</f>
        <v>82.444394666666668</v>
      </c>
      <c r="J340" s="10">
        <f>Tabla1[[#This Row],[Precio Lista CDR]]*0.7</f>
        <v>72.138845333333322</v>
      </c>
      <c r="K340" s="10">
        <f>Tabla1[[#This Row],[Precio Lista CDR]]*0.6</f>
        <v>61.833295999999997</v>
      </c>
      <c r="L340" s="12">
        <f>(Tabla1[[#This Row],[Precio Lista CDR]]-Tabla1[[#This Row],[PrecioFábrica]])/Tabla1[[#This Row],[Precio Lista CDR]]</f>
        <v>0.70242569634327756</v>
      </c>
      <c r="M340" s="12">
        <f>(Tabla1[[#This Row],[Lista 1 (20%)]]-Tabla1[[#This Row],[PrecioFábrica]])/Tabla1[[#This Row],[Lista 1 (20%)]]</f>
        <v>0.62803212042909695</v>
      </c>
      <c r="N340" s="12">
        <f>(Tabla1[[#This Row],[Lista 2 (30%)]]-Tabla1[[#This Row],[PrecioFábrica]])/Tabla1[[#This Row],[Lista 2 (30%)]]</f>
        <v>0.57489385191896791</v>
      </c>
      <c r="O340" s="12">
        <f>(Tabla1[[#This Row],[Lista 3 (40%)]]-Tabla1[[#This Row],[PrecioFábrica]])/Tabla1[[#This Row],[Lista 3 (40%)]]</f>
        <v>0.50404282723879601</v>
      </c>
    </row>
    <row r="341" spans="1:15">
      <c r="A341" t="s">
        <v>6</v>
      </c>
      <c r="B341" t="s">
        <v>350</v>
      </c>
      <c r="C341" t="s">
        <v>1152</v>
      </c>
      <c r="D341" t="s">
        <v>811</v>
      </c>
      <c r="E341" t="s">
        <v>5</v>
      </c>
      <c r="F341" s="3">
        <v>8.2333333333333325</v>
      </c>
      <c r="G341" s="10">
        <f>VLOOKUP(Tabla1[[#This Row],[Código Unificador]],PRECIOS_COMPETENCIA!B:D,3,FALSE)</f>
        <v>35.309266666666666</v>
      </c>
      <c r="H341" s="10">
        <f>Tabla1[[#This Row],[PVP Competencia]]*0.98</f>
        <v>34.603081333333328</v>
      </c>
      <c r="I341" s="10">
        <f>Tabla1[[#This Row],[Precio Lista CDR]]*0.8</f>
        <v>27.682465066666666</v>
      </c>
      <c r="J341" s="10">
        <f>Tabla1[[#This Row],[Precio Lista CDR]]*0.7</f>
        <v>24.222156933333327</v>
      </c>
      <c r="K341" s="10">
        <f>Tabla1[[#This Row],[Precio Lista CDR]]*0.6</f>
        <v>20.761848799999996</v>
      </c>
      <c r="L341" s="12">
        <f>(Tabla1[[#This Row],[Precio Lista CDR]]-Tabla1[[#This Row],[PrecioFábrica]])/Tabla1[[#This Row],[Precio Lista CDR]]</f>
        <v>0.76206357884660059</v>
      </c>
      <c r="M341" s="12">
        <f>(Tabla1[[#This Row],[Lista 1 (20%)]]-Tabla1[[#This Row],[PrecioFábrica]])/Tabla1[[#This Row],[Lista 1 (20%)]]</f>
        <v>0.70257947355825068</v>
      </c>
      <c r="N341" s="12">
        <f>(Tabla1[[#This Row],[Lista 2 (30%)]]-Tabla1[[#This Row],[PrecioFábrica]])/Tabla1[[#This Row],[Lista 2 (30%)]]</f>
        <v>0.66009082692371512</v>
      </c>
      <c r="O341" s="12">
        <f>(Tabla1[[#This Row],[Lista 3 (40%)]]-Tabla1[[#This Row],[PrecioFábrica]])/Tabla1[[#This Row],[Lista 3 (40%)]]</f>
        <v>0.60343929807766761</v>
      </c>
    </row>
    <row r="342" spans="1:15">
      <c r="A342" t="s">
        <v>6</v>
      </c>
      <c r="B342" t="s">
        <v>351</v>
      </c>
      <c r="C342" t="s">
        <v>1153</v>
      </c>
      <c r="D342" t="s">
        <v>811</v>
      </c>
      <c r="E342" t="s">
        <v>5</v>
      </c>
      <c r="F342" s="3">
        <v>30.166666666666671</v>
      </c>
      <c r="G342" s="10">
        <f>VLOOKUP(Tabla1[[#This Row],[Código Unificador]],PRECIOS_COMPETENCIA!B:D,3,FALSE)</f>
        <v>102.73233333333334</v>
      </c>
      <c r="H342" s="10">
        <f>Tabla1[[#This Row],[PVP Competencia]]*0.98</f>
        <v>100.67768666666667</v>
      </c>
      <c r="I342" s="10">
        <f>Tabla1[[#This Row],[Precio Lista CDR]]*0.8</f>
        <v>80.542149333333342</v>
      </c>
      <c r="J342" s="10">
        <f>Tabla1[[#This Row],[Precio Lista CDR]]*0.7</f>
        <v>70.474380666666661</v>
      </c>
      <c r="K342" s="10">
        <f>Tabla1[[#This Row],[Precio Lista CDR]]*0.6</f>
        <v>60.406612000000003</v>
      </c>
      <c r="L342" s="12">
        <f>(Tabla1[[#This Row],[Precio Lista CDR]]-Tabla1[[#This Row],[PrecioFábrica]])/Tabla1[[#This Row],[Precio Lista CDR]]</f>
        <v>0.7003639270482509</v>
      </c>
      <c r="M342" s="12">
        <f>(Tabla1[[#This Row],[Lista 1 (20%)]]-Tabla1[[#This Row],[PrecioFábrica]])/Tabla1[[#This Row],[Lista 1 (20%)]]</f>
        <v>0.62545490881031363</v>
      </c>
      <c r="N342" s="12">
        <f>(Tabla1[[#This Row],[Lista 2 (30%)]]-Tabla1[[#This Row],[PrecioFábrica]])/Tabla1[[#This Row],[Lista 2 (30%)]]</f>
        <v>0.57194846721178694</v>
      </c>
      <c r="O342" s="12">
        <f>(Tabla1[[#This Row],[Lista 3 (40%)]]-Tabla1[[#This Row],[PrecioFábrica]])/Tabla1[[#This Row],[Lista 3 (40%)]]</f>
        <v>0.50060654508041813</v>
      </c>
    </row>
    <row r="343" spans="1:15">
      <c r="A343" t="s">
        <v>9</v>
      </c>
      <c r="B343" t="s">
        <v>352</v>
      </c>
      <c r="C343" t="s">
        <v>1154</v>
      </c>
      <c r="D343" t="s">
        <v>811</v>
      </c>
      <c r="E343" t="s">
        <v>5</v>
      </c>
      <c r="F343" s="3">
        <v>51.583333333333336</v>
      </c>
      <c r="G343" s="10">
        <f>VLOOKUP(Tabla1[[#This Row],[Código Unificador]],PRECIOS_COMPETENCIA!B:D,3,FALSE)</f>
        <v>177.07125000000005</v>
      </c>
      <c r="H343" s="10">
        <f>Tabla1[[#This Row],[PVP Competencia]]*0.98</f>
        <v>173.52982500000005</v>
      </c>
      <c r="I343" s="10">
        <f>Tabla1[[#This Row],[Precio Lista CDR]]*0.8</f>
        <v>138.82386000000005</v>
      </c>
      <c r="J343" s="10">
        <f>Tabla1[[#This Row],[Precio Lista CDR]]*0.7</f>
        <v>121.47087750000003</v>
      </c>
      <c r="K343" s="10">
        <f>Tabla1[[#This Row],[Precio Lista CDR]]*0.6</f>
        <v>104.11789500000002</v>
      </c>
      <c r="L343" s="12">
        <f>(Tabla1[[#This Row],[Precio Lista CDR]]-Tabla1[[#This Row],[PrecioFábrica]])/Tabla1[[#This Row],[Precio Lista CDR]]</f>
        <v>0.70274082087425993</v>
      </c>
      <c r="M343" s="12">
        <f>(Tabla1[[#This Row],[Lista 1 (20%)]]-Tabla1[[#This Row],[PrecioFábrica]])/Tabla1[[#This Row],[Lista 1 (20%)]]</f>
        <v>0.62842602609282494</v>
      </c>
      <c r="N343" s="12">
        <f>(Tabla1[[#This Row],[Lista 2 (30%)]]-Tabla1[[#This Row],[PrecioFábrica]])/Tabla1[[#This Row],[Lista 2 (30%)]]</f>
        <v>0.57534402982037125</v>
      </c>
      <c r="O343" s="12">
        <f>(Tabla1[[#This Row],[Lista 3 (40%)]]-Tabla1[[#This Row],[PrecioFábrica]])/Tabla1[[#This Row],[Lista 3 (40%)]]</f>
        <v>0.50456803479043322</v>
      </c>
    </row>
    <row r="344" spans="1:15">
      <c r="A344" t="s">
        <v>9</v>
      </c>
      <c r="B344" t="s">
        <v>353</v>
      </c>
      <c r="C344" t="s">
        <v>1155</v>
      </c>
      <c r="D344" t="s">
        <v>811</v>
      </c>
      <c r="E344" t="s">
        <v>5</v>
      </c>
      <c r="F344" s="3">
        <v>19.19166666666667</v>
      </c>
      <c r="G344" s="10">
        <f>VLOOKUP(Tabla1[[#This Row],[Código Unificador]],PRECIOS_COMPETENCIA!B:D,3,FALSE)</f>
        <v>67.882066666666674</v>
      </c>
      <c r="H344" s="10">
        <f>Tabla1[[#This Row],[PVP Competencia]]*0.98</f>
        <v>66.52442533333334</v>
      </c>
      <c r="I344" s="10">
        <f>Tabla1[[#This Row],[Precio Lista CDR]]*0.8</f>
        <v>53.219540266666677</v>
      </c>
      <c r="J344" s="10">
        <f>Tabla1[[#This Row],[Precio Lista CDR]]*0.7</f>
        <v>46.567097733333334</v>
      </c>
      <c r="K344" s="10">
        <f>Tabla1[[#This Row],[Precio Lista CDR]]*0.6</f>
        <v>39.914655200000006</v>
      </c>
      <c r="L344" s="12">
        <f>(Tabla1[[#This Row],[Precio Lista CDR]]-Tabla1[[#This Row],[PrecioFábrica]])/Tabla1[[#This Row],[Precio Lista CDR]]</f>
        <v>0.71150947083716753</v>
      </c>
      <c r="M344" s="12">
        <f>(Tabla1[[#This Row],[Lista 1 (20%)]]-Tabla1[[#This Row],[PrecioFábrica]])/Tabla1[[#This Row],[Lista 1 (20%)]]</f>
        <v>0.6393868385464595</v>
      </c>
      <c r="N344" s="12">
        <f>(Tabla1[[#This Row],[Lista 2 (30%)]]-Tabla1[[#This Row],[PrecioFábrica]])/Tabla1[[#This Row],[Lista 2 (30%)]]</f>
        <v>0.58787067262452508</v>
      </c>
      <c r="O344" s="12">
        <f>(Tabla1[[#This Row],[Lista 3 (40%)]]-Tabla1[[#This Row],[PrecioFábrica]])/Tabla1[[#This Row],[Lista 3 (40%)]]</f>
        <v>0.5191824513952793</v>
      </c>
    </row>
    <row r="345" spans="1:15">
      <c r="A345" t="s">
        <v>9</v>
      </c>
      <c r="B345" t="s">
        <v>354</v>
      </c>
      <c r="C345" t="s">
        <v>1156</v>
      </c>
      <c r="D345" t="s">
        <v>811</v>
      </c>
      <c r="E345" t="s">
        <v>5</v>
      </c>
      <c r="F345" s="3">
        <v>11.525</v>
      </c>
      <c r="G345" s="10">
        <f>VLOOKUP(Tabla1[[#This Row],[Código Unificador]],PRECIOS_COMPETENCIA!B:D,3,FALSE)</f>
        <v>45.427849999999999</v>
      </c>
      <c r="H345" s="10">
        <f>Tabla1[[#This Row],[PVP Competencia]]*0.98</f>
        <v>44.519292999999998</v>
      </c>
      <c r="I345" s="10">
        <f>Tabla1[[#This Row],[Precio Lista CDR]]*0.8</f>
        <v>35.615434399999998</v>
      </c>
      <c r="J345" s="10">
        <f>Tabla1[[#This Row],[Precio Lista CDR]]*0.7</f>
        <v>31.163505099999995</v>
      </c>
      <c r="K345" s="10">
        <f>Tabla1[[#This Row],[Precio Lista CDR]]*0.6</f>
        <v>26.711575799999999</v>
      </c>
      <c r="L345" s="12">
        <f>(Tabla1[[#This Row],[Precio Lista CDR]]-Tabla1[[#This Row],[PrecioFábrica]])/Tabla1[[#This Row],[Precio Lista CDR]]</f>
        <v>0.74112347201919848</v>
      </c>
      <c r="M345" s="12">
        <f>(Tabla1[[#This Row],[Lista 1 (20%)]]-Tabla1[[#This Row],[PrecioFábrica]])/Tabla1[[#This Row],[Lista 1 (20%)]]</f>
        <v>0.67640434002399819</v>
      </c>
      <c r="N345" s="12">
        <f>(Tabla1[[#This Row],[Lista 2 (30%)]]-Tabla1[[#This Row],[PrecioFábrica]])/Tabla1[[#This Row],[Lista 2 (30%)]]</f>
        <v>0.63017638859885494</v>
      </c>
      <c r="O345" s="12">
        <f>(Tabla1[[#This Row],[Lista 3 (40%)]]-Tabla1[[#This Row],[PrecioFábrica]])/Tabla1[[#This Row],[Lista 3 (40%)]]</f>
        <v>0.56853912003199747</v>
      </c>
    </row>
    <row r="346" spans="1:15">
      <c r="A346" t="s">
        <v>9</v>
      </c>
      <c r="B346" t="s">
        <v>355</v>
      </c>
      <c r="C346" t="s">
        <v>1157</v>
      </c>
      <c r="D346" t="s">
        <v>811</v>
      </c>
      <c r="E346" t="s">
        <v>5</v>
      </c>
      <c r="F346" s="3">
        <v>71.216666666666669</v>
      </c>
      <c r="G346" s="10">
        <f>VLOOKUP(Tabla1[[#This Row],[Código Unificador]],PRECIOS_COMPETENCIA!B:D,3,FALSE)</f>
        <v>249.65889999999999</v>
      </c>
      <c r="H346" s="10">
        <f>Tabla1[[#This Row],[PVP Competencia]]*0.98</f>
        <v>244.66572199999999</v>
      </c>
      <c r="I346" s="10">
        <f>Tabla1[[#This Row],[Precio Lista CDR]]*0.8</f>
        <v>195.73257760000001</v>
      </c>
      <c r="J346" s="10">
        <f>Tabla1[[#This Row],[Precio Lista CDR]]*0.7</f>
        <v>171.26600539999998</v>
      </c>
      <c r="K346" s="10">
        <f>Tabla1[[#This Row],[Precio Lista CDR]]*0.6</f>
        <v>146.79943319999998</v>
      </c>
      <c r="L346" s="12">
        <f>(Tabla1[[#This Row],[Precio Lista CDR]]-Tabla1[[#This Row],[PrecioFábrica]])/Tabla1[[#This Row],[Precio Lista CDR]]</f>
        <v>0.70892258186184876</v>
      </c>
      <c r="M346" s="12">
        <f>(Tabla1[[#This Row],[Lista 1 (20%)]]-Tabla1[[#This Row],[PrecioFábrica]])/Tabla1[[#This Row],[Lista 1 (20%)]]</f>
        <v>0.63615322732731094</v>
      </c>
      <c r="N346" s="12">
        <f>(Tabla1[[#This Row],[Lista 2 (30%)]]-Tabla1[[#This Row],[PrecioFábrica]])/Tabla1[[#This Row],[Lista 2 (30%)]]</f>
        <v>0.58417511694549817</v>
      </c>
      <c r="O346" s="12">
        <f>(Tabla1[[#This Row],[Lista 3 (40%)]]-Tabla1[[#This Row],[PrecioFábrica]])/Tabla1[[#This Row],[Lista 3 (40%)]]</f>
        <v>0.51487096976974789</v>
      </c>
    </row>
    <row r="347" spans="1:15">
      <c r="A347" t="s">
        <v>9</v>
      </c>
      <c r="B347" t="s">
        <v>356</v>
      </c>
      <c r="C347" t="s">
        <v>1158</v>
      </c>
      <c r="D347" t="s">
        <v>811</v>
      </c>
      <c r="E347" t="s">
        <v>5</v>
      </c>
      <c r="F347" s="3">
        <v>8.8583333333333343</v>
      </c>
      <c r="G347" s="10">
        <f>VLOOKUP(Tabla1[[#This Row],[Código Unificador]],PRECIOS_COMPETENCIA!B:D,3,FALSE)</f>
        <v>36.716733333333337</v>
      </c>
      <c r="H347" s="10">
        <f>Tabla1[[#This Row],[PVP Competencia]]*0.98</f>
        <v>35.982398666666668</v>
      </c>
      <c r="I347" s="10">
        <f>Tabla1[[#This Row],[Precio Lista CDR]]*0.8</f>
        <v>28.785918933333335</v>
      </c>
      <c r="J347" s="10">
        <f>Tabla1[[#This Row],[Precio Lista CDR]]*0.7</f>
        <v>25.187679066666668</v>
      </c>
      <c r="K347" s="10">
        <f>Tabla1[[#This Row],[Precio Lista CDR]]*0.6</f>
        <v>21.589439200000001</v>
      </c>
      <c r="L347" s="12">
        <f>(Tabla1[[#This Row],[Precio Lista CDR]]-Tabla1[[#This Row],[PrecioFábrica]])/Tabla1[[#This Row],[Precio Lista CDR]]</f>
        <v>0.75381481886755075</v>
      </c>
      <c r="M347" s="12">
        <f>(Tabla1[[#This Row],[Lista 1 (20%)]]-Tabla1[[#This Row],[PrecioFábrica]])/Tabla1[[#This Row],[Lista 1 (20%)]]</f>
        <v>0.69226852358443847</v>
      </c>
      <c r="N347" s="12">
        <f>(Tabla1[[#This Row],[Lista 2 (30%)]]-Tabla1[[#This Row],[PrecioFábrica]])/Tabla1[[#This Row],[Lista 2 (30%)]]</f>
        <v>0.64830688409650106</v>
      </c>
      <c r="O347" s="12">
        <f>(Tabla1[[#This Row],[Lista 3 (40%)]]-Tabla1[[#This Row],[PrecioFábrica]])/Tabla1[[#This Row],[Lista 3 (40%)]]</f>
        <v>0.58969136477925121</v>
      </c>
    </row>
    <row r="348" spans="1:15">
      <c r="A348" t="s">
        <v>6</v>
      </c>
      <c r="B348" t="s">
        <v>357</v>
      </c>
      <c r="C348" t="s">
        <v>1159</v>
      </c>
      <c r="D348" t="s">
        <v>811</v>
      </c>
      <c r="E348" t="s">
        <v>5</v>
      </c>
      <c r="F348" s="3">
        <v>41.65</v>
      </c>
      <c r="G348" s="10">
        <f>VLOOKUP(Tabla1[[#This Row],[Código Unificador]],PRECIOS_COMPETENCIA!B:D,3,FALSE)</f>
        <v>149.23994999999999</v>
      </c>
      <c r="H348" s="10">
        <f>Tabla1[[#This Row],[PVP Competencia]]*0.98</f>
        <v>146.25515099999998</v>
      </c>
      <c r="I348" s="10">
        <f>Tabla1[[#This Row],[Precio Lista CDR]]*0.8</f>
        <v>117.0041208</v>
      </c>
      <c r="J348" s="10">
        <f>Tabla1[[#This Row],[Precio Lista CDR]]*0.7</f>
        <v>102.37860569999998</v>
      </c>
      <c r="K348" s="10">
        <f>Tabla1[[#This Row],[Precio Lista CDR]]*0.6</f>
        <v>87.753090599999993</v>
      </c>
      <c r="L348" s="12">
        <f>(Tabla1[[#This Row],[Precio Lista CDR]]-Tabla1[[#This Row],[PrecioFábrica]])/Tabla1[[#This Row],[Precio Lista CDR]]</f>
        <v>0.71522370518081779</v>
      </c>
      <c r="M348" s="12">
        <f>(Tabla1[[#This Row],[Lista 1 (20%)]]-Tabla1[[#This Row],[PrecioFábrica]])/Tabla1[[#This Row],[Lista 1 (20%)]]</f>
        <v>0.64402963147602243</v>
      </c>
      <c r="N348" s="12">
        <f>(Tabla1[[#This Row],[Lista 2 (30%)]]-Tabla1[[#This Row],[PrecioFábrica]])/Tabla1[[#This Row],[Lista 2 (30%)]]</f>
        <v>0.59317672168688262</v>
      </c>
      <c r="O348" s="12">
        <f>(Tabla1[[#This Row],[Lista 3 (40%)]]-Tabla1[[#This Row],[PrecioFábrica]])/Tabla1[[#This Row],[Lista 3 (40%)]]</f>
        <v>0.5253728419680298</v>
      </c>
    </row>
    <row r="349" spans="1:15">
      <c r="A349" t="s">
        <v>9</v>
      </c>
      <c r="B349" t="s">
        <v>358</v>
      </c>
      <c r="C349" t="s">
        <v>1160</v>
      </c>
      <c r="D349" t="s">
        <v>811</v>
      </c>
      <c r="E349" t="s">
        <v>5</v>
      </c>
      <c r="F349" s="3">
        <v>25.683333333333334</v>
      </c>
      <c r="G349" s="10">
        <f>VLOOKUP(Tabla1[[#This Row],[Código Unificador]],PRECIOS_COMPETENCIA!B:D,3,FALSE)</f>
        <v>95.971299999999999</v>
      </c>
      <c r="H349" s="10">
        <f>Tabla1[[#This Row],[PVP Competencia]]*0.98</f>
        <v>94.051873999999998</v>
      </c>
      <c r="I349" s="10">
        <f>Tabla1[[#This Row],[Precio Lista CDR]]*0.8</f>
        <v>75.241499200000007</v>
      </c>
      <c r="J349" s="10">
        <f>Tabla1[[#This Row],[Precio Lista CDR]]*0.7</f>
        <v>65.83631179999999</v>
      </c>
      <c r="K349" s="10">
        <f>Tabla1[[#This Row],[Precio Lista CDR]]*0.6</f>
        <v>56.431124399999995</v>
      </c>
      <c r="L349" s="12">
        <f>(Tabla1[[#This Row],[Precio Lista CDR]]-Tabla1[[#This Row],[PrecioFábrica]])/Tabla1[[#This Row],[Precio Lista CDR]]</f>
        <v>0.72692374706607821</v>
      </c>
      <c r="M349" s="12">
        <f>(Tabla1[[#This Row],[Lista 1 (20%)]]-Tabla1[[#This Row],[PrecioFábrica]])/Tabla1[[#This Row],[Lista 1 (20%)]]</f>
        <v>0.65865468383259784</v>
      </c>
      <c r="N349" s="12">
        <f>(Tabla1[[#This Row],[Lista 2 (30%)]]-Tabla1[[#This Row],[PrecioFábrica]])/Tabla1[[#This Row],[Lista 2 (30%)]]</f>
        <v>0.60989106723725461</v>
      </c>
      <c r="O349" s="12">
        <f>(Tabla1[[#This Row],[Lista 3 (40%)]]-Tabla1[[#This Row],[PrecioFábrica]])/Tabla1[[#This Row],[Lista 3 (40%)]]</f>
        <v>0.54487291177679709</v>
      </c>
    </row>
    <row r="350" spans="1:15">
      <c r="A350" t="s">
        <v>9</v>
      </c>
      <c r="B350" t="s">
        <v>359</v>
      </c>
      <c r="C350" t="s">
        <v>1161</v>
      </c>
      <c r="D350" t="s">
        <v>811</v>
      </c>
      <c r="E350" t="s">
        <v>5</v>
      </c>
      <c r="F350" s="3">
        <v>13.291666666666666</v>
      </c>
      <c r="G350" s="10">
        <f>VLOOKUP(Tabla1[[#This Row],[Código Unificador]],PRECIOS_COMPETENCIA!B:D,3,FALSE)</f>
        <v>49.316749999999999</v>
      </c>
      <c r="H350" s="10">
        <f>Tabla1[[#This Row],[PVP Competencia]]*0.98</f>
        <v>48.330414999999995</v>
      </c>
      <c r="I350" s="10">
        <f>Tabla1[[#This Row],[Precio Lista CDR]]*0.8</f>
        <v>38.664332000000002</v>
      </c>
      <c r="J350" s="10">
        <f>Tabla1[[#This Row],[Precio Lista CDR]]*0.7</f>
        <v>33.831290499999994</v>
      </c>
      <c r="K350" s="10">
        <f>Tabla1[[#This Row],[Precio Lista CDR]]*0.6</f>
        <v>28.998248999999994</v>
      </c>
      <c r="L350" s="12">
        <f>(Tabla1[[#This Row],[Precio Lista CDR]]-Tabla1[[#This Row],[PrecioFábrica]])/Tabla1[[#This Row],[Precio Lista CDR]]</f>
        <v>0.72498339468703787</v>
      </c>
      <c r="M350" s="12">
        <f>(Tabla1[[#This Row],[Lista 1 (20%)]]-Tabla1[[#This Row],[PrecioFábrica]])/Tabla1[[#This Row],[Lista 1 (20%)]]</f>
        <v>0.6562292433587974</v>
      </c>
      <c r="N350" s="12">
        <f>(Tabla1[[#This Row],[Lista 2 (30%)]]-Tabla1[[#This Row],[PrecioFábrica]])/Tabla1[[#This Row],[Lista 2 (30%)]]</f>
        <v>0.60711913526719685</v>
      </c>
      <c r="O350" s="12">
        <f>(Tabla1[[#This Row],[Lista 3 (40%)]]-Tabla1[[#This Row],[PrecioFábrica]])/Tabla1[[#This Row],[Lista 3 (40%)]]</f>
        <v>0.54163899114506298</v>
      </c>
    </row>
    <row r="351" spans="1:15">
      <c r="A351" t="s">
        <v>9</v>
      </c>
      <c r="B351" t="s">
        <v>360</v>
      </c>
      <c r="C351" t="s">
        <v>1162</v>
      </c>
      <c r="D351" t="s">
        <v>811</v>
      </c>
      <c r="E351" t="s">
        <v>5</v>
      </c>
      <c r="F351" s="3">
        <v>43.258333333333333</v>
      </c>
      <c r="G351" s="10">
        <f>VLOOKUP(Tabla1[[#This Row],[Código Unificador]],PRECIOS_COMPETENCIA!B:D,3,FALSE)</f>
        <v>151.72162499999999</v>
      </c>
      <c r="H351" s="10">
        <f>Tabla1[[#This Row],[PVP Competencia]]*0.98</f>
        <v>148.68719249999998</v>
      </c>
      <c r="I351" s="10">
        <f>Tabla1[[#This Row],[Precio Lista CDR]]*0.8</f>
        <v>118.94975399999998</v>
      </c>
      <c r="J351" s="10">
        <f>Tabla1[[#This Row],[Precio Lista CDR]]*0.7</f>
        <v>104.08103474999999</v>
      </c>
      <c r="K351" s="10">
        <f>Tabla1[[#This Row],[Precio Lista CDR]]*0.6</f>
        <v>89.212315499999988</v>
      </c>
      <c r="L351" s="12">
        <f>(Tabla1[[#This Row],[Precio Lista CDR]]-Tabla1[[#This Row],[PrecioFábrica]])/Tabla1[[#This Row],[Precio Lista CDR]]</f>
        <v>0.70906483197378734</v>
      </c>
      <c r="M351" s="12">
        <f>(Tabla1[[#This Row],[Lista 1 (20%)]]-Tabla1[[#This Row],[PrecioFábrica]])/Tabla1[[#This Row],[Lista 1 (20%)]]</f>
        <v>0.63633103996723417</v>
      </c>
      <c r="N351" s="12">
        <f>(Tabla1[[#This Row],[Lista 2 (30%)]]-Tabla1[[#This Row],[PrecioFábrica]])/Tabla1[[#This Row],[Lista 2 (30%)]]</f>
        <v>0.58437833139112461</v>
      </c>
      <c r="O351" s="12">
        <f>(Tabla1[[#This Row],[Lista 3 (40%)]]-Tabla1[[#This Row],[PrecioFábrica]])/Tabla1[[#This Row],[Lista 3 (40%)]]</f>
        <v>0.51510805328964548</v>
      </c>
    </row>
    <row r="352" spans="1:15">
      <c r="A352" t="s">
        <v>9</v>
      </c>
      <c r="B352" t="s">
        <v>361</v>
      </c>
      <c r="C352" t="s">
        <v>1163</v>
      </c>
      <c r="D352" t="s">
        <v>811</v>
      </c>
      <c r="E352" t="s">
        <v>5</v>
      </c>
      <c r="F352" s="3">
        <v>27.416666666666668</v>
      </c>
      <c r="G352" s="10">
        <f>VLOOKUP(Tabla1[[#This Row],[Código Unificador]],PRECIOS_COMPETENCIA!B:D,3,FALSE)</f>
        <v>95.073916666666676</v>
      </c>
      <c r="H352" s="10">
        <f>Tabla1[[#This Row],[PVP Competencia]]*0.98</f>
        <v>93.172438333333346</v>
      </c>
      <c r="I352" s="10">
        <f>Tabla1[[#This Row],[Precio Lista CDR]]*0.8</f>
        <v>74.537950666666674</v>
      </c>
      <c r="J352" s="10">
        <f>Tabla1[[#This Row],[Precio Lista CDR]]*0.7</f>
        <v>65.220706833333338</v>
      </c>
      <c r="K352" s="10">
        <f>Tabla1[[#This Row],[Precio Lista CDR]]*0.6</f>
        <v>55.903463000000009</v>
      </c>
      <c r="L352" s="12">
        <f>(Tabla1[[#This Row],[Precio Lista CDR]]-Tabla1[[#This Row],[PrecioFábrica]])/Tabla1[[#This Row],[Precio Lista CDR]]</f>
        <v>0.70574273726119618</v>
      </c>
      <c r="M352" s="12">
        <f>(Tabla1[[#This Row],[Lista 1 (20%)]]-Tabla1[[#This Row],[PrecioFábrica]])/Tabla1[[#This Row],[Lista 1 (20%)]]</f>
        <v>0.63217842157649518</v>
      </c>
      <c r="N352" s="12">
        <f>(Tabla1[[#This Row],[Lista 2 (30%)]]-Tabla1[[#This Row],[PrecioFábrica]])/Tabla1[[#This Row],[Lista 2 (30%)]]</f>
        <v>0.57963248180170879</v>
      </c>
      <c r="O352" s="12">
        <f>(Tabla1[[#This Row],[Lista 3 (40%)]]-Tabla1[[#This Row],[PrecioFábrica]])/Tabla1[[#This Row],[Lista 3 (40%)]]</f>
        <v>0.50957122876866034</v>
      </c>
    </row>
    <row r="353" spans="1:15">
      <c r="A353" t="s">
        <v>9</v>
      </c>
      <c r="B353" t="s">
        <v>362</v>
      </c>
      <c r="C353" t="s">
        <v>1164</v>
      </c>
      <c r="D353" t="s">
        <v>811</v>
      </c>
      <c r="E353" t="s">
        <v>5</v>
      </c>
      <c r="F353" s="3">
        <v>16.375</v>
      </c>
      <c r="G353" s="10">
        <f>VLOOKUP(Tabla1[[#This Row],[Código Unificador]],PRECIOS_COMPETENCIA!B:D,3,FALSE)</f>
        <v>60.811624999999999</v>
      </c>
      <c r="H353" s="10">
        <f>Tabla1[[#This Row],[PVP Competencia]]*0.98</f>
        <v>59.595392499999996</v>
      </c>
      <c r="I353" s="10">
        <f>Tabla1[[#This Row],[Precio Lista CDR]]*0.8</f>
        <v>47.676313999999998</v>
      </c>
      <c r="J353" s="10">
        <f>Tabla1[[#This Row],[Precio Lista CDR]]*0.7</f>
        <v>41.716774749999992</v>
      </c>
      <c r="K353" s="10">
        <f>Tabla1[[#This Row],[Precio Lista CDR]]*0.6</f>
        <v>35.757235499999993</v>
      </c>
      <c r="L353" s="12">
        <f>(Tabla1[[#This Row],[Precio Lista CDR]]-Tabla1[[#This Row],[PrecioFábrica]])/Tabla1[[#This Row],[Precio Lista CDR]]</f>
        <v>0.72523043622877392</v>
      </c>
      <c r="M353" s="12">
        <f>(Tabla1[[#This Row],[Lista 1 (20%)]]-Tabla1[[#This Row],[PrecioFábrica]])/Tabla1[[#This Row],[Lista 1 (20%)]]</f>
        <v>0.65653804528596738</v>
      </c>
      <c r="N353" s="12">
        <f>(Tabla1[[#This Row],[Lista 2 (30%)]]-Tabla1[[#This Row],[PrecioFábrica]])/Tabla1[[#This Row],[Lista 2 (30%)]]</f>
        <v>0.60747205175539121</v>
      </c>
      <c r="O353" s="12">
        <f>(Tabla1[[#This Row],[Lista 3 (40%)]]-Tabla1[[#This Row],[PrecioFábrica]])/Tabla1[[#This Row],[Lista 3 (40%)]]</f>
        <v>0.54205072704795643</v>
      </c>
    </row>
    <row r="354" spans="1:15">
      <c r="A354" t="s">
        <v>6</v>
      </c>
      <c r="B354" t="s">
        <v>363</v>
      </c>
      <c r="C354" t="s">
        <v>1165</v>
      </c>
      <c r="D354" t="s">
        <v>811</v>
      </c>
      <c r="E354" t="s">
        <v>5</v>
      </c>
      <c r="F354" s="3">
        <v>22.916666666666668</v>
      </c>
      <c r="G354" s="10">
        <f>VLOOKUP(Tabla1[[#This Row],[Código Unificador]],PRECIOS_COMPETENCIA!B:D,3,FALSE)</f>
        <v>87.787500000000009</v>
      </c>
      <c r="H354" s="10">
        <f>Tabla1[[#This Row],[PVP Competencia]]*0.98</f>
        <v>86.031750000000002</v>
      </c>
      <c r="I354" s="10">
        <f>Tabla1[[#This Row],[Precio Lista CDR]]*0.8</f>
        <v>68.825400000000002</v>
      </c>
      <c r="J354" s="10">
        <f>Tabla1[[#This Row],[Precio Lista CDR]]*0.7</f>
        <v>60.222224999999995</v>
      </c>
      <c r="K354" s="10">
        <f>Tabla1[[#This Row],[Precio Lista CDR]]*0.6</f>
        <v>51.619050000000001</v>
      </c>
      <c r="L354" s="12">
        <f>(Tabla1[[#This Row],[Precio Lista CDR]]-Tabla1[[#This Row],[PrecioFábrica]])/Tabla1[[#This Row],[Precio Lista CDR]]</f>
        <v>0.7336254735412604</v>
      </c>
      <c r="M354" s="12">
        <f>(Tabla1[[#This Row],[Lista 1 (20%)]]-Tabla1[[#This Row],[PrecioFábrica]])/Tabla1[[#This Row],[Lista 1 (20%)]]</f>
        <v>0.6670318419265755</v>
      </c>
      <c r="N354" s="12">
        <f>(Tabla1[[#This Row],[Lista 2 (30%)]]-Tabla1[[#This Row],[PrecioFábrica]])/Tabla1[[#This Row],[Lista 2 (30%)]]</f>
        <v>0.61946496220180047</v>
      </c>
      <c r="O354" s="12">
        <f>(Tabla1[[#This Row],[Lista 3 (40%)]]-Tabla1[[#This Row],[PrecioFábrica]])/Tabla1[[#This Row],[Lista 3 (40%)]]</f>
        <v>0.55604245590210077</v>
      </c>
    </row>
    <row r="355" spans="1:15">
      <c r="A355" t="s">
        <v>9</v>
      </c>
      <c r="B355" t="s">
        <v>364</v>
      </c>
      <c r="C355" t="s">
        <v>1166</v>
      </c>
      <c r="D355" t="s">
        <v>811</v>
      </c>
      <c r="E355" t="s">
        <v>5</v>
      </c>
      <c r="F355" s="3">
        <v>15.433333333333334</v>
      </c>
      <c r="G355" s="10">
        <f>VLOOKUP(Tabla1[[#This Row],[Código Unificador]],PRECIOS_COMPETENCIA!B:D,3,FALSE)</f>
        <v>56.994500000000002</v>
      </c>
      <c r="H355" s="10">
        <f>Tabla1[[#This Row],[PVP Competencia]]*0.98</f>
        <v>55.854610000000001</v>
      </c>
      <c r="I355" s="10">
        <f>Tabla1[[#This Row],[Precio Lista CDR]]*0.8</f>
        <v>44.683688000000004</v>
      </c>
      <c r="J355" s="10">
        <f>Tabla1[[#This Row],[Precio Lista CDR]]*0.7</f>
        <v>39.098227000000001</v>
      </c>
      <c r="K355" s="10">
        <f>Tabla1[[#This Row],[Precio Lista CDR]]*0.6</f>
        <v>33.512765999999999</v>
      </c>
      <c r="L355" s="12">
        <f>(Tabla1[[#This Row],[Precio Lista CDR]]-Tabla1[[#This Row],[PrecioFábrica]])/Tabla1[[#This Row],[Precio Lista CDR]]</f>
        <v>0.72368738527879206</v>
      </c>
      <c r="M355" s="12">
        <f>(Tabla1[[#This Row],[Lista 1 (20%)]]-Tabla1[[#This Row],[PrecioFábrica]])/Tabla1[[#This Row],[Lista 1 (20%)]]</f>
        <v>0.65460923159848994</v>
      </c>
      <c r="N355" s="12">
        <f>(Tabla1[[#This Row],[Lista 2 (30%)]]-Tabla1[[#This Row],[PrecioFábrica]])/Tabla1[[#This Row],[Lista 2 (30%)]]</f>
        <v>0.60526769325541707</v>
      </c>
      <c r="O355" s="12">
        <f>(Tabla1[[#This Row],[Lista 3 (40%)]]-Tabla1[[#This Row],[PrecioFábrica]])/Tabla1[[#This Row],[Lista 3 (40%)]]</f>
        <v>0.53947897546465329</v>
      </c>
    </row>
    <row r="356" spans="1:15">
      <c r="A356" t="s">
        <v>7</v>
      </c>
      <c r="B356" t="s">
        <v>365</v>
      </c>
      <c r="C356" t="s">
        <v>1167</v>
      </c>
      <c r="D356" t="s">
        <v>811</v>
      </c>
      <c r="E356" t="s">
        <v>5</v>
      </c>
      <c r="F356" s="3">
        <v>5.7500000000000009</v>
      </c>
      <c r="G356" s="10">
        <f>VLOOKUP(Tabla1[[#This Row],[Código Unificador]],PRECIOS_COMPETENCIA!B:D,3,FALSE)</f>
        <v>28.009</v>
      </c>
      <c r="H356" s="10">
        <f>Tabla1[[#This Row],[PVP Competencia]]*0.98</f>
        <v>27.448820000000001</v>
      </c>
      <c r="I356" s="10">
        <f>Tabla1[[#This Row],[Precio Lista CDR]]*0.8</f>
        <v>21.959056000000004</v>
      </c>
      <c r="J356" s="10">
        <f>Tabla1[[#This Row],[Precio Lista CDR]]*0.7</f>
        <v>19.214174</v>
      </c>
      <c r="K356" s="10">
        <f>Tabla1[[#This Row],[Precio Lista CDR]]*0.6</f>
        <v>16.469291999999999</v>
      </c>
      <c r="L356" s="12">
        <f>(Tabla1[[#This Row],[Precio Lista CDR]]-Tabla1[[#This Row],[PrecioFábrica]])/Tabla1[[#This Row],[Precio Lista CDR]]</f>
        <v>0.79051922814896958</v>
      </c>
      <c r="M356" s="12">
        <f>(Tabla1[[#This Row],[Lista 1 (20%)]]-Tabla1[[#This Row],[PrecioFábrica]])/Tabla1[[#This Row],[Lista 1 (20%)]]</f>
        <v>0.73814903518621211</v>
      </c>
      <c r="N356" s="12">
        <f>(Tabla1[[#This Row],[Lista 2 (30%)]]-Tabla1[[#This Row],[PrecioFábrica]])/Tabla1[[#This Row],[Lista 2 (30%)]]</f>
        <v>0.70074175449852805</v>
      </c>
      <c r="O356" s="12">
        <f>(Tabla1[[#This Row],[Lista 3 (40%)]]-Tabla1[[#This Row],[PrecioFábrica]])/Tabla1[[#This Row],[Lista 3 (40%)]]</f>
        <v>0.65086538024828267</v>
      </c>
    </row>
    <row r="357" spans="1:15">
      <c r="A357" t="s">
        <v>9</v>
      </c>
      <c r="B357" t="s">
        <v>366</v>
      </c>
      <c r="C357" t="s">
        <v>1168</v>
      </c>
      <c r="D357" t="s">
        <v>811</v>
      </c>
      <c r="E357" t="s">
        <v>5</v>
      </c>
      <c r="F357" s="3">
        <v>8.1083333333333343</v>
      </c>
      <c r="G357" s="10">
        <f>VLOOKUP(Tabla1[[#This Row],[Código Unificador]],PRECIOS_COMPETENCIA!B:D,3,FALSE)</f>
        <v>35.160158333333335</v>
      </c>
      <c r="H357" s="10">
        <f>Tabla1[[#This Row],[PVP Competencia]]*0.98</f>
        <v>34.456955166666667</v>
      </c>
      <c r="I357" s="10">
        <f>Tabla1[[#This Row],[Precio Lista CDR]]*0.8</f>
        <v>27.565564133333336</v>
      </c>
      <c r="J357" s="10">
        <f>Tabla1[[#This Row],[Precio Lista CDR]]*0.7</f>
        <v>24.119868616666665</v>
      </c>
      <c r="K357" s="10">
        <f>Tabla1[[#This Row],[Precio Lista CDR]]*0.6</f>
        <v>20.674173100000001</v>
      </c>
      <c r="L357" s="12">
        <f>(Tabla1[[#This Row],[Precio Lista CDR]]-Tabla1[[#This Row],[PrecioFábrica]])/Tabla1[[#This Row],[Precio Lista CDR]]</f>
        <v>0.7646822450180607</v>
      </c>
      <c r="M357" s="12">
        <f>(Tabla1[[#This Row],[Lista 1 (20%)]]-Tabla1[[#This Row],[PrecioFábrica]])/Tabla1[[#This Row],[Lista 1 (20%)]]</f>
        <v>0.70585280627257585</v>
      </c>
      <c r="N357" s="12">
        <f>(Tabla1[[#This Row],[Lista 2 (30%)]]-Tabla1[[#This Row],[PrecioFábrica]])/Tabla1[[#This Row],[Lista 2 (30%)]]</f>
        <v>0.66383177859722953</v>
      </c>
      <c r="O357" s="12">
        <f>(Tabla1[[#This Row],[Lista 3 (40%)]]-Tabla1[[#This Row],[PrecioFábrica]])/Tabla1[[#This Row],[Lista 3 (40%)]]</f>
        <v>0.60780374169676787</v>
      </c>
    </row>
    <row r="358" spans="1:15">
      <c r="A358" t="s">
        <v>9</v>
      </c>
      <c r="B358" t="s">
        <v>367</v>
      </c>
      <c r="C358" t="s">
        <v>1169</v>
      </c>
      <c r="D358" t="s">
        <v>811</v>
      </c>
      <c r="E358" t="s">
        <v>5</v>
      </c>
      <c r="F358" s="3">
        <v>17.058333333333334</v>
      </c>
      <c r="G358" s="10">
        <f>VLOOKUP(Tabla1[[#This Row],[Código Unificador]],PRECIOS_COMPETENCIA!B:D,3,FALSE)</f>
        <v>61.942624999999992</v>
      </c>
      <c r="H358" s="10">
        <f>Tabla1[[#This Row],[PVP Competencia]]*0.98</f>
        <v>60.703772499999992</v>
      </c>
      <c r="I358" s="10">
        <f>Tabla1[[#This Row],[Precio Lista CDR]]*0.8</f>
        <v>48.563018</v>
      </c>
      <c r="J358" s="10">
        <f>Tabla1[[#This Row],[Precio Lista CDR]]*0.7</f>
        <v>42.492640749999993</v>
      </c>
      <c r="K358" s="10">
        <f>Tabla1[[#This Row],[Precio Lista CDR]]*0.6</f>
        <v>36.422263499999993</v>
      </c>
      <c r="L358" s="12">
        <f>(Tabla1[[#This Row],[Precio Lista CDR]]-Tabla1[[#This Row],[PrecioFábrica]])/Tabla1[[#This Row],[Precio Lista CDR]]</f>
        <v>0.71899055642162379</v>
      </c>
      <c r="M358" s="12">
        <f>(Tabla1[[#This Row],[Lista 1 (20%)]]-Tabla1[[#This Row],[PrecioFábrica]])/Tabla1[[#This Row],[Lista 1 (20%)]]</f>
        <v>0.64873819552702983</v>
      </c>
      <c r="N358" s="12">
        <f>(Tabla1[[#This Row],[Lista 2 (30%)]]-Tabla1[[#This Row],[PrecioFábrica]])/Tabla1[[#This Row],[Lista 2 (30%)]]</f>
        <v>0.59855793774517685</v>
      </c>
      <c r="O358" s="12">
        <f>(Tabla1[[#This Row],[Lista 3 (40%)]]-Tabla1[[#This Row],[PrecioFábrica]])/Tabla1[[#This Row],[Lista 3 (40%)]]</f>
        <v>0.53165092736937292</v>
      </c>
    </row>
    <row r="359" spans="1:15">
      <c r="A359" t="s">
        <v>7</v>
      </c>
      <c r="B359" t="s">
        <v>368</v>
      </c>
      <c r="C359" t="s">
        <v>1170</v>
      </c>
      <c r="D359" t="s">
        <v>811</v>
      </c>
      <c r="E359" t="s">
        <v>5</v>
      </c>
      <c r="F359" s="3">
        <v>3.95</v>
      </c>
      <c r="G359" s="10">
        <f>VLOOKUP(Tabla1[[#This Row],[Código Unificador]],PRECIOS_COMPETENCIA!B:D,3,FALSE)</f>
        <v>21.684100000000001</v>
      </c>
      <c r="H359" s="10">
        <f>Tabla1[[#This Row],[PVP Competencia]]*0.98</f>
        <v>21.250418</v>
      </c>
      <c r="I359" s="10">
        <f>Tabla1[[#This Row],[Precio Lista CDR]]*0.8</f>
        <v>17.0003344</v>
      </c>
      <c r="J359" s="10">
        <f>Tabla1[[#This Row],[Precio Lista CDR]]*0.7</f>
        <v>14.875292599999998</v>
      </c>
      <c r="K359" s="10">
        <f>Tabla1[[#This Row],[Precio Lista CDR]]*0.6</f>
        <v>12.7502508</v>
      </c>
      <c r="L359" s="12">
        <f>(Tabla1[[#This Row],[Precio Lista CDR]]-Tabla1[[#This Row],[PrecioFábrica]])/Tabla1[[#This Row],[Precio Lista CDR]]</f>
        <v>0.81412130340212607</v>
      </c>
      <c r="M359" s="12">
        <f>(Tabla1[[#This Row],[Lista 1 (20%)]]-Tabla1[[#This Row],[PrecioFábrica]])/Tabla1[[#This Row],[Lista 1 (20%)]]</f>
        <v>0.76765162925265762</v>
      </c>
      <c r="N359" s="12">
        <f>(Tabla1[[#This Row],[Lista 2 (30%)]]-Tabla1[[#This Row],[PrecioFábrica]])/Tabla1[[#This Row],[Lista 2 (30%)]]</f>
        <v>0.73445900486018001</v>
      </c>
      <c r="O359" s="12">
        <f>(Tabla1[[#This Row],[Lista 3 (40%)]]-Tabla1[[#This Row],[PrecioFábrica]])/Tabla1[[#This Row],[Lista 3 (40%)]]</f>
        <v>0.69020217233687675</v>
      </c>
    </row>
    <row r="360" spans="1:15">
      <c r="A360" t="s">
        <v>6</v>
      </c>
      <c r="B360" t="s">
        <v>369</v>
      </c>
      <c r="C360" t="s">
        <v>1171</v>
      </c>
      <c r="D360" t="s">
        <v>811</v>
      </c>
      <c r="E360" t="s">
        <v>5</v>
      </c>
      <c r="F360" s="3">
        <v>36.950000000000003</v>
      </c>
      <c r="G360" s="10">
        <f>VLOOKUP(Tabla1[[#This Row],[Código Unificador]],PRECIOS_COMPETENCIA!B:D,3,FALSE)</f>
        <v>130.36965000000004</v>
      </c>
      <c r="H360" s="10">
        <f>Tabla1[[#This Row],[PVP Competencia]]*0.98</f>
        <v>127.76225700000003</v>
      </c>
      <c r="I360" s="10">
        <f>Tabla1[[#This Row],[Precio Lista CDR]]*0.8</f>
        <v>102.20980560000004</v>
      </c>
      <c r="J360" s="10">
        <f>Tabla1[[#This Row],[Precio Lista CDR]]*0.7</f>
        <v>89.433579900000012</v>
      </c>
      <c r="K360" s="10">
        <f>Tabla1[[#This Row],[Precio Lista CDR]]*0.6</f>
        <v>76.657354200000015</v>
      </c>
      <c r="L360" s="12">
        <f>(Tabla1[[#This Row],[Precio Lista CDR]]-Tabla1[[#This Row],[PrecioFábrica]])/Tabla1[[#This Row],[Precio Lista CDR]]</f>
        <v>0.71079095761434463</v>
      </c>
      <c r="M360" s="12">
        <f>(Tabla1[[#This Row],[Lista 1 (20%)]]-Tabla1[[#This Row],[PrecioFábrica]])/Tabla1[[#This Row],[Lista 1 (20%)]]</f>
        <v>0.63848869701793087</v>
      </c>
      <c r="N360" s="12">
        <f>(Tabla1[[#This Row],[Lista 2 (30%)]]-Tabla1[[#This Row],[PrecioFábrica]])/Tabla1[[#This Row],[Lista 2 (30%)]]</f>
        <v>0.58684422516334944</v>
      </c>
      <c r="O360" s="12">
        <f>(Tabla1[[#This Row],[Lista 3 (40%)]]-Tabla1[[#This Row],[PrecioFábrica]])/Tabla1[[#This Row],[Lista 3 (40%)]]</f>
        <v>0.51798492935724105</v>
      </c>
    </row>
    <row r="361" spans="1:15">
      <c r="A361" t="s">
        <v>6</v>
      </c>
      <c r="B361" t="s">
        <v>370</v>
      </c>
      <c r="C361" t="s">
        <v>1172</v>
      </c>
      <c r="D361" t="s">
        <v>811</v>
      </c>
      <c r="E361" t="s">
        <v>5</v>
      </c>
      <c r="F361" s="3">
        <v>68.349999999999994</v>
      </c>
      <c r="G361" s="10">
        <f>VLOOKUP(Tabla1[[#This Row],[Código Unificador]],PRECIOS_COMPETENCIA!B:D,3,FALSE)</f>
        <v>244.16145</v>
      </c>
      <c r="H361" s="10">
        <f>Tabla1[[#This Row],[PVP Competencia]]*0.98</f>
        <v>239.278221</v>
      </c>
      <c r="I361" s="10">
        <f>Tabla1[[#This Row],[Precio Lista CDR]]*0.8</f>
        <v>191.4225768</v>
      </c>
      <c r="J361" s="10">
        <f>Tabla1[[#This Row],[Precio Lista CDR]]*0.7</f>
        <v>167.49475469999999</v>
      </c>
      <c r="K361" s="10">
        <f>Tabla1[[#This Row],[Precio Lista CDR]]*0.6</f>
        <v>143.5669326</v>
      </c>
      <c r="L361" s="12">
        <f>(Tabla1[[#This Row],[Precio Lista CDR]]-Tabla1[[#This Row],[PrecioFábrica]])/Tabla1[[#This Row],[Precio Lista CDR]]</f>
        <v>0.71434926373846619</v>
      </c>
      <c r="M361" s="12">
        <f>(Tabla1[[#This Row],[Lista 1 (20%)]]-Tabla1[[#This Row],[PrecioFábrica]])/Tabla1[[#This Row],[Lista 1 (20%)]]</f>
        <v>0.64293657967308282</v>
      </c>
      <c r="N361" s="12">
        <f>(Tabla1[[#This Row],[Lista 2 (30%)]]-Tabla1[[#This Row],[PrecioFábrica]])/Tabla1[[#This Row],[Lista 2 (30%)]]</f>
        <v>0.59192751962638024</v>
      </c>
      <c r="O361" s="12">
        <f>(Tabla1[[#This Row],[Lista 3 (40%)]]-Tabla1[[#This Row],[PrecioFábrica]])/Tabla1[[#This Row],[Lista 3 (40%)]]</f>
        <v>0.52391543956411035</v>
      </c>
    </row>
    <row r="362" spans="1:15">
      <c r="A362" t="s">
        <v>9</v>
      </c>
      <c r="B362" t="s">
        <v>371</v>
      </c>
      <c r="C362" t="s">
        <v>1173</v>
      </c>
      <c r="D362" t="s">
        <v>811</v>
      </c>
      <c r="E362" t="s">
        <v>5</v>
      </c>
      <c r="F362" s="3">
        <v>20.500000000000004</v>
      </c>
      <c r="G362" s="10">
        <f>VLOOKUP(Tabla1[[#This Row],[Código Unificador]],PRECIOS_COMPETENCIA!B:D,3,FALSE)</f>
        <v>74.206000000000017</v>
      </c>
      <c r="H362" s="10">
        <f>Tabla1[[#This Row],[PVP Competencia]]*0.98</f>
        <v>72.721880000000013</v>
      </c>
      <c r="I362" s="10">
        <f>Tabla1[[#This Row],[Precio Lista CDR]]*0.8</f>
        <v>58.177504000000013</v>
      </c>
      <c r="J362" s="10">
        <f>Tabla1[[#This Row],[Precio Lista CDR]]*0.7</f>
        <v>50.905316000000006</v>
      </c>
      <c r="K362" s="10">
        <f>Tabla1[[#This Row],[Precio Lista CDR]]*0.6</f>
        <v>43.633128000000006</v>
      </c>
      <c r="L362" s="12">
        <f>(Tabla1[[#This Row],[Precio Lista CDR]]-Tabla1[[#This Row],[PrecioFábrica]])/Tabla1[[#This Row],[Precio Lista CDR]]</f>
        <v>0.71810409741882364</v>
      </c>
      <c r="M362" s="12">
        <f>(Tabla1[[#This Row],[Lista 1 (20%)]]-Tabla1[[#This Row],[PrecioFábrica]])/Tabla1[[#This Row],[Lista 1 (20%)]]</f>
        <v>0.64763012177352963</v>
      </c>
      <c r="N362" s="12">
        <f>(Tabla1[[#This Row],[Lista 2 (30%)]]-Tabla1[[#This Row],[PrecioFábrica]])/Tabla1[[#This Row],[Lista 2 (30%)]]</f>
        <v>0.59729156774117653</v>
      </c>
      <c r="O362" s="12">
        <f>(Tabla1[[#This Row],[Lista 3 (40%)]]-Tabla1[[#This Row],[PrecioFábrica]])/Tabla1[[#This Row],[Lista 3 (40%)]]</f>
        <v>0.53017349569803929</v>
      </c>
    </row>
    <row r="363" spans="1:15">
      <c r="A363" t="s">
        <v>9</v>
      </c>
      <c r="B363" t="s">
        <v>372</v>
      </c>
      <c r="C363" t="s">
        <v>1174</v>
      </c>
      <c r="D363" t="s">
        <v>811</v>
      </c>
      <c r="E363" t="s">
        <v>5</v>
      </c>
      <c r="F363" s="3">
        <v>25.058333333333334</v>
      </c>
      <c r="G363" s="10">
        <f>VLOOKUP(Tabla1[[#This Row],[Código Unificador]],PRECIOS_COMPETENCIA!B:D,3,FALSE)</f>
        <v>94.849241666666671</v>
      </c>
      <c r="H363" s="10">
        <f>Tabla1[[#This Row],[PVP Competencia]]*0.98</f>
        <v>92.952256833333337</v>
      </c>
      <c r="I363" s="10">
        <f>Tabla1[[#This Row],[Precio Lista CDR]]*0.8</f>
        <v>74.361805466666667</v>
      </c>
      <c r="J363" s="10">
        <f>Tabla1[[#This Row],[Precio Lista CDR]]*0.7</f>
        <v>65.066579783333339</v>
      </c>
      <c r="K363" s="10">
        <f>Tabla1[[#This Row],[Precio Lista CDR]]*0.6</f>
        <v>55.771354100000003</v>
      </c>
      <c r="L363" s="12">
        <f>(Tabla1[[#This Row],[Precio Lista CDR]]-Tabla1[[#This Row],[PrecioFábrica]])/Tabla1[[#This Row],[Precio Lista CDR]]</f>
        <v>0.73041716051861105</v>
      </c>
      <c r="M363" s="12">
        <f>(Tabla1[[#This Row],[Lista 1 (20%)]]-Tabla1[[#This Row],[PrecioFábrica]])/Tabla1[[#This Row],[Lista 1 (20%)]]</f>
        <v>0.66302145064826379</v>
      </c>
      <c r="N363" s="12">
        <f>(Tabla1[[#This Row],[Lista 2 (30%)]]-Tabla1[[#This Row],[PrecioFábrica]])/Tabla1[[#This Row],[Lista 2 (30%)]]</f>
        <v>0.61488165788373017</v>
      </c>
      <c r="O363" s="12">
        <f>(Tabla1[[#This Row],[Lista 3 (40%)]]-Tabla1[[#This Row],[PrecioFábrica]])/Tabla1[[#This Row],[Lista 3 (40%)]]</f>
        <v>0.5506952675310185</v>
      </c>
    </row>
    <row r="364" spans="1:15">
      <c r="A364" t="s">
        <v>9</v>
      </c>
      <c r="B364" t="s">
        <v>373</v>
      </c>
      <c r="C364" t="s">
        <v>1175</v>
      </c>
      <c r="D364" t="s">
        <v>811</v>
      </c>
      <c r="E364" t="s">
        <v>5</v>
      </c>
      <c r="F364" s="3">
        <v>28.583333333333332</v>
      </c>
      <c r="G364" s="10">
        <f>VLOOKUP(Tabla1[[#This Row],[Código Unificador]],PRECIOS_COMPETENCIA!B:D,3,FALSE)</f>
        <v>99.522999999999996</v>
      </c>
      <c r="H364" s="10">
        <f>Tabla1[[#This Row],[PVP Competencia]]*0.98</f>
        <v>97.532539999999997</v>
      </c>
      <c r="I364" s="10">
        <f>Tabla1[[#This Row],[Precio Lista CDR]]*0.8</f>
        <v>78.026032000000001</v>
      </c>
      <c r="J364" s="10">
        <f>Tabla1[[#This Row],[Precio Lista CDR]]*0.7</f>
        <v>68.272777999999988</v>
      </c>
      <c r="K364" s="10">
        <f>Tabla1[[#This Row],[Precio Lista CDR]]*0.6</f>
        <v>58.519523999999997</v>
      </c>
      <c r="L364" s="12">
        <f>(Tabla1[[#This Row],[Precio Lista CDR]]-Tabla1[[#This Row],[PrecioFábrica]])/Tabla1[[#This Row],[Precio Lista CDR]]</f>
        <v>0.70693541526414339</v>
      </c>
      <c r="M364" s="12">
        <f>(Tabla1[[#This Row],[Lista 1 (20%)]]-Tabla1[[#This Row],[PrecioFábrica]])/Tabla1[[#This Row],[Lista 1 (20%)]]</f>
        <v>0.63366926908017918</v>
      </c>
      <c r="N364" s="12">
        <f>(Tabla1[[#This Row],[Lista 2 (30%)]]-Tabla1[[#This Row],[PrecioFábrica]])/Tabla1[[#This Row],[Lista 2 (30%)]]</f>
        <v>0.58133630752020471</v>
      </c>
      <c r="O364" s="12">
        <f>(Tabla1[[#This Row],[Lista 3 (40%)]]-Tabla1[[#This Row],[PrecioFábrica]])/Tabla1[[#This Row],[Lista 3 (40%)]]</f>
        <v>0.51155902544023879</v>
      </c>
    </row>
    <row r="365" spans="1:15">
      <c r="A365" t="s">
        <v>6</v>
      </c>
      <c r="B365" t="s">
        <v>374</v>
      </c>
      <c r="C365" t="s">
        <v>1176</v>
      </c>
      <c r="D365" t="s">
        <v>811</v>
      </c>
      <c r="E365" t="s">
        <v>5</v>
      </c>
      <c r="F365" s="3">
        <v>54.083333333333343</v>
      </c>
      <c r="G365" s="10">
        <f>VLOOKUP(Tabla1[[#This Row],[Código Unificador]],PRECIOS_COMPETENCIA!B:D,3,FALSE)</f>
        <v>189.38900000000001</v>
      </c>
      <c r="H365" s="10">
        <f>Tabla1[[#This Row],[PVP Competencia]]*0.98</f>
        <v>185.60122000000001</v>
      </c>
      <c r="I365" s="10">
        <f>Tabla1[[#This Row],[Precio Lista CDR]]*0.8</f>
        <v>148.48097600000003</v>
      </c>
      <c r="J365" s="10">
        <f>Tabla1[[#This Row],[Precio Lista CDR]]*0.7</f>
        <v>129.92085399999999</v>
      </c>
      <c r="K365" s="10">
        <f>Tabla1[[#This Row],[Precio Lista CDR]]*0.6</f>
        <v>111.360732</v>
      </c>
      <c r="L365" s="12">
        <f>(Tabla1[[#This Row],[Precio Lista CDR]]-Tabla1[[#This Row],[PrecioFábrica]])/Tabla1[[#This Row],[Precio Lista CDR]]</f>
        <v>0.70860464530710876</v>
      </c>
      <c r="M365" s="12">
        <f>(Tabla1[[#This Row],[Lista 1 (20%)]]-Tabla1[[#This Row],[PrecioFábrica]])/Tabla1[[#This Row],[Lista 1 (20%)]]</f>
        <v>0.63575580663388598</v>
      </c>
      <c r="N365" s="12">
        <f>(Tabla1[[#This Row],[Lista 2 (30%)]]-Tabla1[[#This Row],[PrecioFábrica]])/Tabla1[[#This Row],[Lista 2 (30%)]]</f>
        <v>0.58372092186729818</v>
      </c>
      <c r="O365" s="12">
        <f>(Tabla1[[#This Row],[Lista 3 (40%)]]-Tabla1[[#This Row],[PrecioFábrica]])/Tabla1[[#This Row],[Lista 3 (40%)]]</f>
        <v>0.51434107551184793</v>
      </c>
    </row>
    <row r="366" spans="1:15">
      <c r="A366" t="s">
        <v>9</v>
      </c>
      <c r="B366" t="s">
        <v>375</v>
      </c>
      <c r="C366" t="s">
        <v>1177</v>
      </c>
      <c r="D366" t="s">
        <v>811</v>
      </c>
      <c r="E366" t="s">
        <v>5</v>
      </c>
      <c r="F366" s="3">
        <v>23.125</v>
      </c>
      <c r="G366" s="10">
        <f>VLOOKUP(Tabla1[[#This Row],[Código Unificador]],PRECIOS_COMPETENCIA!B:D,3,FALSE)</f>
        <v>79.074375000000003</v>
      </c>
      <c r="H366" s="10">
        <f>Tabla1[[#This Row],[PVP Competencia]]*0.98</f>
        <v>77.492887500000009</v>
      </c>
      <c r="I366" s="10">
        <f>Tabla1[[#This Row],[Precio Lista CDR]]*0.8</f>
        <v>61.994310000000013</v>
      </c>
      <c r="J366" s="10">
        <f>Tabla1[[#This Row],[Precio Lista CDR]]*0.7</f>
        <v>54.245021250000001</v>
      </c>
      <c r="K366" s="10">
        <f>Tabla1[[#This Row],[Precio Lista CDR]]*0.6</f>
        <v>46.495732500000003</v>
      </c>
      <c r="L366" s="12">
        <f>(Tabla1[[#This Row],[Precio Lista CDR]]-Tabla1[[#This Row],[PrecioFábrica]])/Tabla1[[#This Row],[Precio Lista CDR]]</f>
        <v>0.70158551647723799</v>
      </c>
      <c r="M366" s="12">
        <f>(Tabla1[[#This Row],[Lista 1 (20%)]]-Tabla1[[#This Row],[PrecioFábrica]])/Tabla1[[#This Row],[Lista 1 (20%)]]</f>
        <v>0.6269818955965476</v>
      </c>
      <c r="N366" s="12">
        <f>(Tabla1[[#This Row],[Lista 2 (30%)]]-Tabla1[[#This Row],[PrecioFábrica]])/Tabla1[[#This Row],[Lista 2 (30%)]]</f>
        <v>0.57369359496748284</v>
      </c>
      <c r="O366" s="12">
        <f>(Tabla1[[#This Row],[Lista 3 (40%)]]-Tabla1[[#This Row],[PrecioFábrica]])/Tabla1[[#This Row],[Lista 3 (40%)]]</f>
        <v>0.50264252746206339</v>
      </c>
    </row>
    <row r="367" spans="1:15">
      <c r="A367" t="s">
        <v>7</v>
      </c>
      <c r="B367" t="s">
        <v>376</v>
      </c>
      <c r="C367" t="s">
        <v>1178</v>
      </c>
      <c r="D367" t="s">
        <v>811</v>
      </c>
      <c r="E367" t="s">
        <v>5</v>
      </c>
      <c r="F367" s="3">
        <v>6.6416666666666666</v>
      </c>
      <c r="G367" s="10">
        <f>VLOOKUP(Tabla1[[#This Row],[Código Unificador]],PRECIOS_COMPETENCIA!B:D,3,FALSE)</f>
        <v>30.031266666666667</v>
      </c>
      <c r="H367" s="10">
        <f>Tabla1[[#This Row],[PVP Competencia]]*0.98</f>
        <v>29.430641333333334</v>
      </c>
      <c r="I367" s="10">
        <f>Tabla1[[#This Row],[Precio Lista CDR]]*0.8</f>
        <v>23.544513066666667</v>
      </c>
      <c r="J367" s="10">
        <f>Tabla1[[#This Row],[Precio Lista CDR]]*0.7</f>
        <v>20.601448933333334</v>
      </c>
      <c r="K367" s="10">
        <f>Tabla1[[#This Row],[Precio Lista CDR]]*0.6</f>
        <v>17.6583848</v>
      </c>
      <c r="L367" s="12">
        <f>(Tabla1[[#This Row],[Precio Lista CDR]]-Tabla1[[#This Row],[PrecioFábrica]])/Tabla1[[#This Row],[Precio Lista CDR]]</f>
        <v>0.77432817071695037</v>
      </c>
      <c r="M367" s="12">
        <f>(Tabla1[[#This Row],[Lista 1 (20%)]]-Tabla1[[#This Row],[PrecioFábrica]])/Tabla1[[#This Row],[Lista 1 (20%)]]</f>
        <v>0.71791021339618788</v>
      </c>
      <c r="N367" s="12">
        <f>(Tabla1[[#This Row],[Lista 2 (30%)]]-Tabla1[[#This Row],[PrecioFábrica]])/Tabla1[[#This Row],[Lista 2 (30%)]]</f>
        <v>0.6776116724527862</v>
      </c>
      <c r="O367" s="12">
        <f>(Tabla1[[#This Row],[Lista 3 (40%)]]-Tabla1[[#This Row],[PrecioFábrica]])/Tabla1[[#This Row],[Lista 3 (40%)]]</f>
        <v>0.62388028452825051</v>
      </c>
    </row>
    <row r="368" spans="1:15">
      <c r="A368" t="s">
        <v>6</v>
      </c>
      <c r="B368" t="s">
        <v>377</v>
      </c>
      <c r="C368" t="s">
        <v>1179</v>
      </c>
      <c r="D368" t="s">
        <v>811</v>
      </c>
      <c r="E368" t="s">
        <v>5</v>
      </c>
      <c r="F368" s="3">
        <v>15.049999999999999</v>
      </c>
      <c r="G368" s="10">
        <f>VLOOKUP(Tabla1[[#This Row],[Código Unificador]],PRECIOS_COMPETENCIA!B:D,3,FALSE)</f>
        <v>56.2637</v>
      </c>
      <c r="H368" s="10">
        <f>Tabla1[[#This Row],[PVP Competencia]]*0.98</f>
        <v>55.138425999999995</v>
      </c>
      <c r="I368" s="10">
        <f>Tabla1[[#This Row],[Precio Lista CDR]]*0.8</f>
        <v>44.110740800000002</v>
      </c>
      <c r="J368" s="10">
        <f>Tabla1[[#This Row],[Precio Lista CDR]]*0.7</f>
        <v>38.596898199999991</v>
      </c>
      <c r="K368" s="10">
        <f>Tabla1[[#This Row],[Precio Lista CDR]]*0.6</f>
        <v>33.083055599999994</v>
      </c>
      <c r="L368" s="12">
        <f>(Tabla1[[#This Row],[Precio Lista CDR]]-Tabla1[[#This Row],[PrecioFábrica]])/Tabla1[[#This Row],[Precio Lista CDR]]</f>
        <v>0.72705060532558552</v>
      </c>
      <c r="M368" s="12">
        <f>(Tabla1[[#This Row],[Lista 1 (20%)]]-Tabla1[[#This Row],[PrecioFábrica]])/Tabla1[[#This Row],[Lista 1 (20%)]]</f>
        <v>0.65881325665698187</v>
      </c>
      <c r="N368" s="12">
        <f>(Tabla1[[#This Row],[Lista 2 (30%)]]-Tabla1[[#This Row],[PrecioFábrica]])/Tabla1[[#This Row],[Lista 2 (30%)]]</f>
        <v>0.61007229332226498</v>
      </c>
      <c r="O368" s="12">
        <f>(Tabla1[[#This Row],[Lista 3 (40%)]]-Tabla1[[#This Row],[PrecioFábrica]])/Tabla1[[#This Row],[Lista 3 (40%)]]</f>
        <v>0.54508434220930913</v>
      </c>
    </row>
    <row r="369" spans="1:15">
      <c r="A369" t="s">
        <v>6</v>
      </c>
      <c r="B369" t="s">
        <v>378</v>
      </c>
      <c r="C369" t="s">
        <v>1180</v>
      </c>
      <c r="D369" t="s">
        <v>811</v>
      </c>
      <c r="E369" t="s">
        <v>5</v>
      </c>
      <c r="F369" s="3">
        <v>7.0583333333333327</v>
      </c>
      <c r="G369" s="10">
        <f>VLOOKUP(Tabla1[[#This Row],[Código Unificador]],PRECIOS_COMPETENCIA!B:D,3,FALSE)</f>
        <v>31.902008333333331</v>
      </c>
      <c r="H369" s="10">
        <f>Tabla1[[#This Row],[PVP Competencia]]*0.98</f>
        <v>31.263968166666665</v>
      </c>
      <c r="I369" s="10">
        <f>Tabla1[[#This Row],[Precio Lista CDR]]*0.8</f>
        <v>25.011174533333332</v>
      </c>
      <c r="J369" s="10">
        <f>Tabla1[[#This Row],[Precio Lista CDR]]*0.7</f>
        <v>21.884777716666665</v>
      </c>
      <c r="K369" s="10">
        <f>Tabla1[[#This Row],[Precio Lista CDR]]*0.6</f>
        <v>18.758380899999999</v>
      </c>
      <c r="L369" s="12">
        <f>(Tabla1[[#This Row],[Precio Lista CDR]]-Tabla1[[#This Row],[PrecioFábrica]])/Tabla1[[#This Row],[Precio Lista CDR]]</f>
        <v>0.77423424641089356</v>
      </c>
      <c r="M369" s="12">
        <f>(Tabla1[[#This Row],[Lista 1 (20%)]]-Tabla1[[#This Row],[PrecioFábrica]])/Tabla1[[#This Row],[Lista 1 (20%)]]</f>
        <v>0.717792808013617</v>
      </c>
      <c r="N369" s="12">
        <f>(Tabla1[[#This Row],[Lista 2 (30%)]]-Tabla1[[#This Row],[PrecioFábrica]])/Tabla1[[#This Row],[Lista 2 (30%)]]</f>
        <v>0.67747749487270514</v>
      </c>
      <c r="O369" s="12">
        <f>(Tabla1[[#This Row],[Lista 3 (40%)]]-Tabla1[[#This Row],[PrecioFábrica]])/Tabla1[[#This Row],[Lista 3 (40%)]]</f>
        <v>0.623723744018156</v>
      </c>
    </row>
    <row r="370" spans="1:15">
      <c r="A370" t="s">
        <v>9</v>
      </c>
      <c r="B370" t="s">
        <v>379</v>
      </c>
      <c r="C370" t="s">
        <v>1181</v>
      </c>
      <c r="D370" t="s">
        <v>811</v>
      </c>
      <c r="E370" t="s">
        <v>5</v>
      </c>
      <c r="F370" s="3">
        <v>65.941666666666663</v>
      </c>
      <c r="G370" s="10">
        <f>VLOOKUP(Tabla1[[#This Row],[Código Unificador]],PRECIOS_COMPETENCIA!B:D,3,FALSE)</f>
        <v>226.52930000000001</v>
      </c>
      <c r="H370" s="10">
        <f>Tabla1[[#This Row],[PVP Competencia]]*0.98</f>
        <v>221.99871400000001</v>
      </c>
      <c r="I370" s="10">
        <f>Tabla1[[#This Row],[Precio Lista CDR]]*0.8</f>
        <v>177.59897120000002</v>
      </c>
      <c r="J370" s="10">
        <f>Tabla1[[#This Row],[Precio Lista CDR]]*0.7</f>
        <v>155.39909979999999</v>
      </c>
      <c r="K370" s="10">
        <f>Tabla1[[#This Row],[Precio Lista CDR]]*0.6</f>
        <v>133.19922840000001</v>
      </c>
      <c r="L370" s="12">
        <f>(Tabla1[[#This Row],[Precio Lista CDR]]-Tabla1[[#This Row],[PrecioFábrica]])/Tabla1[[#This Row],[Precio Lista CDR]]</f>
        <v>0.70296374479598711</v>
      </c>
      <c r="M370" s="12">
        <f>(Tabla1[[#This Row],[Lista 1 (20%)]]-Tabla1[[#This Row],[PrecioFábrica]])/Tabla1[[#This Row],[Lista 1 (20%)]]</f>
        <v>0.628704680994984</v>
      </c>
      <c r="N370" s="12">
        <f>(Tabla1[[#This Row],[Lista 2 (30%)]]-Tabla1[[#This Row],[PrecioFábrica]])/Tabla1[[#This Row],[Lista 2 (30%)]]</f>
        <v>0.5756624925656959</v>
      </c>
      <c r="O370" s="12">
        <f>(Tabla1[[#This Row],[Lista 3 (40%)]]-Tabla1[[#This Row],[PrecioFábrica]])/Tabla1[[#This Row],[Lista 3 (40%)]]</f>
        <v>0.50493957465997863</v>
      </c>
    </row>
    <row r="371" spans="1:15">
      <c r="A371" t="s">
        <v>6</v>
      </c>
      <c r="B371" t="s">
        <v>380</v>
      </c>
      <c r="C371" t="s">
        <v>1182</v>
      </c>
      <c r="D371" t="s">
        <v>811</v>
      </c>
      <c r="E371" t="s">
        <v>5</v>
      </c>
      <c r="F371" s="3">
        <v>21.8</v>
      </c>
      <c r="G371" s="10">
        <f>VLOOKUP(Tabla1[[#This Row],[Código Unificador]],PRECIOS_COMPETENCIA!B:D,3,FALSE)</f>
        <v>77.013200000000012</v>
      </c>
      <c r="H371" s="10">
        <f>Tabla1[[#This Row],[PVP Competencia]]*0.98</f>
        <v>75.472936000000004</v>
      </c>
      <c r="I371" s="10">
        <f>Tabla1[[#This Row],[Precio Lista CDR]]*0.8</f>
        <v>60.378348800000005</v>
      </c>
      <c r="J371" s="10">
        <f>Tabla1[[#This Row],[Precio Lista CDR]]*0.7</f>
        <v>52.831055200000002</v>
      </c>
      <c r="K371" s="10">
        <f>Tabla1[[#This Row],[Precio Lista CDR]]*0.6</f>
        <v>45.283761599999998</v>
      </c>
      <c r="L371" s="12">
        <f>(Tabla1[[#This Row],[Precio Lista CDR]]-Tabla1[[#This Row],[PrecioFábrica]])/Tabla1[[#This Row],[Precio Lista CDR]]</f>
        <v>0.71115473763999326</v>
      </c>
      <c r="M371" s="12">
        <f>(Tabla1[[#This Row],[Lista 1 (20%)]]-Tabla1[[#This Row],[PrecioFábrica]])/Tabla1[[#This Row],[Lista 1 (20%)]]</f>
        <v>0.63894342204999155</v>
      </c>
      <c r="N371" s="12">
        <f>(Tabla1[[#This Row],[Lista 2 (30%)]]-Tabla1[[#This Row],[PrecioFábrica]])/Tabla1[[#This Row],[Lista 2 (30%)]]</f>
        <v>0.58736391091427609</v>
      </c>
      <c r="O371" s="12">
        <f>(Tabla1[[#This Row],[Lista 3 (40%)]]-Tabla1[[#This Row],[PrecioFábrica]])/Tabla1[[#This Row],[Lista 3 (40%)]]</f>
        <v>0.5185912293999887</v>
      </c>
    </row>
    <row r="372" spans="1:15">
      <c r="A372" t="s">
        <v>9</v>
      </c>
      <c r="B372" t="s">
        <v>381</v>
      </c>
      <c r="C372" t="s">
        <v>1183</v>
      </c>
      <c r="D372" t="s">
        <v>811</v>
      </c>
      <c r="E372" t="s">
        <v>5</v>
      </c>
      <c r="F372" s="3">
        <v>33.274999999999999</v>
      </c>
      <c r="G372" s="10">
        <f>VLOOKUP(Tabla1[[#This Row],[Código Unificador]],PRECIOS_COMPETENCIA!B:D,3,FALSE)</f>
        <v>114.21730000000001</v>
      </c>
      <c r="H372" s="10">
        <f>Tabla1[[#This Row],[PVP Competencia]]*0.98</f>
        <v>111.93295400000001</v>
      </c>
      <c r="I372" s="10">
        <f>Tabla1[[#This Row],[Precio Lista CDR]]*0.8</f>
        <v>89.546363200000016</v>
      </c>
      <c r="J372" s="10">
        <f>Tabla1[[#This Row],[Precio Lista CDR]]*0.7</f>
        <v>78.353067800000005</v>
      </c>
      <c r="K372" s="10">
        <f>Tabla1[[#This Row],[Precio Lista CDR]]*0.6</f>
        <v>67.159772400000008</v>
      </c>
      <c r="L372" s="12">
        <f>(Tabla1[[#This Row],[Precio Lista CDR]]-Tabla1[[#This Row],[PrecioFábrica]])/Tabla1[[#This Row],[Precio Lista CDR]]</f>
        <v>0.70272382876628103</v>
      </c>
      <c r="M372" s="12">
        <f>(Tabla1[[#This Row],[Lista 1 (20%)]]-Tabla1[[#This Row],[PrecioFábrica]])/Tabla1[[#This Row],[Lista 1 (20%)]]</f>
        <v>0.62840478595785121</v>
      </c>
      <c r="N372" s="12">
        <f>(Tabla1[[#This Row],[Lista 2 (30%)]]-Tabla1[[#This Row],[PrecioFábrica]])/Tabla1[[#This Row],[Lista 2 (30%)]]</f>
        <v>0.57531975538040137</v>
      </c>
      <c r="O372" s="12">
        <f>(Tabla1[[#This Row],[Lista 3 (40%)]]-Tabla1[[#This Row],[PrecioFábrica]])/Tabla1[[#This Row],[Lista 3 (40%)]]</f>
        <v>0.50453971461046832</v>
      </c>
    </row>
    <row r="373" spans="1:15">
      <c r="A373" t="s">
        <v>7</v>
      </c>
      <c r="B373" t="s">
        <v>382</v>
      </c>
      <c r="C373" t="s">
        <v>1184</v>
      </c>
      <c r="D373" t="s">
        <v>811</v>
      </c>
      <c r="E373" t="s">
        <v>5</v>
      </c>
      <c r="F373" s="3">
        <v>6.958333333333333</v>
      </c>
      <c r="G373" s="10">
        <f>VLOOKUP(Tabla1[[#This Row],[Código Unificador]],PRECIOS_COMPETENCIA!B:D,3,FALSE)</f>
        <v>30.582750000000001</v>
      </c>
      <c r="H373" s="10">
        <f>Tabla1[[#This Row],[PVP Competencia]]*0.98</f>
        <v>29.971095000000002</v>
      </c>
      <c r="I373" s="10">
        <f>Tabla1[[#This Row],[Precio Lista CDR]]*0.8</f>
        <v>23.976876000000004</v>
      </c>
      <c r="J373" s="10">
        <f>Tabla1[[#This Row],[Precio Lista CDR]]*0.7</f>
        <v>20.9797665</v>
      </c>
      <c r="K373" s="10">
        <f>Tabla1[[#This Row],[Precio Lista CDR]]*0.6</f>
        <v>17.982657</v>
      </c>
      <c r="L373" s="12">
        <f>(Tabla1[[#This Row],[Precio Lista CDR]]-Tabla1[[#This Row],[PrecioFábrica]])/Tabla1[[#This Row],[Precio Lista CDR]]</f>
        <v>0.76783186155416305</v>
      </c>
      <c r="M373" s="12">
        <f>(Tabla1[[#This Row],[Lista 1 (20%)]]-Tabla1[[#This Row],[PrecioFábrica]])/Tabla1[[#This Row],[Lista 1 (20%)]]</f>
        <v>0.70978982694270387</v>
      </c>
      <c r="N373" s="12">
        <f>(Tabla1[[#This Row],[Lista 2 (30%)]]-Tabla1[[#This Row],[PrecioFábrica]])/Tabla1[[#This Row],[Lista 2 (30%)]]</f>
        <v>0.66833123079166146</v>
      </c>
      <c r="O373" s="12">
        <f>(Tabla1[[#This Row],[Lista 3 (40%)]]-Tabla1[[#This Row],[PrecioFábrica]])/Tabla1[[#This Row],[Lista 3 (40%)]]</f>
        <v>0.61305310259027168</v>
      </c>
    </row>
    <row r="374" spans="1:15">
      <c r="A374" t="s">
        <v>7</v>
      </c>
      <c r="B374" t="s">
        <v>383</v>
      </c>
      <c r="C374" t="s">
        <v>1185</v>
      </c>
      <c r="D374" t="s">
        <v>811</v>
      </c>
      <c r="E374" t="s">
        <v>5</v>
      </c>
      <c r="F374" s="3">
        <v>67.825000000000003</v>
      </c>
      <c r="G374" s="10">
        <f>VLOOKUP(Tabla1[[#This Row],[Código Unificador]],PRECIOS_COMPETENCIA!B:D,3,FALSE)</f>
        <v>239.46097499999999</v>
      </c>
      <c r="H374" s="10">
        <f>Tabla1[[#This Row],[PVP Competencia]]*0.98</f>
        <v>234.67175549999999</v>
      </c>
      <c r="I374" s="10">
        <f>Tabla1[[#This Row],[Precio Lista CDR]]*0.8</f>
        <v>187.7374044</v>
      </c>
      <c r="J374" s="10">
        <f>Tabla1[[#This Row],[Precio Lista CDR]]*0.7</f>
        <v>164.27022885</v>
      </c>
      <c r="K374" s="10">
        <f>Tabla1[[#This Row],[Precio Lista CDR]]*0.6</f>
        <v>140.80305329999999</v>
      </c>
      <c r="L374" s="12">
        <f>(Tabla1[[#This Row],[Precio Lista CDR]]-Tabla1[[#This Row],[PrecioFábrica]])/Tabla1[[#This Row],[Precio Lista CDR]]</f>
        <v>0.71097927888471424</v>
      </c>
      <c r="M374" s="12">
        <f>(Tabla1[[#This Row],[Lista 1 (20%)]]-Tabla1[[#This Row],[PrecioFábrica]])/Tabla1[[#This Row],[Lista 1 (20%)]]</f>
        <v>0.63872409860589296</v>
      </c>
      <c r="N374" s="12">
        <f>(Tabla1[[#This Row],[Lista 2 (30%)]]-Tabla1[[#This Row],[PrecioFábrica]])/Tabla1[[#This Row],[Lista 2 (30%)]]</f>
        <v>0.58711325554959193</v>
      </c>
      <c r="O374" s="12">
        <f>(Tabla1[[#This Row],[Lista 3 (40%)]]-Tabla1[[#This Row],[PrecioFábrica]])/Tabla1[[#This Row],[Lista 3 (40%)]]</f>
        <v>0.51829879814119051</v>
      </c>
    </row>
    <row r="375" spans="1:15">
      <c r="A375" t="s">
        <v>6</v>
      </c>
      <c r="B375" t="s">
        <v>384</v>
      </c>
      <c r="C375" t="s">
        <v>1186</v>
      </c>
      <c r="D375" t="s">
        <v>811</v>
      </c>
      <c r="E375" t="s">
        <v>5</v>
      </c>
      <c r="F375" s="3">
        <v>52.291666666666671</v>
      </c>
      <c r="G375" s="10">
        <f>VLOOKUP(Tabla1[[#This Row],[Código Unificador]],PRECIOS_COMPETENCIA!B:D,3,FALSE)</f>
        <v>182.26104166666673</v>
      </c>
      <c r="H375" s="10">
        <f>Tabla1[[#This Row],[PVP Competencia]]*0.98</f>
        <v>178.6158208333334</v>
      </c>
      <c r="I375" s="10">
        <f>Tabla1[[#This Row],[Precio Lista CDR]]*0.8</f>
        <v>142.89265666666674</v>
      </c>
      <c r="J375" s="10">
        <f>Tabla1[[#This Row],[Precio Lista CDR]]*0.7</f>
        <v>125.03107458333338</v>
      </c>
      <c r="K375" s="10">
        <f>Tabla1[[#This Row],[Precio Lista CDR]]*0.6</f>
        <v>107.16949250000003</v>
      </c>
      <c r="L375" s="12">
        <f>(Tabla1[[#This Row],[Precio Lista CDR]]-Tabla1[[#This Row],[PrecioFábrica]])/Tabla1[[#This Row],[Precio Lista CDR]]</f>
        <v>0.70723944596453148</v>
      </c>
      <c r="M375" s="12">
        <f>(Tabla1[[#This Row],[Lista 1 (20%)]]-Tabla1[[#This Row],[PrecioFábrica]])/Tabla1[[#This Row],[Lista 1 (20%)]]</f>
        <v>0.63404930745566435</v>
      </c>
      <c r="N375" s="12">
        <f>(Tabla1[[#This Row],[Lista 2 (30%)]]-Tabla1[[#This Row],[PrecioFábrica]])/Tabla1[[#This Row],[Lista 2 (30%)]]</f>
        <v>0.58177063709218779</v>
      </c>
      <c r="O375" s="12">
        <f>(Tabla1[[#This Row],[Lista 3 (40%)]]-Tabla1[[#This Row],[PrecioFábrica]])/Tabla1[[#This Row],[Lista 3 (40%)]]</f>
        <v>0.51206574327421905</v>
      </c>
    </row>
    <row r="376" spans="1:15">
      <c r="A376" t="s">
        <v>6</v>
      </c>
      <c r="B376" t="s">
        <v>385</v>
      </c>
      <c r="C376" t="s">
        <v>1187</v>
      </c>
      <c r="D376" t="s">
        <v>811</v>
      </c>
      <c r="E376" t="s">
        <v>5</v>
      </c>
      <c r="F376" s="3">
        <v>9.3333333333333339</v>
      </c>
      <c r="G376" s="10">
        <f>VLOOKUP(Tabla1[[#This Row],[Código Unificador]],PRECIOS_COMPETENCIA!B:D,3,FALSE)</f>
        <v>38.42</v>
      </c>
      <c r="H376" s="10">
        <f>Tabla1[[#This Row],[PVP Competencia]]*0.98</f>
        <v>37.651600000000002</v>
      </c>
      <c r="I376" s="10">
        <f>Tabla1[[#This Row],[Precio Lista CDR]]*0.8</f>
        <v>30.121280000000002</v>
      </c>
      <c r="J376" s="10">
        <f>Tabla1[[#This Row],[Precio Lista CDR]]*0.7</f>
        <v>26.356120000000001</v>
      </c>
      <c r="K376" s="10">
        <f>Tabla1[[#This Row],[Precio Lista CDR]]*0.6</f>
        <v>22.590959999999999</v>
      </c>
      <c r="L376" s="12">
        <f>(Tabla1[[#This Row],[Precio Lista CDR]]-Tabla1[[#This Row],[PrecioFábrica]])/Tabla1[[#This Row],[Precio Lista CDR]]</f>
        <v>0.75211323467440072</v>
      </c>
      <c r="M376" s="12">
        <f>(Tabla1[[#This Row],[Lista 1 (20%)]]-Tabla1[[#This Row],[PrecioFábrica]])/Tabla1[[#This Row],[Lista 1 (20%)]]</f>
        <v>0.69014154334300093</v>
      </c>
      <c r="N376" s="12">
        <f>(Tabla1[[#This Row],[Lista 2 (30%)]]-Tabla1[[#This Row],[PrecioFábrica]])/Tabla1[[#This Row],[Lista 2 (30%)]]</f>
        <v>0.64587604953485822</v>
      </c>
      <c r="O376" s="12">
        <f>(Tabla1[[#This Row],[Lista 3 (40%)]]-Tabla1[[#This Row],[PrecioFábrica]])/Tabla1[[#This Row],[Lista 3 (40%)]]</f>
        <v>0.5868553911240012</v>
      </c>
    </row>
    <row r="377" spans="1:15">
      <c r="A377" t="s">
        <v>6</v>
      </c>
      <c r="B377" t="s">
        <v>386</v>
      </c>
      <c r="C377" t="s">
        <v>1188</v>
      </c>
      <c r="D377" t="s">
        <v>811</v>
      </c>
      <c r="E377" t="s">
        <v>5</v>
      </c>
      <c r="F377" s="3">
        <v>12.416666666666668</v>
      </c>
      <c r="G377" s="10">
        <f>VLOOKUP(Tabla1[[#This Row],[Código Unificador]],PRECIOS_COMPETENCIA!B:D,3,FALSE)</f>
        <v>47.808750000000011</v>
      </c>
      <c r="H377" s="10">
        <f>Tabla1[[#This Row],[PVP Competencia]]*0.98</f>
        <v>46.852575000000009</v>
      </c>
      <c r="I377" s="10">
        <f>Tabla1[[#This Row],[Precio Lista CDR]]*0.8</f>
        <v>37.482060000000011</v>
      </c>
      <c r="J377" s="10">
        <f>Tabla1[[#This Row],[Precio Lista CDR]]*0.7</f>
        <v>32.796802500000005</v>
      </c>
      <c r="K377" s="10">
        <f>Tabla1[[#This Row],[Precio Lista CDR]]*0.6</f>
        <v>28.111545000000003</v>
      </c>
      <c r="L377" s="12">
        <f>(Tabla1[[#This Row],[Precio Lista CDR]]-Tabla1[[#This Row],[PrecioFábrica]])/Tabla1[[#This Row],[Precio Lista CDR]]</f>
        <v>0.73498432761344146</v>
      </c>
      <c r="M377" s="12">
        <f>(Tabla1[[#This Row],[Lista 1 (20%)]]-Tabla1[[#This Row],[PrecioFábrica]])/Tabla1[[#This Row],[Lista 1 (20%)]]</f>
        <v>0.66873040951680185</v>
      </c>
      <c r="N377" s="12">
        <f>(Tabla1[[#This Row],[Lista 2 (30%)]]-Tabla1[[#This Row],[PrecioFábrica]])/Tabla1[[#This Row],[Lista 2 (30%)]]</f>
        <v>0.62140618230491629</v>
      </c>
      <c r="O377" s="12">
        <f>(Tabla1[[#This Row],[Lista 3 (40%)]]-Tabla1[[#This Row],[PrecioFábrica]])/Tabla1[[#This Row],[Lista 3 (40%)]]</f>
        <v>0.55830721268906902</v>
      </c>
    </row>
    <row r="378" spans="1:15">
      <c r="A378" t="s">
        <v>6</v>
      </c>
      <c r="B378" t="s">
        <v>387</v>
      </c>
      <c r="C378" t="s">
        <v>1189</v>
      </c>
      <c r="D378" t="s">
        <v>811</v>
      </c>
      <c r="E378" t="s">
        <v>5</v>
      </c>
      <c r="F378" s="3">
        <v>12.733333333333333</v>
      </c>
      <c r="G378" s="10">
        <f>VLOOKUP(Tabla1[[#This Row],[Código Unificador]],PRECIOS_COMPETENCIA!B:D,3,FALSE)</f>
        <v>49.51153333333334</v>
      </c>
      <c r="H378" s="10">
        <f>Tabla1[[#This Row],[PVP Competencia]]*0.98</f>
        <v>48.521302666666671</v>
      </c>
      <c r="I378" s="10">
        <f>Tabla1[[#This Row],[Precio Lista CDR]]*0.8</f>
        <v>38.817042133333338</v>
      </c>
      <c r="J378" s="10">
        <f>Tabla1[[#This Row],[Precio Lista CDR]]*0.7</f>
        <v>33.964911866666668</v>
      </c>
      <c r="K378" s="10">
        <f>Tabla1[[#This Row],[Precio Lista CDR]]*0.6</f>
        <v>29.112781600000002</v>
      </c>
      <c r="L378" s="12">
        <f>(Tabla1[[#This Row],[Precio Lista CDR]]-Tabla1[[#This Row],[PrecioFábrica]])/Tabla1[[#This Row],[Precio Lista CDR]]</f>
        <v>0.73757231085057151</v>
      </c>
      <c r="M378" s="12">
        <f>(Tabla1[[#This Row],[Lista 1 (20%)]]-Tabla1[[#This Row],[PrecioFábrica]])/Tabla1[[#This Row],[Lista 1 (20%)]]</f>
        <v>0.67196538856321442</v>
      </c>
      <c r="N378" s="12">
        <f>(Tabla1[[#This Row],[Lista 2 (30%)]]-Tabla1[[#This Row],[PrecioFábrica]])/Tabla1[[#This Row],[Lista 2 (30%)]]</f>
        <v>0.62510330121510216</v>
      </c>
      <c r="O378" s="12">
        <f>(Tabla1[[#This Row],[Lista 3 (40%)]]-Tabla1[[#This Row],[PrecioFábrica]])/Tabla1[[#This Row],[Lista 3 (40%)]]</f>
        <v>0.56262051808428604</v>
      </c>
    </row>
    <row r="379" spans="1:15">
      <c r="A379" t="s">
        <v>6</v>
      </c>
      <c r="B379" t="s">
        <v>388</v>
      </c>
      <c r="C379" t="s">
        <v>1190</v>
      </c>
      <c r="D379" t="s">
        <v>811</v>
      </c>
      <c r="E379" t="s">
        <v>5</v>
      </c>
      <c r="F379" s="3">
        <v>13.158333333333333</v>
      </c>
      <c r="G379" s="10">
        <f>VLOOKUP(Tabla1[[#This Row],[Código Unificador]],PRECIOS_COMPETENCIA!B:D,3,FALSE)</f>
        <v>50.448716666666662</v>
      </c>
      <c r="H379" s="10">
        <f>Tabla1[[#This Row],[PVP Competencia]]*0.98</f>
        <v>49.439742333333328</v>
      </c>
      <c r="I379" s="10">
        <f>Tabla1[[#This Row],[Precio Lista CDR]]*0.8</f>
        <v>39.551793866666664</v>
      </c>
      <c r="J379" s="10">
        <f>Tabla1[[#This Row],[Precio Lista CDR]]*0.7</f>
        <v>34.607819633333328</v>
      </c>
      <c r="K379" s="10">
        <f>Tabla1[[#This Row],[Precio Lista CDR]]*0.6</f>
        <v>29.663845399999996</v>
      </c>
      <c r="L379" s="12">
        <f>(Tabla1[[#This Row],[Precio Lista CDR]]-Tabla1[[#This Row],[PrecioFábrica]])/Tabla1[[#This Row],[Precio Lista CDR]]</f>
        <v>0.73385109403246829</v>
      </c>
      <c r="M379" s="12">
        <f>(Tabla1[[#This Row],[Lista 1 (20%)]]-Tabla1[[#This Row],[PrecioFábrica]])/Tabla1[[#This Row],[Lista 1 (20%)]]</f>
        <v>0.6673138675405853</v>
      </c>
      <c r="N379" s="12">
        <f>(Tabla1[[#This Row],[Lista 2 (30%)]]-Tabla1[[#This Row],[PrecioFábrica]])/Tabla1[[#This Row],[Lista 2 (30%)]]</f>
        <v>0.61978727718924032</v>
      </c>
      <c r="O379" s="12">
        <f>(Tabla1[[#This Row],[Lista 3 (40%)]]-Tabla1[[#This Row],[PrecioFábrica]])/Tabla1[[#This Row],[Lista 3 (40%)]]</f>
        <v>0.55641849005411359</v>
      </c>
    </row>
    <row r="380" spans="1:15">
      <c r="A380" t="s">
        <v>6</v>
      </c>
      <c r="B380" t="s">
        <v>389</v>
      </c>
      <c r="C380" t="s">
        <v>1191</v>
      </c>
      <c r="D380" t="s">
        <v>811</v>
      </c>
      <c r="E380" t="s">
        <v>5</v>
      </c>
      <c r="F380" s="3">
        <v>12.733333333333333</v>
      </c>
      <c r="G380" s="10">
        <f>VLOOKUP(Tabla1[[#This Row],[Código Unificador]],PRECIOS_COMPETENCIA!B:D,3,FALSE)</f>
        <v>48.403733333333335</v>
      </c>
      <c r="H380" s="10">
        <f>Tabla1[[#This Row],[PVP Competencia]]*0.98</f>
        <v>47.435658666666669</v>
      </c>
      <c r="I380" s="10">
        <f>Tabla1[[#This Row],[Precio Lista CDR]]*0.8</f>
        <v>37.948526933333333</v>
      </c>
      <c r="J380" s="10">
        <f>Tabla1[[#This Row],[Precio Lista CDR]]*0.7</f>
        <v>33.204961066666669</v>
      </c>
      <c r="K380" s="10">
        <f>Tabla1[[#This Row],[Precio Lista CDR]]*0.6</f>
        <v>28.461395200000002</v>
      </c>
      <c r="L380" s="12">
        <f>(Tabla1[[#This Row],[Precio Lista CDR]]-Tabla1[[#This Row],[PrecioFábrica]])/Tabla1[[#This Row],[Precio Lista CDR]]</f>
        <v>0.73156621640249031</v>
      </c>
      <c r="M380" s="12">
        <f>(Tabla1[[#This Row],[Lista 1 (20%)]]-Tabla1[[#This Row],[PrecioFábrica]])/Tabla1[[#This Row],[Lista 1 (20%)]]</f>
        <v>0.66445777050311294</v>
      </c>
      <c r="N380" s="12">
        <f>(Tabla1[[#This Row],[Lista 2 (30%)]]-Tabla1[[#This Row],[PrecioFábrica]])/Tabla1[[#This Row],[Lista 2 (30%)]]</f>
        <v>0.61652316628927195</v>
      </c>
      <c r="O380" s="12">
        <f>(Tabla1[[#This Row],[Lista 3 (40%)]]-Tabla1[[#This Row],[PrecioFábrica]])/Tabla1[[#This Row],[Lista 3 (40%)]]</f>
        <v>0.55261036067081726</v>
      </c>
    </row>
    <row r="381" spans="1:15">
      <c r="A381" t="s">
        <v>6</v>
      </c>
      <c r="B381" t="s">
        <v>390</v>
      </c>
      <c r="C381" t="s">
        <v>1192</v>
      </c>
      <c r="D381" t="s">
        <v>811</v>
      </c>
      <c r="E381" t="s">
        <v>5</v>
      </c>
      <c r="F381" s="3">
        <v>12.241666666666667</v>
      </c>
      <c r="G381" s="10">
        <f>VLOOKUP(Tabla1[[#This Row],[Código Unificador]],PRECIOS_COMPETENCIA!B:D,3,FALSE)</f>
        <v>46.210850000000001</v>
      </c>
      <c r="H381" s="10">
        <f>Tabla1[[#This Row],[PVP Competencia]]*0.98</f>
        <v>45.286633000000002</v>
      </c>
      <c r="I381" s="10">
        <f>Tabla1[[#This Row],[Precio Lista CDR]]*0.8</f>
        <v>36.229306400000006</v>
      </c>
      <c r="J381" s="10">
        <f>Tabla1[[#This Row],[Precio Lista CDR]]*0.7</f>
        <v>31.700643100000001</v>
      </c>
      <c r="K381" s="10">
        <f>Tabla1[[#This Row],[Precio Lista CDR]]*0.6</f>
        <v>27.171979799999999</v>
      </c>
      <c r="L381" s="12">
        <f>(Tabla1[[#This Row],[Precio Lista CDR]]-Tabla1[[#This Row],[PrecioFábrica]])/Tabla1[[#This Row],[Precio Lista CDR]]</f>
        <v>0.72968476886619793</v>
      </c>
      <c r="M381" s="12">
        <f>(Tabla1[[#This Row],[Lista 1 (20%)]]-Tabla1[[#This Row],[PrecioFábrica]])/Tabla1[[#This Row],[Lista 1 (20%)]]</f>
        <v>0.66210596108274755</v>
      </c>
      <c r="N381" s="12">
        <f>(Tabla1[[#This Row],[Lista 2 (30%)]]-Tabla1[[#This Row],[PrecioFábrica]])/Tabla1[[#This Row],[Lista 2 (30%)]]</f>
        <v>0.6138353840945685</v>
      </c>
      <c r="O381" s="12">
        <f>(Tabla1[[#This Row],[Lista 3 (40%)]]-Tabla1[[#This Row],[PrecioFábrica]])/Tabla1[[#This Row],[Lista 3 (40%)]]</f>
        <v>0.54947461477699655</v>
      </c>
    </row>
    <row r="382" spans="1:15">
      <c r="A382" t="s">
        <v>6</v>
      </c>
      <c r="B382" t="s">
        <v>391</v>
      </c>
      <c r="C382" t="s">
        <v>1193</v>
      </c>
      <c r="D382" t="s">
        <v>811</v>
      </c>
      <c r="E382" t="s">
        <v>5</v>
      </c>
      <c r="F382" s="3">
        <v>13.15</v>
      </c>
      <c r="G382" s="10">
        <f>VLOOKUP(Tabla1[[#This Row],[Código Unificador]],PRECIOS_COMPETENCIA!B:D,3,FALSE)</f>
        <v>50.041750000000008</v>
      </c>
      <c r="H382" s="10">
        <f>Tabla1[[#This Row],[PVP Competencia]]*0.98</f>
        <v>49.040915000000005</v>
      </c>
      <c r="I382" s="10">
        <f>Tabla1[[#This Row],[Precio Lista CDR]]*0.8</f>
        <v>39.232732000000006</v>
      </c>
      <c r="J382" s="10">
        <f>Tabla1[[#This Row],[Precio Lista CDR]]*0.7</f>
        <v>34.328640499999999</v>
      </c>
      <c r="K382" s="10">
        <f>Tabla1[[#This Row],[Precio Lista CDR]]*0.6</f>
        <v>29.424549000000003</v>
      </c>
      <c r="L382" s="12">
        <f>(Tabla1[[#This Row],[Precio Lista CDR]]-Tabla1[[#This Row],[PrecioFábrica]])/Tabla1[[#This Row],[Precio Lista CDR]]</f>
        <v>0.73185655283960349</v>
      </c>
      <c r="M382" s="12">
        <f>(Tabla1[[#This Row],[Lista 1 (20%)]]-Tabla1[[#This Row],[PrecioFábrica]])/Tabla1[[#This Row],[Lista 1 (20%)]]</f>
        <v>0.66482069104950436</v>
      </c>
      <c r="N382" s="12">
        <f>(Tabla1[[#This Row],[Lista 2 (30%)]]-Tabla1[[#This Row],[PrecioFábrica]])/Tabla1[[#This Row],[Lista 2 (30%)]]</f>
        <v>0.61693793262800489</v>
      </c>
      <c r="O382" s="12">
        <f>(Tabla1[[#This Row],[Lista 3 (40%)]]-Tabla1[[#This Row],[PrecioFábrica]])/Tabla1[[#This Row],[Lista 3 (40%)]]</f>
        <v>0.55309425473267237</v>
      </c>
    </row>
    <row r="383" spans="1:15">
      <c r="A383" t="s">
        <v>6</v>
      </c>
      <c r="B383" t="s">
        <v>392</v>
      </c>
      <c r="C383" t="s">
        <v>1194</v>
      </c>
      <c r="D383" t="s">
        <v>811</v>
      </c>
      <c r="E383" t="s">
        <v>5</v>
      </c>
      <c r="F383" s="3">
        <v>24.358333333333334</v>
      </c>
      <c r="G383" s="10">
        <f>VLOOKUP(Tabla1[[#This Row],[Código Unificador]],PRECIOS_COMPETENCIA!B:D,3,FALSE)</f>
        <v>92.758341666666666</v>
      </c>
      <c r="H383" s="10">
        <f>Tabla1[[#This Row],[PVP Competencia]]*0.98</f>
        <v>90.903174833333338</v>
      </c>
      <c r="I383" s="10">
        <f>Tabla1[[#This Row],[Precio Lista CDR]]*0.8</f>
        <v>72.722539866666679</v>
      </c>
      <c r="J383" s="10">
        <f>Tabla1[[#This Row],[Precio Lista CDR]]*0.7</f>
        <v>63.632222383333335</v>
      </c>
      <c r="K383" s="10">
        <f>Tabla1[[#This Row],[Precio Lista CDR]]*0.6</f>
        <v>54.541904899999999</v>
      </c>
      <c r="L383" s="12">
        <f>(Tabla1[[#This Row],[Precio Lista CDR]]-Tabla1[[#This Row],[PrecioFábrica]])/Tabla1[[#This Row],[Precio Lista CDR]]</f>
        <v>0.73204089540334338</v>
      </c>
      <c r="M383" s="12">
        <f>(Tabla1[[#This Row],[Lista 1 (20%)]]-Tabla1[[#This Row],[PrecioFábrica]])/Tabla1[[#This Row],[Lista 1 (20%)]]</f>
        <v>0.66505111925417926</v>
      </c>
      <c r="N383" s="12">
        <f>(Tabla1[[#This Row],[Lista 2 (30%)]]-Tabla1[[#This Row],[PrecioFábrica]])/Tabla1[[#This Row],[Lista 2 (30%)]]</f>
        <v>0.61720127914763334</v>
      </c>
      <c r="O383" s="12">
        <f>(Tabla1[[#This Row],[Lista 3 (40%)]]-Tabla1[[#This Row],[PrecioFábrica]])/Tabla1[[#This Row],[Lista 3 (40%)]]</f>
        <v>0.55340149233890557</v>
      </c>
    </row>
    <row r="384" spans="1:15">
      <c r="A384" t="s">
        <v>7</v>
      </c>
      <c r="B384" t="s">
        <v>393</v>
      </c>
      <c r="C384" t="s">
        <v>1195</v>
      </c>
      <c r="D384" t="s">
        <v>811</v>
      </c>
      <c r="E384" t="s">
        <v>5</v>
      </c>
      <c r="F384" s="3">
        <v>39.716666666666669</v>
      </c>
      <c r="G384" s="10">
        <f>VLOOKUP(Tabla1[[#This Row],[Código Unificador]],PRECIOS_COMPETENCIA!B:D,3,FALSE)</f>
        <v>142.08903333333336</v>
      </c>
      <c r="H384" s="10">
        <f>Tabla1[[#This Row],[PVP Competencia]]*0.98</f>
        <v>139.2472526666667</v>
      </c>
      <c r="I384" s="10">
        <f>Tabla1[[#This Row],[Precio Lista CDR]]*0.8</f>
        <v>111.39780213333336</v>
      </c>
      <c r="J384" s="10">
        <f>Tabla1[[#This Row],[Precio Lista CDR]]*0.7</f>
        <v>97.473076866666688</v>
      </c>
      <c r="K384" s="10">
        <f>Tabla1[[#This Row],[Precio Lista CDR]]*0.6</f>
        <v>83.548351600000018</v>
      </c>
      <c r="L384" s="12">
        <f>(Tabla1[[#This Row],[Precio Lista CDR]]-Tabla1[[#This Row],[PrecioFábrica]])/Tabla1[[#This Row],[Precio Lista CDR]]</f>
        <v>0.71477594059438032</v>
      </c>
      <c r="M384" s="12">
        <f>(Tabla1[[#This Row],[Lista 1 (20%)]]-Tabla1[[#This Row],[PrecioFábrica]])/Tabla1[[#This Row],[Lista 1 (20%)]]</f>
        <v>0.64346992574297546</v>
      </c>
      <c r="N384" s="12">
        <f>(Tabla1[[#This Row],[Lista 2 (30%)]]-Tabla1[[#This Row],[PrecioFábrica]])/Tabla1[[#This Row],[Lista 2 (30%)]]</f>
        <v>0.59253705799197198</v>
      </c>
      <c r="O384" s="12">
        <f>(Tabla1[[#This Row],[Lista 3 (40%)]]-Tabla1[[#This Row],[PrecioFábrica]])/Tabla1[[#This Row],[Lista 3 (40%)]]</f>
        <v>0.52462656765730065</v>
      </c>
    </row>
    <row r="385" spans="1:15">
      <c r="A385" t="s">
        <v>9</v>
      </c>
      <c r="B385" t="s">
        <v>394</v>
      </c>
      <c r="C385" t="s">
        <v>1196</v>
      </c>
      <c r="D385" t="s">
        <v>811</v>
      </c>
      <c r="E385" t="s">
        <v>5</v>
      </c>
      <c r="F385" s="3">
        <v>26.875</v>
      </c>
      <c r="G385" s="10">
        <f>VLOOKUP(Tabla1[[#This Row],[Código Unificador]],PRECIOS_COMPETENCIA!B:D,3,FALSE)</f>
        <v>92.61375000000001</v>
      </c>
      <c r="H385" s="10">
        <f>Tabla1[[#This Row],[PVP Competencia]]*0.98</f>
        <v>90.761475000000004</v>
      </c>
      <c r="I385" s="10">
        <f>Tabla1[[#This Row],[Precio Lista CDR]]*0.8</f>
        <v>72.609180000000009</v>
      </c>
      <c r="J385" s="10">
        <f>Tabla1[[#This Row],[Precio Lista CDR]]*0.7</f>
        <v>63.533032499999997</v>
      </c>
      <c r="K385" s="10">
        <f>Tabla1[[#This Row],[Precio Lista CDR]]*0.6</f>
        <v>54.456885</v>
      </c>
      <c r="L385" s="12">
        <f>(Tabla1[[#This Row],[Precio Lista CDR]]-Tabla1[[#This Row],[PrecioFábrica]])/Tabla1[[#This Row],[Precio Lista CDR]]</f>
        <v>0.70389419078964943</v>
      </c>
      <c r="M385" s="12">
        <f>(Tabla1[[#This Row],[Lista 1 (20%)]]-Tabla1[[#This Row],[PrecioFábrica]])/Tabla1[[#This Row],[Lista 1 (20%)]]</f>
        <v>0.6298677384870619</v>
      </c>
      <c r="N385" s="12">
        <f>(Tabla1[[#This Row],[Lista 2 (30%)]]-Tabla1[[#This Row],[PrecioFábrica]])/Tabla1[[#This Row],[Lista 2 (30%)]]</f>
        <v>0.57699170112807063</v>
      </c>
      <c r="O385" s="12">
        <f>(Tabla1[[#This Row],[Lista 3 (40%)]]-Tabla1[[#This Row],[PrecioFábrica]])/Tabla1[[#This Row],[Lista 3 (40%)]]</f>
        <v>0.50649031798274913</v>
      </c>
    </row>
    <row r="386" spans="1:15">
      <c r="A386" t="s">
        <v>9</v>
      </c>
      <c r="B386" t="s">
        <v>395</v>
      </c>
      <c r="C386" t="s">
        <v>1197</v>
      </c>
      <c r="D386" t="s">
        <v>811</v>
      </c>
      <c r="E386" t="s">
        <v>5</v>
      </c>
      <c r="F386" s="3">
        <v>26.06666666666667</v>
      </c>
      <c r="G386" s="10">
        <f>VLOOKUP(Tabla1[[#This Row],[Código Unificador]],PRECIOS_COMPETENCIA!B:D,3,FALSE)</f>
        <v>91.640800000000027</v>
      </c>
      <c r="H386" s="10">
        <f>Tabla1[[#This Row],[PVP Competencia]]*0.98</f>
        <v>89.807984000000019</v>
      </c>
      <c r="I386" s="10">
        <f>Tabla1[[#This Row],[Precio Lista CDR]]*0.8</f>
        <v>71.846387200000024</v>
      </c>
      <c r="J386" s="10">
        <f>Tabla1[[#This Row],[Precio Lista CDR]]*0.7</f>
        <v>62.865588800000012</v>
      </c>
      <c r="K386" s="10">
        <f>Tabla1[[#This Row],[Precio Lista CDR]]*0.6</f>
        <v>53.884790400000007</v>
      </c>
      <c r="L386" s="12">
        <f>(Tabla1[[#This Row],[Precio Lista CDR]]-Tabla1[[#This Row],[PrecioFábrica]])/Tabla1[[#This Row],[Precio Lista CDR]]</f>
        <v>0.70975112116238281</v>
      </c>
      <c r="M386" s="12">
        <f>(Tabla1[[#This Row],[Lista 1 (20%)]]-Tabla1[[#This Row],[PrecioFábrica]])/Tabla1[[#This Row],[Lista 1 (20%)]]</f>
        <v>0.63718890145297857</v>
      </c>
      <c r="N386" s="12">
        <f>(Tabla1[[#This Row],[Lista 2 (30%)]]-Tabla1[[#This Row],[PrecioFábrica]])/Tabla1[[#This Row],[Lista 2 (30%)]]</f>
        <v>0.58535874451768966</v>
      </c>
      <c r="O386" s="12">
        <f>(Tabla1[[#This Row],[Lista 3 (40%)]]-Tabla1[[#This Row],[PrecioFábrica]])/Tabla1[[#This Row],[Lista 3 (40%)]]</f>
        <v>0.51625186860397132</v>
      </c>
    </row>
    <row r="387" spans="1:15">
      <c r="A387" t="s">
        <v>6</v>
      </c>
      <c r="B387" t="s">
        <v>396</v>
      </c>
      <c r="C387" t="s">
        <v>1198</v>
      </c>
      <c r="D387" t="s">
        <v>811</v>
      </c>
      <c r="E387" t="s">
        <v>5</v>
      </c>
      <c r="F387" s="3">
        <v>7.3500000000000005</v>
      </c>
      <c r="G387" s="10">
        <f>VLOOKUP(Tabla1[[#This Row],[Código Unificador]],PRECIOS_COMPETENCIA!B:D,3,FALSE)</f>
        <v>31.741300000000003</v>
      </c>
      <c r="H387" s="10">
        <f>Tabla1[[#This Row],[PVP Competencia]]*0.98</f>
        <v>31.106474000000002</v>
      </c>
      <c r="I387" s="10">
        <f>Tabla1[[#This Row],[Precio Lista CDR]]*0.8</f>
        <v>24.885179200000003</v>
      </c>
      <c r="J387" s="10">
        <f>Tabla1[[#This Row],[Precio Lista CDR]]*0.7</f>
        <v>21.774531800000002</v>
      </c>
      <c r="K387" s="10">
        <f>Tabla1[[#This Row],[Precio Lista CDR]]*0.6</f>
        <v>18.663884400000001</v>
      </c>
      <c r="L387" s="12">
        <f>(Tabla1[[#This Row],[Precio Lista CDR]]-Tabla1[[#This Row],[PrecioFábrica]])/Tabla1[[#This Row],[Precio Lista CDR]]</f>
        <v>0.76371478168821061</v>
      </c>
      <c r="M387" s="12">
        <f>(Tabla1[[#This Row],[Lista 1 (20%)]]-Tabla1[[#This Row],[PrecioFábrica]])/Tabla1[[#This Row],[Lista 1 (20%)]]</f>
        <v>0.70464347711026332</v>
      </c>
      <c r="N387" s="12">
        <f>(Tabla1[[#This Row],[Lista 2 (30%)]]-Tabla1[[#This Row],[PrecioFábrica]])/Tabla1[[#This Row],[Lista 2 (30%)]]</f>
        <v>0.66244968812601512</v>
      </c>
      <c r="O387" s="12">
        <f>(Tabla1[[#This Row],[Lista 3 (40%)]]-Tabla1[[#This Row],[PrecioFábrica]])/Tabla1[[#This Row],[Lista 3 (40%)]]</f>
        <v>0.60619130281368427</v>
      </c>
    </row>
    <row r="388" spans="1:15">
      <c r="A388" t="s">
        <v>6</v>
      </c>
      <c r="B388" t="s">
        <v>397</v>
      </c>
      <c r="C388" t="s">
        <v>1199</v>
      </c>
      <c r="D388" t="s">
        <v>811</v>
      </c>
      <c r="E388" t="s">
        <v>5</v>
      </c>
      <c r="F388" s="3">
        <v>31.191666666666666</v>
      </c>
      <c r="G388" s="10">
        <f>VLOOKUP(Tabla1[[#This Row],[Código Unificador]],PRECIOS_COMPETENCIA!B:D,3,FALSE)</f>
        <v>107.6923</v>
      </c>
      <c r="H388" s="10">
        <f>Tabla1[[#This Row],[PVP Competencia]]*0.98</f>
        <v>105.538454</v>
      </c>
      <c r="I388" s="10">
        <f>Tabla1[[#This Row],[Precio Lista CDR]]*0.8</f>
        <v>84.430763200000001</v>
      </c>
      <c r="J388" s="10">
        <f>Tabla1[[#This Row],[Precio Lista CDR]]*0.7</f>
        <v>73.876917800000001</v>
      </c>
      <c r="K388" s="10">
        <f>Tabla1[[#This Row],[Precio Lista CDR]]*0.6</f>
        <v>63.323072400000001</v>
      </c>
      <c r="L388" s="12">
        <f>(Tabla1[[#This Row],[Precio Lista CDR]]-Tabla1[[#This Row],[PrecioFábrica]])/Tabla1[[#This Row],[Precio Lista CDR]]</f>
        <v>0.70445211688749332</v>
      </c>
      <c r="M388" s="12">
        <f>(Tabla1[[#This Row],[Lista 1 (20%)]]-Tabla1[[#This Row],[PrecioFábrica]])/Tabla1[[#This Row],[Lista 1 (20%)]]</f>
        <v>0.63056514610936665</v>
      </c>
      <c r="N388" s="12">
        <f>(Tabla1[[#This Row],[Lista 2 (30%)]]-Tabla1[[#This Row],[PrecioFábrica]])/Tabla1[[#This Row],[Lista 2 (30%)]]</f>
        <v>0.57778873841070477</v>
      </c>
      <c r="O388" s="12">
        <f>(Tabla1[[#This Row],[Lista 3 (40%)]]-Tabla1[[#This Row],[PrecioFábrica]])/Tabla1[[#This Row],[Lista 3 (40%)]]</f>
        <v>0.5074201948124889</v>
      </c>
    </row>
    <row r="389" spans="1:15">
      <c r="A389" t="s">
        <v>9</v>
      </c>
      <c r="B389" t="s">
        <v>398</v>
      </c>
      <c r="C389" t="s">
        <v>1200</v>
      </c>
      <c r="D389" t="s">
        <v>811</v>
      </c>
      <c r="E389" t="s">
        <v>5</v>
      </c>
      <c r="F389" s="3">
        <v>9.6333333333333346</v>
      </c>
      <c r="G389" s="10">
        <f>VLOOKUP(Tabla1[[#This Row],[Código Unificador]],PRECIOS_COMPETENCIA!B:D,3,FALSE)</f>
        <v>39.333500000000008</v>
      </c>
      <c r="H389" s="10">
        <f>Tabla1[[#This Row],[PVP Competencia]]*0.98</f>
        <v>38.546830000000007</v>
      </c>
      <c r="I389" s="10">
        <f>Tabla1[[#This Row],[Precio Lista CDR]]*0.8</f>
        <v>30.837464000000008</v>
      </c>
      <c r="J389" s="10">
        <f>Tabla1[[#This Row],[Precio Lista CDR]]*0.7</f>
        <v>26.982781000000003</v>
      </c>
      <c r="K389" s="10">
        <f>Tabla1[[#This Row],[Precio Lista CDR]]*0.6</f>
        <v>23.128098000000005</v>
      </c>
      <c r="L389" s="12">
        <f>(Tabla1[[#This Row],[Precio Lista CDR]]-Tabla1[[#This Row],[PrecioFábrica]])/Tabla1[[#This Row],[Precio Lista CDR]]</f>
        <v>0.7500875342191996</v>
      </c>
      <c r="M389" s="12">
        <f>(Tabla1[[#This Row],[Lista 1 (20%)]]-Tabla1[[#This Row],[PrecioFábrica]])/Tabla1[[#This Row],[Lista 1 (20%)]]</f>
        <v>0.68760941777399942</v>
      </c>
      <c r="N389" s="12">
        <f>(Tabla1[[#This Row],[Lista 2 (30%)]]-Tabla1[[#This Row],[PrecioFábrica]])/Tabla1[[#This Row],[Lista 2 (30%)]]</f>
        <v>0.64298219174171367</v>
      </c>
      <c r="O389" s="12">
        <f>(Tabla1[[#This Row],[Lista 3 (40%)]]-Tabla1[[#This Row],[PrecioFábrica]])/Tabla1[[#This Row],[Lista 3 (40%)]]</f>
        <v>0.58347922369866589</v>
      </c>
    </row>
    <row r="390" spans="1:15">
      <c r="A390" t="s">
        <v>7</v>
      </c>
      <c r="B390" t="s">
        <v>399</v>
      </c>
      <c r="C390" t="s">
        <v>1201</v>
      </c>
      <c r="D390" t="s">
        <v>811</v>
      </c>
      <c r="E390" t="s">
        <v>5</v>
      </c>
      <c r="F390" s="3">
        <v>33.625</v>
      </c>
      <c r="G390" s="10">
        <f>VLOOKUP(Tabla1[[#This Row],[Código Unificador]],PRECIOS_COMPETENCIA!B:D,3,FALSE)</f>
        <v>119.46275</v>
      </c>
      <c r="H390" s="10">
        <f>Tabla1[[#This Row],[PVP Competencia]]*0.98</f>
        <v>117.07349499999999</v>
      </c>
      <c r="I390" s="10">
        <f>Tabla1[[#This Row],[Precio Lista CDR]]*0.8</f>
        <v>93.658795999999995</v>
      </c>
      <c r="J390" s="10">
        <f>Tabla1[[#This Row],[Precio Lista CDR]]*0.7</f>
        <v>81.951446499999989</v>
      </c>
      <c r="K390" s="10">
        <f>Tabla1[[#This Row],[Precio Lista CDR]]*0.6</f>
        <v>70.244096999999996</v>
      </c>
      <c r="L390" s="12">
        <f>(Tabla1[[#This Row],[Precio Lista CDR]]-Tabla1[[#This Row],[PrecioFábrica]])/Tabla1[[#This Row],[Precio Lista CDR]]</f>
        <v>0.71278725385280417</v>
      </c>
      <c r="M390" s="12">
        <f>(Tabla1[[#This Row],[Lista 1 (20%)]]-Tabla1[[#This Row],[PrecioFábrica]])/Tabla1[[#This Row],[Lista 1 (20%)]]</f>
        <v>0.64098406731600521</v>
      </c>
      <c r="N390" s="12">
        <f>(Tabla1[[#This Row],[Lista 2 (30%)]]-Tabla1[[#This Row],[PrecioFábrica]])/Tabla1[[#This Row],[Lista 2 (30%)]]</f>
        <v>0.58969607693257731</v>
      </c>
      <c r="O390" s="12">
        <f>(Tabla1[[#This Row],[Lista 3 (40%)]]-Tabla1[[#This Row],[PrecioFábrica]])/Tabla1[[#This Row],[Lista 3 (40%)]]</f>
        <v>0.52131208975467358</v>
      </c>
    </row>
    <row r="391" spans="1:15">
      <c r="A391" t="s">
        <v>6</v>
      </c>
      <c r="B391" t="s">
        <v>400</v>
      </c>
      <c r="C391" t="s">
        <v>1202</v>
      </c>
      <c r="D391" t="s">
        <v>811</v>
      </c>
      <c r="E391" t="s">
        <v>5</v>
      </c>
      <c r="F391" s="3">
        <v>16.758333333333333</v>
      </c>
      <c r="G391" s="10">
        <f>VLOOKUP(Tabla1[[#This Row],[Código Unificador]],PRECIOS_COMPETENCIA!B:D,3,FALSE)</f>
        <v>60.057141666666666</v>
      </c>
      <c r="H391" s="10">
        <f>Tabla1[[#This Row],[PVP Competencia]]*0.98</f>
        <v>58.855998833333331</v>
      </c>
      <c r="I391" s="10">
        <f>Tabla1[[#This Row],[Precio Lista CDR]]*0.8</f>
        <v>47.084799066666669</v>
      </c>
      <c r="J391" s="10">
        <f>Tabla1[[#This Row],[Precio Lista CDR]]*0.7</f>
        <v>41.199199183333327</v>
      </c>
      <c r="K391" s="10">
        <f>Tabla1[[#This Row],[Precio Lista CDR]]*0.6</f>
        <v>35.3135993</v>
      </c>
      <c r="L391" s="12">
        <f>(Tabla1[[#This Row],[Precio Lista CDR]]-Tabla1[[#This Row],[PrecioFábrica]])/Tabla1[[#This Row],[Precio Lista CDR]]</f>
        <v>0.71526550112947562</v>
      </c>
      <c r="M391" s="12">
        <f>(Tabla1[[#This Row],[Lista 1 (20%)]]-Tabla1[[#This Row],[PrecioFábrica]])/Tabla1[[#This Row],[Lista 1 (20%)]]</f>
        <v>0.64408187641184456</v>
      </c>
      <c r="N391" s="12">
        <f>(Tabla1[[#This Row],[Lista 2 (30%)]]-Tabla1[[#This Row],[PrecioFábrica]])/Tabla1[[#This Row],[Lista 2 (30%)]]</f>
        <v>0.59323643018496519</v>
      </c>
      <c r="O391" s="12">
        <f>(Tabla1[[#This Row],[Lista 3 (40%)]]-Tabla1[[#This Row],[PrecioFábrica]])/Tabla1[[#This Row],[Lista 3 (40%)]]</f>
        <v>0.52544250188245945</v>
      </c>
    </row>
    <row r="392" spans="1:15">
      <c r="A392" t="s">
        <v>7</v>
      </c>
      <c r="B392" t="s">
        <v>401</v>
      </c>
      <c r="C392" t="s">
        <v>1203</v>
      </c>
      <c r="D392" t="s">
        <v>811</v>
      </c>
      <c r="E392" t="s">
        <v>5</v>
      </c>
      <c r="F392" s="3">
        <v>17.100000000000001</v>
      </c>
      <c r="G392" s="10">
        <f>VLOOKUP(Tabla1[[#This Row],[Código Unificador]],PRECIOS_COMPETENCIA!B:D,3,FALSE)</f>
        <v>61.077700000000014</v>
      </c>
      <c r="H392" s="10">
        <f>Tabla1[[#This Row],[PVP Competencia]]*0.98</f>
        <v>59.85614600000001</v>
      </c>
      <c r="I392" s="10">
        <f>Tabla1[[#This Row],[Precio Lista CDR]]*0.8</f>
        <v>47.884916800000013</v>
      </c>
      <c r="J392" s="10">
        <f>Tabla1[[#This Row],[Precio Lista CDR]]*0.7</f>
        <v>41.899302200000001</v>
      </c>
      <c r="K392" s="10">
        <f>Tabla1[[#This Row],[Precio Lista CDR]]*0.6</f>
        <v>35.913687600000003</v>
      </c>
      <c r="L392" s="12">
        <f>(Tabla1[[#This Row],[Precio Lista CDR]]-Tabla1[[#This Row],[PrecioFábrica]])/Tabla1[[#This Row],[Precio Lista CDR]]</f>
        <v>0.7143150512898041</v>
      </c>
      <c r="M392" s="12">
        <f>(Tabla1[[#This Row],[Lista 1 (20%)]]-Tabla1[[#This Row],[PrecioFábrica]])/Tabla1[[#This Row],[Lista 1 (20%)]]</f>
        <v>0.6428938141122551</v>
      </c>
      <c r="N392" s="12">
        <f>(Tabla1[[#This Row],[Lista 2 (30%)]]-Tabla1[[#This Row],[PrecioFábrica]])/Tabla1[[#This Row],[Lista 2 (30%)]]</f>
        <v>0.59187864469972007</v>
      </c>
      <c r="O392" s="12">
        <f>(Tabla1[[#This Row],[Lista 3 (40%)]]-Tabla1[[#This Row],[PrecioFábrica]])/Tabla1[[#This Row],[Lista 3 (40%)]]</f>
        <v>0.5238584188163401</v>
      </c>
    </row>
    <row r="393" spans="1:15">
      <c r="A393" t="s">
        <v>7</v>
      </c>
      <c r="B393" t="s">
        <v>402</v>
      </c>
      <c r="C393" t="s">
        <v>1204</v>
      </c>
      <c r="D393" t="s">
        <v>811</v>
      </c>
      <c r="E393" t="s">
        <v>5</v>
      </c>
      <c r="F393" s="3">
        <v>12.466666666666669</v>
      </c>
      <c r="G393" s="10">
        <f>VLOOKUP(Tabla1[[#This Row],[Código Unificador]],PRECIOS_COMPETENCIA!B:D,3,FALSE)</f>
        <v>48.684066666666681</v>
      </c>
      <c r="H393" s="10">
        <f>Tabla1[[#This Row],[PVP Competencia]]*0.98</f>
        <v>47.710385333333349</v>
      </c>
      <c r="I393" s="10">
        <f>Tabla1[[#This Row],[Precio Lista CDR]]*0.8</f>
        <v>38.168308266666678</v>
      </c>
      <c r="J393" s="10">
        <f>Tabla1[[#This Row],[Precio Lista CDR]]*0.7</f>
        <v>33.397269733333346</v>
      </c>
      <c r="K393" s="10">
        <f>Tabla1[[#This Row],[Precio Lista CDR]]*0.6</f>
        <v>28.62623120000001</v>
      </c>
      <c r="L393" s="12">
        <f>(Tabla1[[#This Row],[Precio Lista CDR]]-Tabla1[[#This Row],[PrecioFábrica]])/Tabla1[[#This Row],[Precio Lista CDR]]</f>
        <v>0.73870119514719779</v>
      </c>
      <c r="M393" s="12">
        <f>(Tabla1[[#This Row],[Lista 1 (20%)]]-Tabla1[[#This Row],[PrecioFábrica]])/Tabla1[[#This Row],[Lista 1 (20%)]]</f>
        <v>0.67337649393399723</v>
      </c>
      <c r="N393" s="12">
        <f>(Tabla1[[#This Row],[Lista 2 (30%)]]-Tabla1[[#This Row],[PrecioFábrica]])/Tabla1[[#This Row],[Lista 2 (30%)]]</f>
        <v>0.62671599306742543</v>
      </c>
      <c r="O393" s="12">
        <f>(Tabla1[[#This Row],[Lista 3 (40%)]]-Tabla1[[#This Row],[PrecioFábrica]])/Tabla1[[#This Row],[Lista 3 (40%)]]</f>
        <v>0.56450199191199624</v>
      </c>
    </row>
    <row r="394" spans="1:15">
      <c r="A394" t="s">
        <v>9</v>
      </c>
      <c r="B394" t="s">
        <v>403</v>
      </c>
      <c r="C394" t="s">
        <v>1205</v>
      </c>
      <c r="D394" t="s">
        <v>811</v>
      </c>
      <c r="E394" t="s">
        <v>5</v>
      </c>
      <c r="F394" s="3">
        <v>20.141666666666669</v>
      </c>
      <c r="G394" s="10">
        <f>VLOOKUP(Tabla1[[#This Row],[Código Unificador]],PRECIOS_COMPETENCIA!B:D,3,FALSE)</f>
        <v>70.747266666666661</v>
      </c>
      <c r="H394" s="10">
        <f>Tabla1[[#This Row],[PVP Competencia]]*0.98</f>
        <v>69.332321333333326</v>
      </c>
      <c r="I394" s="10">
        <f>Tabla1[[#This Row],[Precio Lista CDR]]*0.8</f>
        <v>55.465857066666665</v>
      </c>
      <c r="J394" s="10">
        <f>Tabla1[[#This Row],[Precio Lista CDR]]*0.7</f>
        <v>48.532624933333324</v>
      </c>
      <c r="K394" s="10">
        <f>Tabla1[[#This Row],[Precio Lista CDR]]*0.6</f>
        <v>41.599392799999997</v>
      </c>
      <c r="L394" s="12">
        <f>(Tabla1[[#This Row],[Precio Lista CDR]]-Tabla1[[#This Row],[PrecioFábrica]])/Tabla1[[#This Row],[Precio Lista CDR]]</f>
        <v>0.70949095199293388</v>
      </c>
      <c r="M394" s="12">
        <f>(Tabla1[[#This Row],[Lista 1 (20%)]]-Tabla1[[#This Row],[PrecioFábrica]])/Tabla1[[#This Row],[Lista 1 (20%)]]</f>
        <v>0.63686368999116727</v>
      </c>
      <c r="N394" s="12">
        <f>(Tabla1[[#This Row],[Lista 2 (30%)]]-Tabla1[[#This Row],[PrecioFábrica]])/Tabla1[[#This Row],[Lista 2 (30%)]]</f>
        <v>0.58498707427561969</v>
      </c>
      <c r="O394" s="12">
        <f>(Tabla1[[#This Row],[Lista 3 (40%)]]-Tabla1[[#This Row],[PrecioFábrica]])/Tabla1[[#This Row],[Lista 3 (40%)]]</f>
        <v>0.5158182533215564</v>
      </c>
    </row>
    <row r="395" spans="1:15">
      <c r="A395" t="s">
        <v>7</v>
      </c>
      <c r="B395" t="s">
        <v>404</v>
      </c>
      <c r="C395" t="s">
        <v>1206</v>
      </c>
      <c r="D395" t="s">
        <v>811</v>
      </c>
      <c r="E395" t="s">
        <v>5</v>
      </c>
      <c r="F395" s="3">
        <v>44.174999999999997</v>
      </c>
      <c r="G395" s="10">
        <f>VLOOKUP(Tabla1[[#This Row],[Código Unificador]],PRECIOS_COMPETENCIA!B:D,3,FALSE)</f>
        <v>157.07502499999998</v>
      </c>
      <c r="H395" s="10">
        <f>Tabla1[[#This Row],[PVP Competencia]]*0.98</f>
        <v>153.93352449999998</v>
      </c>
      <c r="I395" s="10">
        <f>Tabla1[[#This Row],[Precio Lista CDR]]*0.8</f>
        <v>123.14681959999999</v>
      </c>
      <c r="J395" s="10">
        <f>Tabla1[[#This Row],[Precio Lista CDR]]*0.7</f>
        <v>107.75346714999998</v>
      </c>
      <c r="K395" s="10">
        <f>Tabla1[[#This Row],[Precio Lista CDR]]*0.6</f>
        <v>92.360114699999983</v>
      </c>
      <c r="L395" s="12">
        <f>(Tabla1[[#This Row],[Precio Lista CDR]]-Tabla1[[#This Row],[PrecioFábrica]])/Tabla1[[#This Row],[Precio Lista CDR]]</f>
        <v>0.71302547548698525</v>
      </c>
      <c r="M395" s="12">
        <f>(Tabla1[[#This Row],[Lista 1 (20%)]]-Tabla1[[#This Row],[PrecioFábrica]])/Tabla1[[#This Row],[Lista 1 (20%)]]</f>
        <v>0.64128184435873159</v>
      </c>
      <c r="N395" s="12">
        <f>(Tabla1[[#This Row],[Lista 2 (30%)]]-Tabla1[[#This Row],[PrecioFábrica]])/Tabla1[[#This Row],[Lista 2 (30%)]]</f>
        <v>0.5900363935528361</v>
      </c>
      <c r="O395" s="12">
        <f>(Tabla1[[#This Row],[Lista 3 (40%)]]-Tabla1[[#This Row],[PrecioFábrica]])/Tabla1[[#This Row],[Lista 3 (40%)]]</f>
        <v>0.52170912581164208</v>
      </c>
    </row>
    <row r="396" spans="1:15">
      <c r="A396" t="s">
        <v>6</v>
      </c>
      <c r="B396" t="s">
        <v>405</v>
      </c>
      <c r="C396" t="s">
        <v>1207</v>
      </c>
      <c r="D396" t="s">
        <v>811</v>
      </c>
      <c r="E396" t="s">
        <v>5</v>
      </c>
      <c r="F396" s="3">
        <v>51.083333333333336</v>
      </c>
      <c r="G396" s="10">
        <f>VLOOKUP(Tabla1[[#This Row],[Código Unificador]],PRECIOS_COMPETENCIA!B:D,3,FALSE)</f>
        <v>175.54875000000001</v>
      </c>
      <c r="H396" s="10">
        <f>Tabla1[[#This Row],[PVP Competencia]]*0.98</f>
        <v>172.03777500000001</v>
      </c>
      <c r="I396" s="10">
        <f>Tabla1[[#This Row],[Precio Lista CDR]]*0.8</f>
        <v>137.63022000000001</v>
      </c>
      <c r="J396" s="10">
        <f>Tabla1[[#This Row],[Precio Lista CDR]]*0.7</f>
        <v>120.42644249999999</v>
      </c>
      <c r="K396" s="10">
        <f>Tabla1[[#This Row],[Precio Lista CDR]]*0.6</f>
        <v>103.22266500000001</v>
      </c>
      <c r="L396" s="12">
        <f>(Tabla1[[#This Row],[Precio Lista CDR]]-Tabla1[[#This Row],[PrecioFábrica]])/Tabla1[[#This Row],[Precio Lista CDR]]</f>
        <v>0.70306908855724659</v>
      </c>
      <c r="M396" s="12">
        <f>(Tabla1[[#This Row],[Lista 1 (20%)]]-Tabla1[[#This Row],[PrecioFábrica]])/Tabla1[[#This Row],[Lista 1 (20%)]]</f>
        <v>0.62883636069655824</v>
      </c>
      <c r="N396" s="12">
        <f>(Tabla1[[#This Row],[Lista 2 (30%)]]-Tabla1[[#This Row],[PrecioFábrica]])/Tabla1[[#This Row],[Lista 2 (30%)]]</f>
        <v>0.57581298365320943</v>
      </c>
      <c r="O396" s="12">
        <f>(Tabla1[[#This Row],[Lista 3 (40%)]]-Tabla1[[#This Row],[PrecioFábrica]])/Tabla1[[#This Row],[Lista 3 (40%)]]</f>
        <v>0.50511514759541098</v>
      </c>
    </row>
    <row r="397" spans="1:15">
      <c r="A397" t="s">
        <v>7</v>
      </c>
      <c r="B397" t="s">
        <v>406</v>
      </c>
      <c r="C397" t="s">
        <v>1208</v>
      </c>
      <c r="D397" t="s">
        <v>811</v>
      </c>
      <c r="E397" t="s">
        <v>5</v>
      </c>
      <c r="F397" s="3">
        <v>44.216666666666669</v>
      </c>
      <c r="G397" s="10">
        <f>VLOOKUP(Tabla1[[#This Row],[Código Unificador]],PRECIOS_COMPETENCIA!B:D,3,FALSE)</f>
        <v>152.07518333333331</v>
      </c>
      <c r="H397" s="10">
        <f>Tabla1[[#This Row],[PVP Competencia]]*0.98</f>
        <v>149.03367966666664</v>
      </c>
      <c r="I397" s="10">
        <f>Tabla1[[#This Row],[Precio Lista CDR]]*0.8</f>
        <v>119.22694373333331</v>
      </c>
      <c r="J397" s="10">
        <f>Tabla1[[#This Row],[Precio Lista CDR]]*0.7</f>
        <v>104.32357576666665</v>
      </c>
      <c r="K397" s="10">
        <f>Tabla1[[#This Row],[Precio Lista CDR]]*0.6</f>
        <v>89.420207799999986</v>
      </c>
      <c r="L397" s="12">
        <f>(Tabla1[[#This Row],[Precio Lista CDR]]-Tabla1[[#This Row],[PrecioFábrica]])/Tabla1[[#This Row],[Precio Lista CDR]]</f>
        <v>0.70331091089233633</v>
      </c>
      <c r="M397" s="12">
        <f>(Tabla1[[#This Row],[Lista 1 (20%)]]-Tabla1[[#This Row],[PrecioFábrica]])/Tabla1[[#This Row],[Lista 1 (20%)]]</f>
        <v>0.62913863861542041</v>
      </c>
      <c r="N397" s="12">
        <f>(Tabla1[[#This Row],[Lista 2 (30%)]]-Tabla1[[#This Row],[PrecioFábrica]])/Tabla1[[#This Row],[Lista 2 (30%)]]</f>
        <v>0.57615844413190898</v>
      </c>
      <c r="O397" s="12">
        <f>(Tabla1[[#This Row],[Lista 3 (40%)]]-Tabla1[[#This Row],[PrecioFábrica]])/Tabla1[[#This Row],[Lista 3 (40%)]]</f>
        <v>0.50551818482056043</v>
      </c>
    </row>
    <row r="398" spans="1:15">
      <c r="A398" t="s">
        <v>6</v>
      </c>
      <c r="B398" t="s">
        <v>407</v>
      </c>
      <c r="C398" t="s">
        <v>1209</v>
      </c>
      <c r="D398" t="s">
        <v>811</v>
      </c>
      <c r="E398" t="s">
        <v>5</v>
      </c>
      <c r="F398" s="3">
        <v>74.966666666666669</v>
      </c>
      <c r="G398" s="10">
        <f>VLOOKUP(Tabla1[[#This Row],[Código Unificador]],PRECIOS_COMPETENCIA!B:D,3,FALSE)</f>
        <v>264.79559999999998</v>
      </c>
      <c r="H398" s="10">
        <f>Tabla1[[#This Row],[PVP Competencia]]*0.98</f>
        <v>259.49968799999999</v>
      </c>
      <c r="I398" s="10">
        <f>Tabla1[[#This Row],[Precio Lista CDR]]*0.8</f>
        <v>207.5997504</v>
      </c>
      <c r="J398" s="10">
        <f>Tabla1[[#This Row],[Precio Lista CDR]]*0.7</f>
        <v>181.64978159999998</v>
      </c>
      <c r="K398" s="10">
        <f>Tabla1[[#This Row],[Precio Lista CDR]]*0.6</f>
        <v>155.69981279999999</v>
      </c>
      <c r="L398" s="12">
        <f>(Tabla1[[#This Row],[Precio Lista CDR]]-Tabla1[[#This Row],[PrecioFábrica]])/Tabla1[[#This Row],[Precio Lista CDR]]</f>
        <v>0.71111076377607563</v>
      </c>
      <c r="M398" s="12">
        <f>(Tabla1[[#This Row],[Lista 1 (20%)]]-Tabla1[[#This Row],[PrecioFábrica]])/Tabla1[[#This Row],[Lista 1 (20%)]]</f>
        <v>0.63888845472009459</v>
      </c>
      <c r="N398" s="12">
        <f>(Tabla1[[#This Row],[Lista 2 (30%)]]-Tabla1[[#This Row],[PrecioFábrica]])/Tabla1[[#This Row],[Lista 2 (30%)]]</f>
        <v>0.58730109110867945</v>
      </c>
      <c r="O398" s="12">
        <f>(Tabla1[[#This Row],[Lista 3 (40%)]]-Tabla1[[#This Row],[PrecioFábrica]])/Tabla1[[#This Row],[Lista 3 (40%)]]</f>
        <v>0.51851793962679271</v>
      </c>
    </row>
    <row r="399" spans="1:15">
      <c r="A399" t="s">
        <v>9</v>
      </c>
      <c r="B399" t="s">
        <v>408</v>
      </c>
      <c r="C399" t="s">
        <v>1210</v>
      </c>
      <c r="D399" t="s">
        <v>811</v>
      </c>
      <c r="E399" t="s">
        <v>5</v>
      </c>
      <c r="F399" s="3">
        <v>65.900000000000006</v>
      </c>
      <c r="G399" s="10">
        <f>VLOOKUP(Tabla1[[#This Row],[Código Unificador]],PRECIOS_COMPETENCIA!B:D,3,FALSE)</f>
        <v>232.57660000000001</v>
      </c>
      <c r="H399" s="10">
        <f>Tabla1[[#This Row],[PVP Competencia]]*0.98</f>
        <v>227.92506800000001</v>
      </c>
      <c r="I399" s="10">
        <f>Tabla1[[#This Row],[Precio Lista CDR]]*0.8</f>
        <v>182.34005440000001</v>
      </c>
      <c r="J399" s="10">
        <f>Tabla1[[#This Row],[Precio Lista CDR]]*0.7</f>
        <v>159.5475476</v>
      </c>
      <c r="K399" s="10">
        <f>Tabla1[[#This Row],[Precio Lista CDR]]*0.6</f>
        <v>136.75504079999999</v>
      </c>
      <c r="L399" s="12">
        <f>(Tabla1[[#This Row],[Precio Lista CDR]]-Tabla1[[#This Row],[PrecioFábrica]])/Tabla1[[#This Row],[Precio Lista CDR]]</f>
        <v>0.71086988992364808</v>
      </c>
      <c r="M399" s="12">
        <f>(Tabla1[[#This Row],[Lista 1 (20%)]]-Tabla1[[#This Row],[PrecioFábrica]])/Tabla1[[#This Row],[Lista 1 (20%)]]</f>
        <v>0.63858736240456004</v>
      </c>
      <c r="N399" s="12">
        <f>(Tabla1[[#This Row],[Lista 2 (30%)]]-Tabla1[[#This Row],[PrecioFábrica]])/Tabla1[[#This Row],[Lista 2 (30%)]]</f>
        <v>0.58695698560521148</v>
      </c>
      <c r="O399" s="12">
        <f>(Tabla1[[#This Row],[Lista 3 (40%)]]-Tabla1[[#This Row],[PrecioFábrica]])/Tabla1[[#This Row],[Lista 3 (40%)]]</f>
        <v>0.51811648320608006</v>
      </c>
    </row>
    <row r="400" spans="1:15">
      <c r="A400" t="s">
        <v>6</v>
      </c>
      <c r="B400" t="s">
        <v>409</v>
      </c>
      <c r="C400" t="s">
        <v>1211</v>
      </c>
      <c r="D400" t="s">
        <v>811</v>
      </c>
      <c r="E400" t="s">
        <v>5</v>
      </c>
      <c r="F400" s="3">
        <v>75.51666666666668</v>
      </c>
      <c r="G400" s="10">
        <f>VLOOKUP(Tabla1[[#This Row],[Código Unificador]],PRECIOS_COMPETENCIA!B:D,3,FALSE)</f>
        <v>262.13823333333301</v>
      </c>
      <c r="H400" s="10">
        <f>Tabla1[[#This Row],[PVP Competencia]]*0.98</f>
        <v>256.89546866666632</v>
      </c>
      <c r="I400" s="10">
        <f>Tabla1[[#This Row],[Precio Lista CDR]]*0.8</f>
        <v>205.51637493333305</v>
      </c>
      <c r="J400" s="10">
        <f>Tabla1[[#This Row],[Precio Lista CDR]]*0.7</f>
        <v>179.82682806666642</v>
      </c>
      <c r="K400" s="10">
        <f>Tabla1[[#This Row],[Precio Lista CDR]]*0.6</f>
        <v>154.13728119999979</v>
      </c>
      <c r="L400" s="12">
        <f>(Tabla1[[#This Row],[Precio Lista CDR]]-Tabla1[[#This Row],[PrecioFábrica]])/Tabla1[[#This Row],[Precio Lista CDR]]</f>
        <v>0.70604126628386343</v>
      </c>
      <c r="M400" s="12">
        <f>(Tabla1[[#This Row],[Lista 1 (20%)]]-Tabla1[[#This Row],[PrecioFábrica]])/Tabla1[[#This Row],[Lista 1 (20%)]]</f>
        <v>0.63255158285482926</v>
      </c>
      <c r="N400" s="12">
        <f>(Tabla1[[#This Row],[Lista 2 (30%)]]-Tabla1[[#This Row],[PrecioFábrica]])/Tabla1[[#This Row],[Lista 2 (30%)]]</f>
        <v>0.58005895183409051</v>
      </c>
      <c r="O400" s="12">
        <f>(Tabla1[[#This Row],[Lista 3 (40%)]]-Tabla1[[#This Row],[PrecioFábrica]])/Tabla1[[#This Row],[Lista 3 (40%)]]</f>
        <v>0.51006877713977228</v>
      </c>
    </row>
    <row r="401" spans="1:15">
      <c r="A401" t="s">
        <v>9</v>
      </c>
      <c r="B401" t="s">
        <v>410</v>
      </c>
      <c r="C401" t="s">
        <v>1212</v>
      </c>
      <c r="D401" t="s">
        <v>811</v>
      </c>
      <c r="E401" t="s">
        <v>5</v>
      </c>
      <c r="F401" s="3">
        <v>13.125</v>
      </c>
      <c r="G401" s="10">
        <f>VLOOKUP(Tabla1[[#This Row],[Código Unificador]],PRECIOS_COMPETENCIA!B:D,3,FALSE)</f>
        <v>48.823750000000004</v>
      </c>
      <c r="H401" s="10">
        <f>Tabla1[[#This Row],[PVP Competencia]]*0.98</f>
        <v>47.847275000000003</v>
      </c>
      <c r="I401" s="10">
        <f>Tabla1[[#This Row],[Precio Lista CDR]]*0.8</f>
        <v>38.277820000000006</v>
      </c>
      <c r="J401" s="10">
        <f>Tabla1[[#This Row],[Precio Lista CDR]]*0.7</f>
        <v>33.493092500000003</v>
      </c>
      <c r="K401" s="10">
        <f>Tabla1[[#This Row],[Precio Lista CDR]]*0.6</f>
        <v>28.708365000000001</v>
      </c>
      <c r="L401" s="12">
        <f>(Tabla1[[#This Row],[Precio Lista CDR]]-Tabla1[[#This Row],[PrecioFábrica]])/Tabla1[[#This Row],[Precio Lista CDR]]</f>
        <v>0.72568970751207884</v>
      </c>
      <c r="M401" s="12">
        <f>(Tabla1[[#This Row],[Lista 1 (20%)]]-Tabla1[[#This Row],[PrecioFábrica]])/Tabla1[[#This Row],[Lista 1 (20%)]]</f>
        <v>0.65711213439009852</v>
      </c>
      <c r="N401" s="12">
        <f>(Tabla1[[#This Row],[Lista 2 (30%)]]-Tabla1[[#This Row],[PrecioFábrica]])/Tabla1[[#This Row],[Lista 2 (30%)]]</f>
        <v>0.608128153588684</v>
      </c>
      <c r="O401" s="12">
        <f>(Tabla1[[#This Row],[Lista 3 (40%)]]-Tabla1[[#This Row],[PrecioFábrica]])/Tabla1[[#This Row],[Lista 3 (40%)]]</f>
        <v>0.54281617918679803</v>
      </c>
    </row>
    <row r="402" spans="1:15">
      <c r="A402" t="s">
        <v>9</v>
      </c>
      <c r="B402" t="s">
        <v>411</v>
      </c>
      <c r="C402" t="s">
        <v>1213</v>
      </c>
      <c r="D402" t="s">
        <v>811</v>
      </c>
      <c r="E402" t="s">
        <v>5</v>
      </c>
      <c r="F402" s="3">
        <v>13.850000000000001</v>
      </c>
      <c r="G402" s="10">
        <f>VLOOKUP(Tabla1[[#This Row],[Código Unificador]],PRECIOS_COMPETENCIA!B:D,3,FALSE)</f>
        <v>52.173250000000003</v>
      </c>
      <c r="H402" s="10">
        <f>Tabla1[[#This Row],[PVP Competencia]]*0.98</f>
        <v>51.129785000000005</v>
      </c>
      <c r="I402" s="10">
        <f>Tabla1[[#This Row],[Precio Lista CDR]]*0.8</f>
        <v>40.903828000000004</v>
      </c>
      <c r="J402" s="10">
        <f>Tabla1[[#This Row],[Precio Lista CDR]]*0.7</f>
        <v>35.7908495</v>
      </c>
      <c r="K402" s="10">
        <f>Tabla1[[#This Row],[Precio Lista CDR]]*0.6</f>
        <v>30.677871000000003</v>
      </c>
      <c r="L402" s="12">
        <f>(Tabla1[[#This Row],[Precio Lista CDR]]-Tabla1[[#This Row],[PrecioFábrica]])/Tabla1[[#This Row],[Precio Lista CDR]]</f>
        <v>0.72912070723551836</v>
      </c>
      <c r="M402" s="12">
        <f>(Tabla1[[#This Row],[Lista 1 (20%)]]-Tabla1[[#This Row],[PrecioFábrica]])/Tabla1[[#This Row],[Lista 1 (20%)]]</f>
        <v>0.66140088404439801</v>
      </c>
      <c r="N402" s="12">
        <f>(Tabla1[[#This Row],[Lista 2 (30%)]]-Tabla1[[#This Row],[PrecioFábrica]])/Tabla1[[#This Row],[Lista 2 (30%)]]</f>
        <v>0.6130295817650262</v>
      </c>
      <c r="O402" s="12">
        <f>(Tabla1[[#This Row],[Lista 3 (40%)]]-Tabla1[[#This Row],[PrecioFábrica]])/Tabla1[[#This Row],[Lista 3 (40%)]]</f>
        <v>0.54853451205919734</v>
      </c>
    </row>
    <row r="403" spans="1:15">
      <c r="A403" t="s">
        <v>6</v>
      </c>
      <c r="B403" t="s">
        <v>412</v>
      </c>
      <c r="C403" t="s">
        <v>1214</v>
      </c>
      <c r="D403" t="s">
        <v>811</v>
      </c>
      <c r="E403" t="s">
        <v>5</v>
      </c>
      <c r="F403" s="3">
        <v>11.016666666666667</v>
      </c>
      <c r="G403" s="10">
        <f>VLOOKUP(Tabla1[[#This Row],[Código Unificador]],PRECIOS_COMPETENCIA!B:D,3,FALSE)</f>
        <v>44.184716666666667</v>
      </c>
      <c r="H403" s="10">
        <f>Tabla1[[#This Row],[PVP Competencia]]*0.98</f>
        <v>43.301022333333336</v>
      </c>
      <c r="I403" s="10">
        <f>Tabla1[[#This Row],[Precio Lista CDR]]*0.8</f>
        <v>34.640817866666673</v>
      </c>
      <c r="J403" s="10">
        <f>Tabla1[[#This Row],[Precio Lista CDR]]*0.7</f>
        <v>30.310715633333334</v>
      </c>
      <c r="K403" s="10">
        <f>Tabla1[[#This Row],[Precio Lista CDR]]*0.6</f>
        <v>25.980613399999999</v>
      </c>
      <c r="L403" s="12">
        <f>(Tabla1[[#This Row],[Precio Lista CDR]]-Tabla1[[#This Row],[PrecioFábrica]])/Tabla1[[#This Row],[Precio Lista CDR]]</f>
        <v>0.74557952507772585</v>
      </c>
      <c r="M403" s="12">
        <f>(Tabla1[[#This Row],[Lista 1 (20%)]]-Tabla1[[#This Row],[PrecioFábrica]])/Tabla1[[#This Row],[Lista 1 (20%)]]</f>
        <v>0.68197440634715734</v>
      </c>
      <c r="N403" s="12">
        <f>(Tabla1[[#This Row],[Lista 2 (30%)]]-Tabla1[[#This Row],[PrecioFábrica]])/Tabla1[[#This Row],[Lista 2 (30%)]]</f>
        <v>0.63654217868246543</v>
      </c>
      <c r="O403" s="12">
        <f>(Tabla1[[#This Row],[Lista 3 (40%)]]-Tabla1[[#This Row],[PrecioFábrica]])/Tabla1[[#This Row],[Lista 3 (40%)]]</f>
        <v>0.575965875129543</v>
      </c>
    </row>
    <row r="404" spans="1:15">
      <c r="A404" t="s">
        <v>9</v>
      </c>
      <c r="B404" t="s">
        <v>413</v>
      </c>
      <c r="C404" t="s">
        <v>1215</v>
      </c>
      <c r="D404" t="s">
        <v>811</v>
      </c>
      <c r="E404" t="s">
        <v>5</v>
      </c>
      <c r="F404" s="3">
        <v>10.475000000000001</v>
      </c>
      <c r="G404" s="10">
        <f>VLOOKUP(Tabla1[[#This Row],[Código Unificador]],PRECIOS_COMPETENCIA!B:D,3,FALSE)</f>
        <v>41.288825000000003</v>
      </c>
      <c r="H404" s="10">
        <f>Tabla1[[#This Row],[PVP Competencia]]*0.98</f>
        <v>40.463048499999999</v>
      </c>
      <c r="I404" s="10">
        <f>Tabla1[[#This Row],[Precio Lista CDR]]*0.8</f>
        <v>32.370438800000002</v>
      </c>
      <c r="J404" s="10">
        <f>Tabla1[[#This Row],[Precio Lista CDR]]*0.7</f>
        <v>28.324133949999997</v>
      </c>
      <c r="K404" s="10">
        <f>Tabla1[[#This Row],[Precio Lista CDR]]*0.6</f>
        <v>24.277829099999998</v>
      </c>
      <c r="L404" s="12">
        <f>(Tabla1[[#This Row],[Precio Lista CDR]]-Tabla1[[#This Row],[PrecioFábrica]])/Tabla1[[#This Row],[Precio Lista CDR]]</f>
        <v>0.7411218287223218</v>
      </c>
      <c r="M404" s="12">
        <f>(Tabla1[[#This Row],[Lista 1 (20%)]]-Tabla1[[#This Row],[PrecioFábrica]])/Tabla1[[#This Row],[Lista 1 (20%)]]</f>
        <v>0.67640228590290219</v>
      </c>
      <c r="N404" s="12">
        <f>(Tabla1[[#This Row],[Lista 2 (30%)]]-Tabla1[[#This Row],[PrecioFábrica]])/Tabla1[[#This Row],[Lista 2 (30%)]]</f>
        <v>0.63017404103188823</v>
      </c>
      <c r="O404" s="12">
        <f>(Tabla1[[#This Row],[Lista 3 (40%)]]-Tabla1[[#This Row],[PrecioFábrica]])/Tabla1[[#This Row],[Lista 3 (40%)]]</f>
        <v>0.56853638120386962</v>
      </c>
    </row>
    <row r="405" spans="1:15">
      <c r="A405" t="s">
        <v>9</v>
      </c>
      <c r="B405" t="s">
        <v>414</v>
      </c>
      <c r="C405" t="s">
        <v>1216</v>
      </c>
      <c r="D405" t="s">
        <v>811</v>
      </c>
      <c r="E405" t="s">
        <v>5</v>
      </c>
      <c r="F405" s="3">
        <v>10.758333333333335</v>
      </c>
      <c r="G405" s="10">
        <f>VLOOKUP(Tabla1[[#This Row],[Código Unificador]],PRECIOS_COMPETENCIA!B:D,3,FALSE)</f>
        <v>42.135141666666676</v>
      </c>
      <c r="H405" s="10">
        <f>Tabla1[[#This Row],[PVP Competencia]]*0.98</f>
        <v>41.292438833333343</v>
      </c>
      <c r="I405" s="10">
        <f>Tabla1[[#This Row],[Precio Lista CDR]]*0.8</f>
        <v>33.033951066666674</v>
      </c>
      <c r="J405" s="10">
        <f>Tabla1[[#This Row],[Precio Lista CDR]]*0.7</f>
        <v>28.904707183333336</v>
      </c>
      <c r="K405" s="10">
        <f>Tabla1[[#This Row],[Precio Lista CDR]]*0.6</f>
        <v>24.775463300000006</v>
      </c>
      <c r="L405" s="12">
        <f>(Tabla1[[#This Row],[Precio Lista CDR]]-Tabla1[[#This Row],[PrecioFábrica]])/Tabla1[[#This Row],[Precio Lista CDR]]</f>
        <v>0.73945996804023451</v>
      </c>
      <c r="M405" s="12">
        <f>(Tabla1[[#This Row],[Lista 1 (20%)]]-Tabla1[[#This Row],[PrecioFábrica]])/Tabla1[[#This Row],[Lista 1 (20%)]]</f>
        <v>0.67432496005029308</v>
      </c>
      <c r="N405" s="12">
        <f>(Tabla1[[#This Row],[Lista 2 (30%)]]-Tabla1[[#This Row],[PrecioFábrica]])/Tabla1[[#This Row],[Lista 2 (30%)]]</f>
        <v>0.62779995434319202</v>
      </c>
      <c r="O405" s="12">
        <f>(Tabla1[[#This Row],[Lista 3 (40%)]]-Tabla1[[#This Row],[PrecioFábrica]])/Tabla1[[#This Row],[Lista 3 (40%)]]</f>
        <v>0.56576661340039069</v>
      </c>
    </row>
    <row r="406" spans="1:15">
      <c r="A406" t="s">
        <v>7</v>
      </c>
      <c r="B406" t="s">
        <v>415</v>
      </c>
      <c r="C406" t="s">
        <v>1217</v>
      </c>
      <c r="D406" t="s">
        <v>811</v>
      </c>
      <c r="E406" t="s">
        <v>5</v>
      </c>
      <c r="F406" s="3">
        <v>11.591666666666667</v>
      </c>
      <c r="G406" s="10">
        <f>VLOOKUP(Tabla1[[#This Row],[Código Unificador]],PRECIOS_COMPETENCIA!B:D,3,FALSE)</f>
        <v>46.305100000000003</v>
      </c>
      <c r="H406" s="10">
        <f>Tabla1[[#This Row],[PVP Competencia]]*0.98</f>
        <v>45.378998000000003</v>
      </c>
      <c r="I406" s="10">
        <f>Tabla1[[#This Row],[Precio Lista CDR]]*0.8</f>
        <v>36.303198400000007</v>
      </c>
      <c r="J406" s="10">
        <f>Tabla1[[#This Row],[Precio Lista CDR]]*0.7</f>
        <v>31.765298600000001</v>
      </c>
      <c r="K406" s="10">
        <f>Tabla1[[#This Row],[Precio Lista CDR]]*0.6</f>
        <v>27.2273988</v>
      </c>
      <c r="L406" s="12">
        <f>(Tabla1[[#This Row],[Precio Lista CDR]]-Tabla1[[#This Row],[PrecioFábrica]])/Tabla1[[#This Row],[Precio Lista CDR]]</f>
        <v>0.74455877878425902</v>
      </c>
      <c r="M406" s="12">
        <f>(Tabla1[[#This Row],[Lista 1 (20%)]]-Tabla1[[#This Row],[PrecioFábrica]])/Tabla1[[#This Row],[Lista 1 (20%)]]</f>
        <v>0.68069847348032375</v>
      </c>
      <c r="N406" s="12">
        <f>(Tabla1[[#This Row],[Lista 2 (30%)]]-Tabla1[[#This Row],[PrecioFábrica]])/Tabla1[[#This Row],[Lista 2 (30%)]]</f>
        <v>0.63508396969179859</v>
      </c>
      <c r="O406" s="12">
        <f>(Tabla1[[#This Row],[Lista 3 (40%)]]-Tabla1[[#This Row],[PrecioFábrica]])/Tabla1[[#This Row],[Lista 3 (40%)]]</f>
        <v>0.57426463130709837</v>
      </c>
    </row>
    <row r="407" spans="1:15">
      <c r="A407" t="s">
        <v>6</v>
      </c>
      <c r="B407" t="s">
        <v>416</v>
      </c>
      <c r="C407" t="s">
        <v>1218</v>
      </c>
      <c r="D407" t="s">
        <v>811</v>
      </c>
      <c r="E407" t="s">
        <v>5</v>
      </c>
      <c r="F407" s="3">
        <v>20.44166666666667</v>
      </c>
      <c r="G407" s="10">
        <f>VLOOKUP(Tabla1[[#This Row],[Código Unificador]],PRECIOS_COMPETENCIA!B:D,3,FALSE)</f>
        <v>72.244875000000008</v>
      </c>
      <c r="H407" s="10">
        <f>Tabla1[[#This Row],[PVP Competencia]]*0.98</f>
        <v>70.799977500000011</v>
      </c>
      <c r="I407" s="10">
        <f>Tabla1[[#This Row],[Precio Lista CDR]]*0.8</f>
        <v>56.63998200000001</v>
      </c>
      <c r="J407" s="10">
        <f>Tabla1[[#This Row],[Precio Lista CDR]]*0.7</f>
        <v>49.559984250000007</v>
      </c>
      <c r="K407" s="10">
        <f>Tabla1[[#This Row],[Precio Lista CDR]]*0.6</f>
        <v>42.479986500000003</v>
      </c>
      <c r="L407" s="12">
        <f>(Tabla1[[#This Row],[Precio Lista CDR]]-Tabla1[[#This Row],[PrecioFábrica]])/Tabla1[[#This Row],[Precio Lista CDR]]</f>
        <v>0.71127580278303526</v>
      </c>
      <c r="M407" s="12">
        <f>(Tabla1[[#This Row],[Lista 1 (20%)]]-Tabla1[[#This Row],[PrecioFábrica]])/Tabla1[[#This Row],[Lista 1 (20%)]]</f>
        <v>0.63909475347879408</v>
      </c>
      <c r="N407" s="12">
        <f>(Tabla1[[#This Row],[Lista 2 (30%)]]-Tabla1[[#This Row],[PrecioFábrica]])/Tabla1[[#This Row],[Lista 2 (30%)]]</f>
        <v>0.5875368611186218</v>
      </c>
      <c r="O407" s="12">
        <f>(Tabla1[[#This Row],[Lista 3 (40%)]]-Tabla1[[#This Row],[PrecioFábrica]])/Tabla1[[#This Row],[Lista 3 (40%)]]</f>
        <v>0.51879300463839206</v>
      </c>
    </row>
    <row r="408" spans="1:15">
      <c r="A408" t="s">
        <v>9</v>
      </c>
      <c r="B408" t="s">
        <v>417</v>
      </c>
      <c r="C408" t="s">
        <v>1219</v>
      </c>
      <c r="D408" t="s">
        <v>811</v>
      </c>
      <c r="E408" t="s">
        <v>5</v>
      </c>
      <c r="F408" s="3">
        <v>20</v>
      </c>
      <c r="G408" s="10">
        <f>VLOOKUP(Tabla1[[#This Row],[Código Unificador]],PRECIOS_COMPETENCIA!B:D,3,FALSE)</f>
        <v>70.319999999999993</v>
      </c>
      <c r="H408" s="10">
        <f>Tabla1[[#This Row],[PVP Competencia]]*0.98</f>
        <v>68.913599999999988</v>
      </c>
      <c r="I408" s="10">
        <f>Tabla1[[#This Row],[Precio Lista CDR]]*0.8</f>
        <v>55.130879999999991</v>
      </c>
      <c r="J408" s="10">
        <f>Tabla1[[#This Row],[Precio Lista CDR]]*0.7</f>
        <v>48.239519999999992</v>
      </c>
      <c r="K408" s="10">
        <f>Tabla1[[#This Row],[Precio Lista CDR]]*0.6</f>
        <v>41.348159999999993</v>
      </c>
      <c r="L408" s="12">
        <f>(Tabla1[[#This Row],[Precio Lista CDR]]-Tabla1[[#This Row],[PrecioFábrica]])/Tabla1[[#This Row],[Precio Lista CDR]]</f>
        <v>0.70978152353091406</v>
      </c>
      <c r="M408" s="12">
        <f>(Tabla1[[#This Row],[Lista 1 (20%)]]-Tabla1[[#This Row],[PrecioFábrica]])/Tabla1[[#This Row],[Lista 1 (20%)]]</f>
        <v>0.63722690441364249</v>
      </c>
      <c r="N408" s="12">
        <f>(Tabla1[[#This Row],[Lista 2 (30%)]]-Tabla1[[#This Row],[PrecioFábrica]])/Tabla1[[#This Row],[Lista 2 (30%)]]</f>
        <v>0.58540217647273429</v>
      </c>
      <c r="O408" s="12">
        <f>(Tabla1[[#This Row],[Lista 3 (40%)]]-Tabla1[[#This Row],[PrecioFábrica]])/Tabla1[[#This Row],[Lista 3 (40%)]]</f>
        <v>0.51630253921819003</v>
      </c>
    </row>
    <row r="409" spans="1:15">
      <c r="A409" t="s">
        <v>6</v>
      </c>
      <c r="B409" t="s">
        <v>418</v>
      </c>
      <c r="C409" t="s">
        <v>1220</v>
      </c>
      <c r="D409" t="s">
        <v>811</v>
      </c>
      <c r="E409" t="s">
        <v>5</v>
      </c>
      <c r="F409" s="3">
        <v>7.6166666666666671</v>
      </c>
      <c r="G409" s="10">
        <f>VLOOKUP(Tabla1[[#This Row],[Código Unificador]],PRECIOS_COMPETENCIA!B:D,3,FALSE)</f>
        <v>33.63451666666667</v>
      </c>
      <c r="H409" s="10">
        <f>Tabla1[[#This Row],[PVP Competencia]]*0.98</f>
        <v>32.961826333333335</v>
      </c>
      <c r="I409" s="10">
        <f>Tabla1[[#This Row],[Precio Lista CDR]]*0.8</f>
        <v>26.36946106666667</v>
      </c>
      <c r="J409" s="10">
        <f>Tabla1[[#This Row],[Precio Lista CDR]]*0.7</f>
        <v>23.073278433333332</v>
      </c>
      <c r="K409" s="10">
        <f>Tabla1[[#This Row],[Precio Lista CDR]]*0.6</f>
        <v>19.777095800000001</v>
      </c>
      <c r="L409" s="12">
        <f>(Tabla1[[#This Row],[Precio Lista CDR]]-Tabla1[[#This Row],[PrecioFábrica]])/Tabla1[[#This Row],[Precio Lista CDR]]</f>
        <v>0.76892461632309028</v>
      </c>
      <c r="M409" s="12">
        <f>(Tabla1[[#This Row],[Lista 1 (20%)]]-Tabla1[[#This Row],[PrecioFábrica]])/Tabla1[[#This Row],[Lista 1 (20%)]]</f>
        <v>0.7111557704038628</v>
      </c>
      <c r="N409" s="12">
        <f>(Tabla1[[#This Row],[Lista 2 (30%)]]-Tabla1[[#This Row],[PrecioFábrica]])/Tabla1[[#This Row],[Lista 2 (30%)]]</f>
        <v>0.66989230903298602</v>
      </c>
      <c r="O409" s="12">
        <f>(Tabla1[[#This Row],[Lista 3 (40%)]]-Tabla1[[#This Row],[PrecioFábrica]])/Tabla1[[#This Row],[Lista 3 (40%)]]</f>
        <v>0.61487436053848377</v>
      </c>
    </row>
    <row r="410" spans="1:15">
      <c r="A410" t="s">
        <v>6</v>
      </c>
      <c r="B410" t="s">
        <v>419</v>
      </c>
      <c r="C410" t="s">
        <v>1221</v>
      </c>
      <c r="D410" t="s">
        <v>811</v>
      </c>
      <c r="E410" t="s">
        <v>5</v>
      </c>
      <c r="F410" s="3">
        <v>7.1</v>
      </c>
      <c r="G410" s="10">
        <f>VLOOKUP(Tabla1[[#This Row],[Código Unificador]],PRECIOS_COMPETENCIA!B:D,3,FALSE)</f>
        <v>31.207699999999999</v>
      </c>
      <c r="H410" s="10">
        <f>Tabla1[[#This Row],[PVP Competencia]]*0.98</f>
        <v>30.583545999999998</v>
      </c>
      <c r="I410" s="10">
        <f>Tabla1[[#This Row],[Precio Lista CDR]]*0.8</f>
        <v>24.466836799999999</v>
      </c>
      <c r="J410" s="10">
        <f>Tabla1[[#This Row],[Precio Lista CDR]]*0.7</f>
        <v>21.408482199999998</v>
      </c>
      <c r="K410" s="10">
        <f>Tabla1[[#This Row],[Precio Lista CDR]]*0.6</f>
        <v>18.350127599999997</v>
      </c>
      <c r="L410" s="12">
        <f>(Tabla1[[#This Row],[Precio Lista CDR]]-Tabla1[[#This Row],[PrecioFábrica]])/Tabla1[[#This Row],[Precio Lista CDR]]</f>
        <v>0.76784902574737401</v>
      </c>
      <c r="M410" s="12">
        <f>(Tabla1[[#This Row],[Lista 1 (20%)]]-Tabla1[[#This Row],[PrecioFábrica]])/Tabla1[[#This Row],[Lista 1 (20%)]]</f>
        <v>0.70981128218421774</v>
      </c>
      <c r="N410" s="12">
        <f>(Tabla1[[#This Row],[Lista 2 (30%)]]-Tabla1[[#This Row],[PrecioFábrica]])/Tabla1[[#This Row],[Lista 2 (30%)]]</f>
        <v>0.66835575106767731</v>
      </c>
      <c r="O410" s="12">
        <f>(Tabla1[[#This Row],[Lista 3 (40%)]]-Tabla1[[#This Row],[PrecioFábrica]])/Tabla1[[#This Row],[Lista 3 (40%)]]</f>
        <v>0.6130817095789568</v>
      </c>
    </row>
    <row r="411" spans="1:15">
      <c r="A411" t="s">
        <v>7</v>
      </c>
      <c r="B411" t="s">
        <v>420</v>
      </c>
      <c r="C411" t="s">
        <v>1222</v>
      </c>
      <c r="D411" t="s">
        <v>811</v>
      </c>
      <c r="E411" t="s">
        <v>5</v>
      </c>
      <c r="F411" s="3">
        <v>13.849999999999998</v>
      </c>
      <c r="G411" s="10">
        <f>VLOOKUP(Tabla1[[#This Row],[Código Unificador]],PRECIOS_COMPETENCIA!B:D,3,FALSE)</f>
        <v>50.968299999999999</v>
      </c>
      <c r="H411" s="10">
        <f>Tabla1[[#This Row],[PVP Competencia]]*0.98</f>
        <v>49.948934000000001</v>
      </c>
      <c r="I411" s="10">
        <f>Tabla1[[#This Row],[Precio Lista CDR]]*0.8</f>
        <v>39.959147200000004</v>
      </c>
      <c r="J411" s="10">
        <f>Tabla1[[#This Row],[Precio Lista CDR]]*0.7</f>
        <v>34.964253800000002</v>
      </c>
      <c r="K411" s="10">
        <f>Tabla1[[#This Row],[Precio Lista CDR]]*0.6</f>
        <v>29.969360399999999</v>
      </c>
      <c r="L411" s="12">
        <f>(Tabla1[[#This Row],[Precio Lista CDR]]-Tabla1[[#This Row],[PrecioFábrica]])/Tabla1[[#This Row],[Precio Lista CDR]]</f>
        <v>0.72271680512741265</v>
      </c>
      <c r="M411" s="12">
        <f>(Tabla1[[#This Row],[Lista 1 (20%)]]-Tabla1[[#This Row],[PrecioFábrica]])/Tabla1[[#This Row],[Lista 1 (20%)]]</f>
        <v>0.65339600640926598</v>
      </c>
      <c r="N411" s="12">
        <f>(Tabla1[[#This Row],[Lista 2 (30%)]]-Tabla1[[#This Row],[PrecioFábrica]])/Tabla1[[#This Row],[Lista 2 (30%)]]</f>
        <v>0.60388115018201827</v>
      </c>
      <c r="O411" s="12">
        <f>(Tabla1[[#This Row],[Lista 3 (40%)]]-Tabla1[[#This Row],[PrecioFábrica]])/Tabla1[[#This Row],[Lista 3 (40%)]]</f>
        <v>0.53786134187902124</v>
      </c>
    </row>
    <row r="412" spans="1:15">
      <c r="A412" t="s">
        <v>6</v>
      </c>
      <c r="B412" t="s">
        <v>421</v>
      </c>
      <c r="C412" t="s">
        <v>1223</v>
      </c>
      <c r="D412" t="s">
        <v>811</v>
      </c>
      <c r="E412" t="s">
        <v>5</v>
      </c>
      <c r="F412" s="3">
        <v>10.825000000000001</v>
      </c>
      <c r="G412" s="10">
        <f>VLOOKUP(Tabla1[[#This Row],[Código Unificador]],PRECIOS_COMPETENCIA!B:D,3,FALSE)</f>
        <v>42.64820000000001</v>
      </c>
      <c r="H412" s="10">
        <f>Tabla1[[#This Row],[PVP Competencia]]*0.98</f>
        <v>41.79523600000001</v>
      </c>
      <c r="I412" s="10">
        <f>Tabla1[[#This Row],[Precio Lista CDR]]*0.8</f>
        <v>33.436188800000011</v>
      </c>
      <c r="J412" s="10">
        <f>Tabla1[[#This Row],[Precio Lista CDR]]*0.7</f>
        <v>29.256665200000004</v>
      </c>
      <c r="K412" s="10">
        <f>Tabla1[[#This Row],[Precio Lista CDR]]*0.6</f>
        <v>25.077141600000004</v>
      </c>
      <c r="L412" s="12">
        <f>(Tabla1[[#This Row],[Precio Lista CDR]]-Tabla1[[#This Row],[PrecioFábrica]])/Tabla1[[#This Row],[Precio Lista CDR]]</f>
        <v>0.74099918947700161</v>
      </c>
      <c r="M412" s="12">
        <f>(Tabla1[[#This Row],[Lista 1 (20%)]]-Tabla1[[#This Row],[PrecioFábrica]])/Tabla1[[#This Row],[Lista 1 (20%)]]</f>
        <v>0.67624898684625212</v>
      </c>
      <c r="N412" s="12">
        <f>(Tabla1[[#This Row],[Lista 2 (30%)]]-Tabla1[[#This Row],[PrecioFábrica]])/Tabla1[[#This Row],[Lista 2 (30%)]]</f>
        <v>0.62999884211000245</v>
      </c>
      <c r="O412" s="12">
        <f>(Tabla1[[#This Row],[Lista 3 (40%)]]-Tabla1[[#This Row],[PrecioFábrica]])/Tabla1[[#This Row],[Lista 3 (40%)]]</f>
        <v>0.56833198246166938</v>
      </c>
    </row>
    <row r="413" spans="1:15">
      <c r="A413" t="s">
        <v>9</v>
      </c>
      <c r="B413" t="s">
        <v>422</v>
      </c>
      <c r="C413" t="s">
        <v>1224</v>
      </c>
      <c r="D413" t="s">
        <v>811</v>
      </c>
      <c r="E413" t="s">
        <v>5</v>
      </c>
      <c r="F413" s="3">
        <v>79.166666666666671</v>
      </c>
      <c r="G413" s="10">
        <f>VLOOKUP(Tabla1[[#This Row],[Código Unificador]],PRECIOS_COMPETENCIA!B:D,3,FALSE)</f>
        <v>208.76666666666699</v>
      </c>
      <c r="H413" s="10">
        <f>Tabla1[[#This Row],[PVP Competencia]]*0.98</f>
        <v>204.59133333333364</v>
      </c>
      <c r="I413" s="10">
        <f>Tabla1[[#This Row],[Precio Lista CDR]]*0.8</f>
        <v>163.67306666666693</v>
      </c>
      <c r="J413" s="10">
        <f>Tabla1[[#This Row],[Precio Lista CDR]]*0.7</f>
        <v>143.21393333333353</v>
      </c>
      <c r="K413" s="10">
        <f>Tabla1[[#This Row],[Precio Lista CDR]]*0.6</f>
        <v>122.75480000000017</v>
      </c>
      <c r="L413" s="12">
        <f>(Tabla1[[#This Row],[Precio Lista CDR]]-Tabla1[[#This Row],[PrecioFábrica]])/Tabla1[[#This Row],[Precio Lista CDR]]</f>
        <v>0.61304975446988685</v>
      </c>
      <c r="M413" s="12">
        <f>(Tabla1[[#This Row],[Lista 1 (20%)]]-Tabla1[[#This Row],[PrecioFábrica]])/Tabla1[[#This Row],[Lista 1 (20%)]]</f>
        <v>0.51631219308735865</v>
      </c>
      <c r="N413" s="12">
        <f>(Tabla1[[#This Row],[Lista 2 (30%)]]-Tabla1[[#This Row],[PrecioFábrica]])/Tabla1[[#This Row],[Lista 2 (30%)]]</f>
        <v>0.44721393495698114</v>
      </c>
      <c r="O413" s="12">
        <f>(Tabla1[[#This Row],[Lista 3 (40%)]]-Tabla1[[#This Row],[PrecioFábrica]])/Tabla1[[#This Row],[Lista 3 (40%)]]</f>
        <v>0.35508292411647807</v>
      </c>
    </row>
    <row r="414" spans="1:15">
      <c r="A414" t="s">
        <v>9</v>
      </c>
      <c r="B414" t="s">
        <v>423</v>
      </c>
      <c r="C414" t="s">
        <v>1225</v>
      </c>
      <c r="D414" t="s">
        <v>811</v>
      </c>
      <c r="E414" t="s">
        <v>5</v>
      </c>
      <c r="F414" s="3">
        <v>10.825000000000001</v>
      </c>
      <c r="G414" s="10">
        <f>VLOOKUP(Tabla1[[#This Row],[Código Unificador]],PRECIOS_COMPETENCIA!B:D,3,FALSE)</f>
        <v>42.962125000000007</v>
      </c>
      <c r="H414" s="10">
        <f>Tabla1[[#This Row],[PVP Competencia]]*0.98</f>
        <v>42.102882500000007</v>
      </c>
      <c r="I414" s="10">
        <f>Tabla1[[#This Row],[Precio Lista CDR]]*0.8</f>
        <v>33.682306000000004</v>
      </c>
      <c r="J414" s="10">
        <f>Tabla1[[#This Row],[Precio Lista CDR]]*0.7</f>
        <v>29.472017750000003</v>
      </c>
      <c r="K414" s="10">
        <f>Tabla1[[#This Row],[Precio Lista CDR]]*0.6</f>
        <v>25.261729500000005</v>
      </c>
      <c r="L414" s="12">
        <f>(Tabla1[[#This Row],[Precio Lista CDR]]-Tabla1[[#This Row],[PrecioFábrica]])/Tabla1[[#This Row],[Precio Lista CDR]]</f>
        <v>0.74289171293675671</v>
      </c>
      <c r="M414" s="12">
        <f>(Tabla1[[#This Row],[Lista 1 (20%)]]-Tabla1[[#This Row],[PrecioFábrica]])/Tabla1[[#This Row],[Lista 1 (20%)]]</f>
        <v>0.67861464117094594</v>
      </c>
      <c r="N414" s="12">
        <f>(Tabla1[[#This Row],[Lista 2 (30%)]]-Tabla1[[#This Row],[PrecioFábrica]])/Tabla1[[#This Row],[Lista 2 (30%)]]</f>
        <v>0.63270244705250978</v>
      </c>
      <c r="O414" s="12">
        <f>(Tabla1[[#This Row],[Lista 3 (40%)]]-Tabla1[[#This Row],[PrecioFábrica]])/Tabla1[[#This Row],[Lista 3 (40%)]]</f>
        <v>0.57148618822792796</v>
      </c>
    </row>
    <row r="415" spans="1:15">
      <c r="A415" t="s">
        <v>7</v>
      </c>
      <c r="B415" t="s">
        <v>424</v>
      </c>
      <c r="C415" t="s">
        <v>1226</v>
      </c>
      <c r="D415" t="s">
        <v>811</v>
      </c>
      <c r="E415" t="s">
        <v>5</v>
      </c>
      <c r="F415" s="3">
        <v>13.516666666666666</v>
      </c>
      <c r="G415" s="10">
        <f>VLOOKUP(Tabla1[[#This Row],[Código Unificador]],PRECIOS_COMPETENCIA!B:D,3,FALSE)</f>
        <v>52.334200000000003</v>
      </c>
      <c r="H415" s="10">
        <f>Tabla1[[#This Row],[PVP Competencia]]*0.98</f>
        <v>51.287516000000004</v>
      </c>
      <c r="I415" s="10">
        <f>Tabla1[[#This Row],[Precio Lista CDR]]*0.8</f>
        <v>41.030012800000009</v>
      </c>
      <c r="J415" s="10">
        <f>Tabla1[[#This Row],[Precio Lista CDR]]*0.7</f>
        <v>35.9012612</v>
      </c>
      <c r="K415" s="10">
        <f>Tabla1[[#This Row],[Precio Lista CDR]]*0.6</f>
        <v>30.772509599999999</v>
      </c>
      <c r="L415" s="12">
        <f>(Tabla1[[#This Row],[Precio Lista CDR]]-Tabla1[[#This Row],[PrecioFábrica]])/Tabla1[[#This Row],[Precio Lista CDR]]</f>
        <v>0.7364530840864536</v>
      </c>
      <c r="M415" s="12">
        <f>(Tabla1[[#This Row],[Lista 1 (20%)]]-Tabla1[[#This Row],[PrecioFábrica]])/Tabla1[[#This Row],[Lista 1 (20%)]]</f>
        <v>0.67056635510806706</v>
      </c>
      <c r="N415" s="12">
        <f>(Tabla1[[#This Row],[Lista 2 (30%)]]-Tabla1[[#This Row],[PrecioFábrica]])/Tabla1[[#This Row],[Lista 2 (30%)]]</f>
        <v>0.62350440583779088</v>
      </c>
      <c r="O415" s="12">
        <f>(Tabla1[[#This Row],[Lista 3 (40%)]]-Tabla1[[#This Row],[PrecioFábrica]])/Tabla1[[#This Row],[Lista 3 (40%)]]</f>
        <v>0.56075514014408934</v>
      </c>
    </row>
    <row r="416" spans="1:15">
      <c r="A416" t="s">
        <v>7</v>
      </c>
      <c r="B416" t="s">
        <v>425</v>
      </c>
      <c r="C416" t="s">
        <v>1227</v>
      </c>
      <c r="D416" t="s">
        <v>811</v>
      </c>
      <c r="E416" t="s">
        <v>5</v>
      </c>
      <c r="F416" s="3">
        <v>8.75</v>
      </c>
      <c r="G416" s="10">
        <f>VLOOKUP(Tabla1[[#This Row],[Código Unificador]],PRECIOS_COMPETENCIA!B:D,3,FALSE)</f>
        <v>36.136250000000004</v>
      </c>
      <c r="H416" s="10">
        <f>Tabla1[[#This Row],[PVP Competencia]]*0.98</f>
        <v>35.413525</v>
      </c>
      <c r="I416" s="10">
        <f>Tabla1[[#This Row],[Precio Lista CDR]]*0.8</f>
        <v>28.330820000000003</v>
      </c>
      <c r="J416" s="10">
        <f>Tabla1[[#This Row],[Precio Lista CDR]]*0.7</f>
        <v>24.789467499999997</v>
      </c>
      <c r="K416" s="10">
        <f>Tabla1[[#This Row],[Precio Lista CDR]]*0.6</f>
        <v>21.248114999999999</v>
      </c>
      <c r="L416" s="12">
        <f>(Tabla1[[#This Row],[Precio Lista CDR]]-Tabla1[[#This Row],[PrecioFábrica]])/Tabla1[[#This Row],[Precio Lista CDR]]</f>
        <v>0.75291925895544143</v>
      </c>
      <c r="M416" s="12">
        <f>(Tabla1[[#This Row],[Lista 1 (20%)]]-Tabla1[[#This Row],[PrecioFábrica]])/Tabla1[[#This Row],[Lista 1 (20%)]]</f>
        <v>0.6911490736943019</v>
      </c>
      <c r="N416" s="12">
        <f>(Tabla1[[#This Row],[Lista 2 (30%)]]-Tabla1[[#This Row],[PrecioFábrica]])/Tabla1[[#This Row],[Lista 2 (30%)]]</f>
        <v>0.6470275127934878</v>
      </c>
      <c r="O416" s="12">
        <f>(Tabla1[[#This Row],[Lista 3 (40%)]]-Tabla1[[#This Row],[PrecioFábrica]])/Tabla1[[#This Row],[Lista 3 (40%)]]</f>
        <v>0.58819876492573575</v>
      </c>
    </row>
    <row r="417" spans="1:15">
      <c r="A417" t="s">
        <v>7</v>
      </c>
      <c r="B417" t="s">
        <v>426</v>
      </c>
      <c r="C417" t="s">
        <v>1228</v>
      </c>
      <c r="D417" t="s">
        <v>811</v>
      </c>
      <c r="E417" t="s">
        <v>5</v>
      </c>
      <c r="F417" s="3">
        <v>16.625</v>
      </c>
      <c r="G417" s="10">
        <f>VLOOKUP(Tabla1[[#This Row],[Código Unificador]],PRECIOS_COMPETENCIA!B:D,3,FALSE)</f>
        <v>61.105249999999998</v>
      </c>
      <c r="H417" s="10">
        <f>Tabla1[[#This Row],[PVP Competencia]]*0.98</f>
        <v>59.883144999999999</v>
      </c>
      <c r="I417" s="10">
        <f>Tabla1[[#This Row],[Precio Lista CDR]]*0.8</f>
        <v>47.906516000000003</v>
      </c>
      <c r="J417" s="10">
        <f>Tabla1[[#This Row],[Precio Lista CDR]]*0.7</f>
        <v>41.918201499999995</v>
      </c>
      <c r="K417" s="10">
        <f>Tabla1[[#This Row],[Precio Lista CDR]]*0.6</f>
        <v>35.929887000000001</v>
      </c>
      <c r="L417" s="12">
        <f>(Tabla1[[#This Row],[Precio Lista CDR]]-Tabla1[[#This Row],[PrecioFábrica]])/Tabla1[[#This Row],[Precio Lista CDR]]</f>
        <v>0.72237597073433601</v>
      </c>
      <c r="M417" s="12">
        <f>(Tabla1[[#This Row],[Lista 1 (20%)]]-Tabla1[[#This Row],[PrecioFábrica]])/Tabla1[[#This Row],[Lista 1 (20%)]]</f>
        <v>0.65296996341792002</v>
      </c>
      <c r="N417" s="12">
        <f>(Tabla1[[#This Row],[Lista 2 (30%)]]-Tabla1[[#This Row],[PrecioFábrica]])/Tabla1[[#This Row],[Lista 2 (30%)]]</f>
        <v>0.60339424390619423</v>
      </c>
      <c r="O417" s="12">
        <f>(Tabla1[[#This Row],[Lista 3 (40%)]]-Tabla1[[#This Row],[PrecioFábrica]])/Tabla1[[#This Row],[Lista 3 (40%)]]</f>
        <v>0.53729328455722669</v>
      </c>
    </row>
    <row r="418" spans="1:15">
      <c r="A418" t="s">
        <v>9</v>
      </c>
      <c r="B418" t="s">
        <v>427</v>
      </c>
      <c r="C418" t="s">
        <v>1229</v>
      </c>
      <c r="D418" t="s">
        <v>811</v>
      </c>
      <c r="E418" t="s">
        <v>5</v>
      </c>
      <c r="F418" s="3">
        <v>26.783333333333335</v>
      </c>
      <c r="G418" s="10">
        <f>VLOOKUP(Tabla1[[#This Row],[Código Unificador]],PRECIOS_COMPETENCIA!B:D,3,FALSE)</f>
        <v>92.331966666666673</v>
      </c>
      <c r="H418" s="10">
        <f>Tabla1[[#This Row],[PVP Competencia]]*0.98</f>
        <v>90.485327333333345</v>
      </c>
      <c r="I418" s="10">
        <f>Tabla1[[#This Row],[Precio Lista CDR]]*0.8</f>
        <v>72.388261866666681</v>
      </c>
      <c r="J418" s="10">
        <f>Tabla1[[#This Row],[Precio Lista CDR]]*0.7</f>
        <v>63.339729133333336</v>
      </c>
      <c r="K418" s="10">
        <f>Tabla1[[#This Row],[Precio Lista CDR]]*0.6</f>
        <v>54.291196400000004</v>
      </c>
      <c r="L418" s="12">
        <f>(Tabla1[[#This Row],[Precio Lista CDR]]-Tabla1[[#This Row],[PrecioFábrica]])/Tabla1[[#This Row],[Precio Lista CDR]]</f>
        <v>0.70400357579889328</v>
      </c>
      <c r="M418" s="12">
        <f>(Tabla1[[#This Row],[Lista 1 (20%)]]-Tabla1[[#This Row],[PrecioFábrica]])/Tabla1[[#This Row],[Lista 1 (20%)]]</f>
        <v>0.63000446974861668</v>
      </c>
      <c r="N418" s="12">
        <f>(Tabla1[[#This Row],[Lista 2 (30%)]]-Tabla1[[#This Row],[PrecioFábrica]])/Tabla1[[#This Row],[Lista 2 (30%)]]</f>
        <v>0.57714796542699043</v>
      </c>
      <c r="O418" s="12">
        <f>(Tabla1[[#This Row],[Lista 3 (40%)]]-Tabla1[[#This Row],[PrecioFábrica]])/Tabla1[[#This Row],[Lista 3 (40%)]]</f>
        <v>0.5066726263314888</v>
      </c>
    </row>
    <row r="419" spans="1:15">
      <c r="A419" t="s">
        <v>6</v>
      </c>
      <c r="B419" t="s">
        <v>428</v>
      </c>
      <c r="C419" t="s">
        <v>1230</v>
      </c>
      <c r="D419" t="s">
        <v>811</v>
      </c>
      <c r="E419" t="s">
        <v>5</v>
      </c>
      <c r="F419" s="3">
        <v>20.933333333333334</v>
      </c>
      <c r="G419" s="10">
        <f>VLOOKUP(Tabla1[[#This Row],[Código Unificador]],PRECIOS_COMPETENCIA!B:D,3,FALSE)</f>
        <v>71.920800000000014</v>
      </c>
      <c r="H419" s="10">
        <f>Tabla1[[#This Row],[PVP Competencia]]*0.98</f>
        <v>70.48238400000001</v>
      </c>
      <c r="I419" s="10">
        <f>Tabla1[[#This Row],[Precio Lista CDR]]*0.8</f>
        <v>56.385907200000013</v>
      </c>
      <c r="J419" s="10">
        <f>Tabla1[[#This Row],[Precio Lista CDR]]*0.7</f>
        <v>49.337668800000003</v>
      </c>
      <c r="K419" s="10">
        <f>Tabla1[[#This Row],[Precio Lista CDR]]*0.6</f>
        <v>42.289430400000008</v>
      </c>
      <c r="L419" s="12">
        <f>(Tabla1[[#This Row],[Precio Lista CDR]]-Tabla1[[#This Row],[PrecioFábrica]])/Tabla1[[#This Row],[Precio Lista CDR]]</f>
        <v>0.70299907373545523</v>
      </c>
      <c r="M419" s="12">
        <f>(Tabla1[[#This Row],[Lista 1 (20%)]]-Tabla1[[#This Row],[PrecioFábrica]])/Tabla1[[#This Row],[Lista 1 (20%)]]</f>
        <v>0.62874884216931914</v>
      </c>
      <c r="N419" s="12">
        <f>(Tabla1[[#This Row],[Lista 2 (30%)]]-Tabla1[[#This Row],[PrecioFábrica]])/Tabla1[[#This Row],[Lista 2 (30%)]]</f>
        <v>0.57571296247922166</v>
      </c>
      <c r="O419" s="12">
        <f>(Tabla1[[#This Row],[Lista 3 (40%)]]-Tabla1[[#This Row],[PrecioFábrica]])/Tabla1[[#This Row],[Lista 3 (40%)]]</f>
        <v>0.50499845622575867</v>
      </c>
    </row>
    <row r="420" spans="1:15">
      <c r="A420" t="s">
        <v>9</v>
      </c>
      <c r="B420" t="s">
        <v>429</v>
      </c>
      <c r="C420" t="s">
        <v>1231</v>
      </c>
      <c r="D420" t="s">
        <v>811</v>
      </c>
      <c r="E420" t="s">
        <v>5</v>
      </c>
      <c r="F420" s="3">
        <v>37.708333333333336</v>
      </c>
      <c r="G420" s="10">
        <f>VLOOKUP(Tabla1[[#This Row],[Código Unificador]],PRECIOS_COMPETENCIA!B:D,3,FALSE)</f>
        <v>133.72833333333335</v>
      </c>
      <c r="H420" s="10">
        <f>Tabla1[[#This Row],[PVP Competencia]]*0.98</f>
        <v>131.05376666666669</v>
      </c>
      <c r="I420" s="10">
        <f>Tabla1[[#This Row],[Precio Lista CDR]]*0.8</f>
        <v>104.84301333333336</v>
      </c>
      <c r="J420" s="10">
        <f>Tabla1[[#This Row],[Precio Lista CDR]]*0.7</f>
        <v>91.737636666666674</v>
      </c>
      <c r="K420" s="10">
        <f>Tabla1[[#This Row],[Precio Lista CDR]]*0.6</f>
        <v>78.632260000000016</v>
      </c>
      <c r="L420" s="12">
        <f>(Tabla1[[#This Row],[Precio Lista CDR]]-Tabla1[[#This Row],[PrecioFábrica]])/Tabla1[[#This Row],[Precio Lista CDR]]</f>
        <v>0.71226822171968607</v>
      </c>
      <c r="M420" s="12">
        <f>(Tabla1[[#This Row],[Lista 1 (20%)]]-Tabla1[[#This Row],[PrecioFábrica]])/Tabla1[[#This Row],[Lista 1 (20%)]]</f>
        <v>0.6403352771496077</v>
      </c>
      <c r="N420" s="12">
        <f>(Tabla1[[#This Row],[Lista 2 (30%)]]-Tabla1[[#This Row],[PrecioFábrica]])/Tabla1[[#This Row],[Lista 2 (30%)]]</f>
        <v>0.5889546024566944</v>
      </c>
      <c r="O420" s="12">
        <f>(Tabla1[[#This Row],[Lista 3 (40%)]]-Tabla1[[#This Row],[PrecioFábrica]])/Tabla1[[#This Row],[Lista 3 (40%)]]</f>
        <v>0.52044703619947685</v>
      </c>
    </row>
    <row r="421" spans="1:15">
      <c r="A421" t="s">
        <v>9</v>
      </c>
      <c r="B421" t="s">
        <v>430</v>
      </c>
      <c r="C421" t="s">
        <v>1232</v>
      </c>
      <c r="D421" t="s">
        <v>811</v>
      </c>
      <c r="E421" t="s">
        <v>5</v>
      </c>
      <c r="F421" s="3">
        <v>45.225000000000001</v>
      </c>
      <c r="G421" s="10">
        <f>VLOOKUP(Tabla1[[#This Row],[Código Unificador]],PRECIOS_COMPETENCIA!B:D,3,FALSE)</f>
        <v>160.33317500000001</v>
      </c>
      <c r="H421" s="10">
        <f>Tabla1[[#This Row],[PVP Competencia]]*0.98</f>
        <v>157.12651150000002</v>
      </c>
      <c r="I421" s="10">
        <f>Tabla1[[#This Row],[Precio Lista CDR]]*0.8</f>
        <v>125.70120920000002</v>
      </c>
      <c r="J421" s="10">
        <f>Tabla1[[#This Row],[Precio Lista CDR]]*0.7</f>
        <v>109.98855805000001</v>
      </c>
      <c r="K421" s="10">
        <f>Tabla1[[#This Row],[Precio Lista CDR]]*0.6</f>
        <v>94.27590690000001</v>
      </c>
      <c r="L421" s="12">
        <f>(Tabla1[[#This Row],[Precio Lista CDR]]-Tabla1[[#This Row],[PrecioFábrica]])/Tabla1[[#This Row],[Precio Lista CDR]]</f>
        <v>0.71217460651126341</v>
      </c>
      <c r="M421" s="12">
        <f>(Tabla1[[#This Row],[Lista 1 (20%)]]-Tabla1[[#This Row],[PrecioFábrica]])/Tabla1[[#This Row],[Lista 1 (20%)]]</f>
        <v>0.64021825813907929</v>
      </c>
      <c r="N421" s="12">
        <f>(Tabla1[[#This Row],[Lista 2 (30%)]]-Tabla1[[#This Row],[PrecioFábrica]])/Tabla1[[#This Row],[Lista 2 (30%)]]</f>
        <v>0.58882086644466192</v>
      </c>
      <c r="O421" s="12">
        <f>(Tabla1[[#This Row],[Lista 3 (40%)]]-Tabla1[[#This Row],[PrecioFábrica]])/Tabla1[[#This Row],[Lista 3 (40%)]]</f>
        <v>0.52029101085210572</v>
      </c>
    </row>
    <row r="422" spans="1:15">
      <c r="A422" t="s">
        <v>9</v>
      </c>
      <c r="B422" t="s">
        <v>431</v>
      </c>
      <c r="C422" t="s">
        <v>1233</v>
      </c>
      <c r="D422" t="s">
        <v>811</v>
      </c>
      <c r="E422" t="s">
        <v>5</v>
      </c>
      <c r="F422" s="3">
        <v>55.524999999999999</v>
      </c>
      <c r="G422" s="10">
        <f>VLOOKUP(Tabla1[[#This Row],[Código Unificador]],PRECIOS_COMPETENCIA!B:D,3,FALSE)</f>
        <v>192.29407499999999</v>
      </c>
      <c r="H422" s="10">
        <f>Tabla1[[#This Row],[PVP Competencia]]*0.98</f>
        <v>188.4481935</v>
      </c>
      <c r="I422" s="10">
        <f>Tabla1[[#This Row],[Precio Lista CDR]]*0.8</f>
        <v>150.75855480000001</v>
      </c>
      <c r="J422" s="10">
        <f>Tabla1[[#This Row],[Precio Lista CDR]]*0.7</f>
        <v>131.91373544999999</v>
      </c>
      <c r="K422" s="10">
        <f>Tabla1[[#This Row],[Precio Lista CDR]]*0.6</f>
        <v>113.0689161</v>
      </c>
      <c r="L422" s="12">
        <f>(Tabla1[[#This Row],[Precio Lista CDR]]-Tabla1[[#This Row],[PrecioFábrica]])/Tabla1[[#This Row],[Precio Lista CDR]]</f>
        <v>0.70535668732743784</v>
      </c>
      <c r="M422" s="12">
        <f>(Tabla1[[#This Row],[Lista 1 (20%)]]-Tabla1[[#This Row],[PrecioFábrica]])/Tabla1[[#This Row],[Lista 1 (20%)]]</f>
        <v>0.63169585915929727</v>
      </c>
      <c r="N422" s="12">
        <f>(Tabla1[[#This Row],[Lista 2 (30%)]]-Tabla1[[#This Row],[PrecioFábrica]])/Tabla1[[#This Row],[Lista 2 (30%)]]</f>
        <v>0.57908098189633972</v>
      </c>
      <c r="O422" s="12">
        <f>(Tabla1[[#This Row],[Lista 3 (40%)]]-Tabla1[[#This Row],[PrecioFábrica]])/Tabla1[[#This Row],[Lista 3 (40%)]]</f>
        <v>0.50892781221239636</v>
      </c>
    </row>
    <row r="423" spans="1:15">
      <c r="A423" t="s">
        <v>6</v>
      </c>
      <c r="B423" t="s">
        <v>432</v>
      </c>
      <c r="C423" t="s">
        <v>1234</v>
      </c>
      <c r="D423" t="s">
        <v>811</v>
      </c>
      <c r="E423" t="s">
        <v>5</v>
      </c>
      <c r="F423" s="3">
        <v>82.5</v>
      </c>
      <c r="G423" s="10">
        <f>VLOOKUP(Tabla1[[#This Row],[Código Unificador]],PRECIOS_COMPETENCIA!B:D,3,FALSE)</f>
        <v>293.60500000000002</v>
      </c>
      <c r="H423" s="10">
        <f>Tabla1[[#This Row],[PVP Competencia]]*0.98</f>
        <v>287.73290000000003</v>
      </c>
      <c r="I423" s="10">
        <f>Tabla1[[#This Row],[Precio Lista CDR]]*0.8</f>
        <v>230.18632000000002</v>
      </c>
      <c r="J423" s="10">
        <f>Tabla1[[#This Row],[Precio Lista CDR]]*0.7</f>
        <v>201.41303000000002</v>
      </c>
      <c r="K423" s="10">
        <f>Tabla1[[#This Row],[Precio Lista CDR]]*0.6</f>
        <v>172.63974000000002</v>
      </c>
      <c r="L423" s="12">
        <f>(Tabla1[[#This Row],[Precio Lista CDR]]-Tabla1[[#This Row],[PrecioFábrica]])/Tabla1[[#This Row],[Precio Lista CDR]]</f>
        <v>0.71327574983604591</v>
      </c>
      <c r="M423" s="12">
        <f>(Tabla1[[#This Row],[Lista 1 (20%)]]-Tabla1[[#This Row],[PrecioFábrica]])/Tabla1[[#This Row],[Lista 1 (20%)]]</f>
        <v>0.64159468729505731</v>
      </c>
      <c r="N423" s="12">
        <f>(Tabla1[[#This Row],[Lista 2 (30%)]]-Tabla1[[#This Row],[PrecioFábrica]])/Tabla1[[#This Row],[Lista 2 (30%)]]</f>
        <v>0.59039392833720838</v>
      </c>
      <c r="O423" s="12">
        <f>(Tabla1[[#This Row],[Lista 3 (40%)]]-Tabla1[[#This Row],[PrecioFábrica]])/Tabla1[[#This Row],[Lista 3 (40%)]]</f>
        <v>0.52212624972674315</v>
      </c>
    </row>
    <row r="424" spans="1:15">
      <c r="A424" t="s">
        <v>9</v>
      </c>
      <c r="B424" t="s">
        <v>433</v>
      </c>
      <c r="C424" t="s">
        <v>1235</v>
      </c>
      <c r="D424" t="s">
        <v>811</v>
      </c>
      <c r="E424" t="s">
        <v>5</v>
      </c>
      <c r="F424" s="3">
        <v>37.633333333333333</v>
      </c>
      <c r="G424" s="10">
        <f>VLOOKUP(Tabla1[[#This Row],[Código Unificador]],PRECIOS_COMPETENCIA!B:D,3,FALSE)</f>
        <v>136.77623333333332</v>
      </c>
      <c r="H424" s="10">
        <f>Tabla1[[#This Row],[PVP Competencia]]*0.98</f>
        <v>134.04070866666666</v>
      </c>
      <c r="I424" s="10">
        <f>Tabla1[[#This Row],[Precio Lista CDR]]*0.8</f>
        <v>107.23256693333333</v>
      </c>
      <c r="J424" s="10">
        <f>Tabla1[[#This Row],[Precio Lista CDR]]*0.7</f>
        <v>93.828496066666659</v>
      </c>
      <c r="K424" s="10">
        <f>Tabla1[[#This Row],[Precio Lista CDR]]*0.6</f>
        <v>80.424425199999988</v>
      </c>
      <c r="L424" s="12">
        <f>(Tabla1[[#This Row],[Precio Lista CDR]]-Tabla1[[#This Row],[PrecioFábrica]])/Tabla1[[#This Row],[Precio Lista CDR]]</f>
        <v>0.71923952277124892</v>
      </c>
      <c r="M424" s="12">
        <f>(Tabla1[[#This Row],[Lista 1 (20%)]]-Tabla1[[#This Row],[PrecioFábrica]])/Tabla1[[#This Row],[Lista 1 (20%)]]</f>
        <v>0.64904940346406104</v>
      </c>
      <c r="N424" s="12">
        <f>(Tabla1[[#This Row],[Lista 2 (30%)]]-Tabla1[[#This Row],[PrecioFábrica]])/Tabla1[[#This Row],[Lista 2 (30%)]]</f>
        <v>0.5989136039589269</v>
      </c>
      <c r="O424" s="12">
        <f>(Tabla1[[#This Row],[Lista 3 (40%)]]-Tabla1[[#This Row],[PrecioFábrica]])/Tabla1[[#This Row],[Lista 3 (40%)]]</f>
        <v>0.53206587128541472</v>
      </c>
    </row>
    <row r="425" spans="1:15">
      <c r="A425" t="s">
        <v>9</v>
      </c>
      <c r="B425" t="s">
        <v>434</v>
      </c>
      <c r="C425" t="s">
        <v>1236</v>
      </c>
      <c r="D425" t="s">
        <v>811</v>
      </c>
      <c r="E425" t="s">
        <v>5</v>
      </c>
      <c r="F425" s="3">
        <v>24.966666666666669</v>
      </c>
      <c r="G425" s="10">
        <f>VLOOKUP(Tabla1[[#This Row],[Código Unificador]],PRECIOS_COMPETENCIA!B:D,3,FALSE)</f>
        <v>94.575433333333336</v>
      </c>
      <c r="H425" s="10">
        <f>Tabla1[[#This Row],[PVP Competencia]]*0.98</f>
        <v>92.68392466666667</v>
      </c>
      <c r="I425" s="10">
        <f>Tabla1[[#This Row],[Precio Lista CDR]]*0.8</f>
        <v>74.147139733333333</v>
      </c>
      <c r="J425" s="10">
        <f>Tabla1[[#This Row],[Precio Lista CDR]]*0.7</f>
        <v>64.878747266666664</v>
      </c>
      <c r="K425" s="10">
        <f>Tabla1[[#This Row],[Precio Lista CDR]]*0.6</f>
        <v>55.610354800000003</v>
      </c>
      <c r="L425" s="12">
        <f>(Tabla1[[#This Row],[Precio Lista CDR]]-Tabla1[[#This Row],[PrecioFábrica]])/Tabla1[[#This Row],[Precio Lista CDR]]</f>
        <v>0.73062570713898767</v>
      </c>
      <c r="M425" s="12">
        <f>(Tabla1[[#This Row],[Lista 1 (20%)]]-Tabla1[[#This Row],[PrecioFábrica]])/Tabla1[[#This Row],[Lista 1 (20%)]]</f>
        <v>0.66328213392373458</v>
      </c>
      <c r="N425" s="12">
        <f>(Tabla1[[#This Row],[Lista 2 (30%)]]-Tabla1[[#This Row],[PrecioFábrica]])/Tabla1[[#This Row],[Lista 2 (30%)]]</f>
        <v>0.61517958162712527</v>
      </c>
      <c r="O425" s="12">
        <f>(Tabla1[[#This Row],[Lista 3 (40%)]]-Tabla1[[#This Row],[PrecioFábrica]])/Tabla1[[#This Row],[Lista 3 (40%)]]</f>
        <v>0.55104284523164615</v>
      </c>
    </row>
    <row r="426" spans="1:15">
      <c r="A426" t="s">
        <v>6</v>
      </c>
      <c r="B426" t="s">
        <v>435</v>
      </c>
      <c r="C426" t="s">
        <v>1237</v>
      </c>
      <c r="D426" t="s">
        <v>811</v>
      </c>
      <c r="E426" t="s">
        <v>5</v>
      </c>
      <c r="F426" s="3">
        <v>46.108333333333334</v>
      </c>
      <c r="G426" s="10">
        <f>VLOOKUP(Tabla1[[#This Row],[Código Unificador]],PRECIOS_COMPETENCIA!B:D,3,FALSE)</f>
        <v>160.39987500000001</v>
      </c>
      <c r="H426" s="10">
        <f>Tabla1[[#This Row],[PVP Competencia]]*0.98</f>
        <v>157.1918775</v>
      </c>
      <c r="I426" s="10">
        <f>Tabla1[[#This Row],[Precio Lista CDR]]*0.8</f>
        <v>125.75350200000001</v>
      </c>
      <c r="J426" s="10">
        <f>Tabla1[[#This Row],[Precio Lista CDR]]*0.7</f>
        <v>110.03431424999999</v>
      </c>
      <c r="K426" s="10">
        <f>Tabla1[[#This Row],[Precio Lista CDR]]*0.6</f>
        <v>94.315126500000005</v>
      </c>
      <c r="L426" s="12">
        <f>(Tabla1[[#This Row],[Precio Lista CDR]]-Tabla1[[#This Row],[PrecioFábrica]])/Tabla1[[#This Row],[Precio Lista CDR]]</f>
        <v>0.70667483545176601</v>
      </c>
      <c r="M426" s="12">
        <f>(Tabla1[[#This Row],[Lista 1 (20%)]]-Tabla1[[#This Row],[PrecioFábrica]])/Tabla1[[#This Row],[Lista 1 (20%)]]</f>
        <v>0.63334354431470763</v>
      </c>
      <c r="N426" s="12">
        <f>(Tabla1[[#This Row],[Lista 2 (30%)]]-Tabla1[[#This Row],[PrecioFábrica]])/Tabla1[[#This Row],[Lista 2 (30%)]]</f>
        <v>0.58096405064538004</v>
      </c>
      <c r="O426" s="12">
        <f>(Tabla1[[#This Row],[Lista 3 (40%)]]-Tabla1[[#This Row],[PrecioFábrica]])/Tabla1[[#This Row],[Lista 3 (40%)]]</f>
        <v>0.51112472575294343</v>
      </c>
    </row>
    <row r="427" spans="1:15">
      <c r="A427" t="s">
        <v>7</v>
      </c>
      <c r="B427" t="s">
        <v>436</v>
      </c>
      <c r="C427" t="s">
        <v>1238</v>
      </c>
      <c r="D427" t="s">
        <v>811</v>
      </c>
      <c r="E427" t="s">
        <v>5</v>
      </c>
      <c r="F427" s="3">
        <v>5.3583333333333334</v>
      </c>
      <c r="G427" s="10">
        <f>VLOOKUP(Tabla1[[#This Row],[Código Unificador]],PRECIOS_COMPETENCIA!B:D,3,FALSE)</f>
        <v>26.005341666666666</v>
      </c>
      <c r="H427" s="10">
        <f>Tabla1[[#This Row],[PVP Competencia]]*0.98</f>
        <v>25.485234833333333</v>
      </c>
      <c r="I427" s="10">
        <f>Tabla1[[#This Row],[Precio Lista CDR]]*0.8</f>
        <v>20.388187866666669</v>
      </c>
      <c r="J427" s="10">
        <f>Tabla1[[#This Row],[Precio Lista CDR]]*0.7</f>
        <v>17.839664383333332</v>
      </c>
      <c r="K427" s="10">
        <f>Tabla1[[#This Row],[Precio Lista CDR]]*0.6</f>
        <v>15.291140899999998</v>
      </c>
      <c r="L427" s="12">
        <f>(Tabla1[[#This Row],[Precio Lista CDR]]-Tabla1[[#This Row],[PrecioFábrica]])/Tabla1[[#This Row],[Precio Lista CDR]]</f>
        <v>0.7897475393742529</v>
      </c>
      <c r="M427" s="12">
        <f>(Tabla1[[#This Row],[Lista 1 (20%)]]-Tabla1[[#This Row],[PrecioFábrica]])/Tabla1[[#This Row],[Lista 1 (20%)]]</f>
        <v>0.73718442421781616</v>
      </c>
      <c r="N427" s="12">
        <f>(Tabla1[[#This Row],[Lista 2 (30%)]]-Tabla1[[#This Row],[PrecioFábrica]])/Tabla1[[#This Row],[Lista 2 (30%)]]</f>
        <v>0.69963934196321842</v>
      </c>
      <c r="O427" s="12">
        <f>(Tabla1[[#This Row],[Lista 3 (40%)]]-Tabla1[[#This Row],[PrecioFábrica]])/Tabla1[[#This Row],[Lista 3 (40%)]]</f>
        <v>0.64957923229042147</v>
      </c>
    </row>
    <row r="428" spans="1:15">
      <c r="A428" t="s">
        <v>7</v>
      </c>
      <c r="B428" t="s">
        <v>437</v>
      </c>
      <c r="C428" t="s">
        <v>1239</v>
      </c>
      <c r="D428" t="s">
        <v>811</v>
      </c>
      <c r="E428" t="s">
        <v>5</v>
      </c>
      <c r="F428" s="3">
        <v>6.8833333333333337</v>
      </c>
      <c r="G428" s="10">
        <f>VLOOKUP(Tabla1[[#This Row],[Código Unificador]],PRECIOS_COMPETENCIA!B:D,3,FALSE)</f>
        <v>30.760133333333336</v>
      </c>
      <c r="H428" s="10">
        <f>Tabla1[[#This Row],[PVP Competencia]]*0.98</f>
        <v>30.144930666666667</v>
      </c>
      <c r="I428" s="10">
        <f>Tabla1[[#This Row],[Precio Lista CDR]]*0.8</f>
        <v>24.115944533333334</v>
      </c>
      <c r="J428" s="10">
        <f>Tabla1[[#This Row],[Precio Lista CDR]]*0.7</f>
        <v>21.101451466666667</v>
      </c>
      <c r="K428" s="10">
        <f>Tabla1[[#This Row],[Precio Lista CDR]]*0.6</f>
        <v>18.0869584</v>
      </c>
      <c r="L428" s="12">
        <f>(Tabla1[[#This Row],[Precio Lista CDR]]-Tabla1[[#This Row],[PrecioFábrica]])/Tabla1[[#This Row],[Precio Lista CDR]]</f>
        <v>0.77165867755852191</v>
      </c>
      <c r="M428" s="12">
        <f>(Tabla1[[#This Row],[Lista 1 (20%)]]-Tabla1[[#This Row],[PrecioFábrica]])/Tabla1[[#This Row],[Lista 1 (20%)]]</f>
        <v>0.71457334694815244</v>
      </c>
      <c r="N428" s="12">
        <f>(Tabla1[[#This Row],[Lista 2 (30%)]]-Tabla1[[#This Row],[PrecioFábrica]])/Tabla1[[#This Row],[Lista 2 (30%)]]</f>
        <v>0.67379811079788854</v>
      </c>
      <c r="O428" s="12">
        <f>(Tabla1[[#This Row],[Lista 3 (40%)]]-Tabla1[[#This Row],[PrecioFábrica]])/Tabla1[[#This Row],[Lista 3 (40%)]]</f>
        <v>0.6194311292642033</v>
      </c>
    </row>
    <row r="429" spans="1:15">
      <c r="A429" t="s">
        <v>7</v>
      </c>
      <c r="B429" t="s">
        <v>438</v>
      </c>
      <c r="C429" t="s">
        <v>1240</v>
      </c>
      <c r="D429" t="s">
        <v>811</v>
      </c>
      <c r="E429" t="s">
        <v>5</v>
      </c>
      <c r="F429" s="3">
        <v>6.3083333333333336</v>
      </c>
      <c r="G429" s="10">
        <f>VLOOKUP(Tabla1[[#This Row],[Código Unificador]],PRECIOS_COMPETENCIA!B:D,3,FALSE)</f>
        <v>29.574758333333332</v>
      </c>
      <c r="H429" s="10">
        <f>Tabla1[[#This Row],[PVP Competencia]]*0.98</f>
        <v>28.983263166666664</v>
      </c>
      <c r="I429" s="10">
        <f>Tabla1[[#This Row],[Precio Lista CDR]]*0.8</f>
        <v>23.186610533333333</v>
      </c>
      <c r="J429" s="10">
        <f>Tabla1[[#This Row],[Precio Lista CDR]]*0.7</f>
        <v>20.288284216666664</v>
      </c>
      <c r="K429" s="10">
        <f>Tabla1[[#This Row],[Precio Lista CDR]]*0.6</f>
        <v>17.389957899999999</v>
      </c>
      <c r="L429" s="12">
        <f>(Tabla1[[#This Row],[Precio Lista CDR]]-Tabla1[[#This Row],[PrecioFábrica]])/Tabla1[[#This Row],[Precio Lista CDR]]</f>
        <v>0.78234564903690762</v>
      </c>
      <c r="M429" s="12">
        <f>(Tabla1[[#This Row],[Lista 1 (20%)]]-Tabla1[[#This Row],[PrecioFábrica]])/Tabla1[[#This Row],[Lista 1 (20%)]]</f>
        <v>0.72793206129613452</v>
      </c>
      <c r="N429" s="12">
        <f>(Tabla1[[#This Row],[Lista 2 (30%)]]-Tabla1[[#This Row],[PrecioFábrica]])/Tabla1[[#This Row],[Lista 2 (30%)]]</f>
        <v>0.68906521290986811</v>
      </c>
      <c r="O429" s="12">
        <f>(Tabla1[[#This Row],[Lista 3 (40%)]]-Tabla1[[#This Row],[PrecioFábrica]])/Tabla1[[#This Row],[Lista 3 (40%)]]</f>
        <v>0.63724274839484607</v>
      </c>
    </row>
    <row r="430" spans="1:15">
      <c r="A430" t="s">
        <v>6</v>
      </c>
      <c r="B430" t="s">
        <v>439</v>
      </c>
      <c r="C430" t="s">
        <v>1241</v>
      </c>
      <c r="D430" t="s">
        <v>811</v>
      </c>
      <c r="E430" t="s">
        <v>5</v>
      </c>
      <c r="F430" s="3">
        <v>7.458333333333333</v>
      </c>
      <c r="G430" s="10">
        <f>VLOOKUP(Tabla1[[#This Row],[Código Unificador]],PRECIOS_COMPETENCIA!B:D,3,FALSE)</f>
        <v>32.061750000000004</v>
      </c>
      <c r="H430" s="10">
        <f>Tabla1[[#This Row],[PVP Competencia]]*0.98</f>
        <v>31.420515000000002</v>
      </c>
      <c r="I430" s="10">
        <f>Tabla1[[#This Row],[Precio Lista CDR]]*0.8</f>
        <v>25.136412000000004</v>
      </c>
      <c r="J430" s="10">
        <f>Tabla1[[#This Row],[Precio Lista CDR]]*0.7</f>
        <v>21.994360499999999</v>
      </c>
      <c r="K430" s="10">
        <f>Tabla1[[#This Row],[Precio Lista CDR]]*0.6</f>
        <v>18.852309000000002</v>
      </c>
      <c r="L430" s="12">
        <f>(Tabla1[[#This Row],[Precio Lista CDR]]-Tabla1[[#This Row],[PrecioFábrica]])/Tabla1[[#This Row],[Precio Lista CDR]]</f>
        <v>0.76262854592506424</v>
      </c>
      <c r="M430" s="12">
        <f>(Tabla1[[#This Row],[Lista 1 (20%)]]-Tabla1[[#This Row],[PrecioFábrica]])/Tabla1[[#This Row],[Lista 1 (20%)]]</f>
        <v>0.70328568240633027</v>
      </c>
      <c r="N430" s="12">
        <f>(Tabla1[[#This Row],[Lista 2 (30%)]]-Tabla1[[#This Row],[PrecioFábrica]])/Tabla1[[#This Row],[Lista 2 (30%)]]</f>
        <v>0.66089792275009163</v>
      </c>
      <c r="O430" s="12">
        <f>(Tabla1[[#This Row],[Lista 3 (40%)]]-Tabla1[[#This Row],[PrecioFábrica]])/Tabla1[[#This Row],[Lista 3 (40%)]]</f>
        <v>0.60438090987510695</v>
      </c>
    </row>
    <row r="431" spans="1:15">
      <c r="A431" t="s">
        <v>6</v>
      </c>
      <c r="B431" t="s">
        <v>440</v>
      </c>
      <c r="C431" t="s">
        <v>1242</v>
      </c>
      <c r="D431" t="s">
        <v>811</v>
      </c>
      <c r="E431" t="s">
        <v>5</v>
      </c>
      <c r="F431" s="3">
        <v>8.0166666666666675</v>
      </c>
      <c r="G431" s="10">
        <f>VLOOKUP(Tabla1[[#This Row],[Código Unificador]],PRECIOS_COMPETENCIA!B:D,3,FALSE)</f>
        <v>34.178266666666673</v>
      </c>
      <c r="H431" s="10">
        <f>Tabla1[[#This Row],[PVP Competencia]]*0.98</f>
        <v>33.494701333333339</v>
      </c>
      <c r="I431" s="10">
        <f>Tabla1[[#This Row],[Precio Lista CDR]]*0.8</f>
        <v>26.795761066666671</v>
      </c>
      <c r="J431" s="10">
        <f>Tabla1[[#This Row],[Precio Lista CDR]]*0.7</f>
        <v>23.446290933333337</v>
      </c>
      <c r="K431" s="10">
        <f>Tabla1[[#This Row],[Precio Lista CDR]]*0.6</f>
        <v>20.096820800000003</v>
      </c>
      <c r="L431" s="12">
        <f>(Tabla1[[#This Row],[Precio Lista CDR]]-Tabla1[[#This Row],[PrecioFábrica]])/Tabla1[[#This Row],[Precio Lista CDR]]</f>
        <v>0.76065866099577306</v>
      </c>
      <c r="M431" s="12">
        <f>(Tabla1[[#This Row],[Lista 1 (20%)]]-Tabla1[[#This Row],[PrecioFábrica]])/Tabla1[[#This Row],[Lista 1 (20%)]]</f>
        <v>0.70082332624471633</v>
      </c>
      <c r="N431" s="12">
        <f>(Tabla1[[#This Row],[Lista 2 (30%)]]-Tabla1[[#This Row],[PrecioFábrica]])/Tabla1[[#This Row],[Lista 2 (30%)]]</f>
        <v>0.65808380142253287</v>
      </c>
      <c r="O431" s="12">
        <f>(Tabla1[[#This Row],[Lista 3 (40%)]]-Tabla1[[#This Row],[PrecioFábrica]])/Tabla1[[#This Row],[Lista 3 (40%)]]</f>
        <v>0.60109776832628836</v>
      </c>
    </row>
    <row r="432" spans="1:15">
      <c r="A432" t="s">
        <v>9</v>
      </c>
      <c r="B432" t="s">
        <v>441</v>
      </c>
      <c r="C432" t="s">
        <v>1243</v>
      </c>
      <c r="D432" t="s">
        <v>811</v>
      </c>
      <c r="E432" t="s">
        <v>5</v>
      </c>
      <c r="F432" s="3">
        <v>7.4749999999999996</v>
      </c>
      <c r="G432" s="10">
        <f>VLOOKUP(Tabla1[[#This Row],[Código Unificador]],PRECIOS_COMPETENCIA!B:D,3,FALSE)</f>
        <v>32.978149999999999</v>
      </c>
      <c r="H432" s="10">
        <f>Tabla1[[#This Row],[PVP Competencia]]*0.98</f>
        <v>32.318587000000001</v>
      </c>
      <c r="I432" s="10">
        <f>Tabla1[[#This Row],[Precio Lista CDR]]*0.8</f>
        <v>25.854869600000001</v>
      </c>
      <c r="J432" s="10">
        <f>Tabla1[[#This Row],[Precio Lista CDR]]*0.7</f>
        <v>22.623010900000001</v>
      </c>
      <c r="K432" s="10">
        <f>Tabla1[[#This Row],[Precio Lista CDR]]*0.6</f>
        <v>19.391152200000001</v>
      </c>
      <c r="L432" s="12">
        <f>(Tabla1[[#This Row],[Precio Lista CDR]]-Tabla1[[#This Row],[PrecioFábrica]])/Tabla1[[#This Row],[Precio Lista CDR]]</f>
        <v>0.76870894757867969</v>
      </c>
      <c r="M432" s="12">
        <f>(Tabla1[[#This Row],[Lista 1 (20%)]]-Tabla1[[#This Row],[PrecioFábrica]])/Tabla1[[#This Row],[Lista 1 (20%)]]</f>
        <v>0.71088618447334961</v>
      </c>
      <c r="N432" s="12">
        <f>(Tabla1[[#This Row],[Lista 2 (30%)]]-Tabla1[[#This Row],[PrecioFábrica]])/Tabla1[[#This Row],[Lista 2 (30%)]]</f>
        <v>0.66958421082668529</v>
      </c>
      <c r="O432" s="12">
        <f>(Tabla1[[#This Row],[Lista 3 (40%)]]-Tabla1[[#This Row],[PrecioFábrica]])/Tabla1[[#This Row],[Lista 3 (40%)]]</f>
        <v>0.61451491263113289</v>
      </c>
    </row>
    <row r="433" spans="1:15">
      <c r="A433" t="s">
        <v>6</v>
      </c>
      <c r="B433" t="s">
        <v>442</v>
      </c>
      <c r="C433" t="s">
        <v>1244</v>
      </c>
      <c r="D433" t="s">
        <v>811</v>
      </c>
      <c r="E433" t="s">
        <v>5</v>
      </c>
      <c r="F433" s="3">
        <v>7.7333333333333343</v>
      </c>
      <c r="G433" s="10">
        <f>VLOOKUP(Tabla1[[#This Row],[Código Unificador]],PRECIOS_COMPETENCIA!B:D,3,FALSE)</f>
        <v>33.323733333333337</v>
      </c>
      <c r="H433" s="10">
        <f>Tabla1[[#This Row],[PVP Competencia]]*0.98</f>
        <v>32.657258666666671</v>
      </c>
      <c r="I433" s="10">
        <f>Tabla1[[#This Row],[Precio Lista CDR]]*0.8</f>
        <v>26.125806933333337</v>
      </c>
      <c r="J433" s="10">
        <f>Tabla1[[#This Row],[Precio Lista CDR]]*0.7</f>
        <v>22.86008106666667</v>
      </c>
      <c r="K433" s="10">
        <f>Tabla1[[#This Row],[Precio Lista CDR]]*0.6</f>
        <v>19.594355200000003</v>
      </c>
      <c r="L433" s="12">
        <f>(Tabla1[[#This Row],[Precio Lista CDR]]-Tabla1[[#This Row],[PrecioFábrica]])/Tabla1[[#This Row],[Precio Lista CDR]]</f>
        <v>0.76319710688923303</v>
      </c>
      <c r="M433" s="12">
        <f>(Tabla1[[#This Row],[Lista 1 (20%)]]-Tabla1[[#This Row],[PrecioFábrica]])/Tabla1[[#This Row],[Lista 1 (20%)]]</f>
        <v>0.70399638361154138</v>
      </c>
      <c r="N433" s="12">
        <f>(Tabla1[[#This Row],[Lista 2 (30%)]]-Tabla1[[#This Row],[PrecioFábrica]])/Tabla1[[#This Row],[Lista 2 (30%)]]</f>
        <v>0.66171015269890443</v>
      </c>
      <c r="O433" s="12">
        <f>(Tabla1[[#This Row],[Lista 3 (40%)]]-Tabla1[[#This Row],[PrecioFábrica]])/Tabla1[[#This Row],[Lista 3 (40%)]]</f>
        <v>0.60532851148205513</v>
      </c>
    </row>
    <row r="434" spans="1:15">
      <c r="A434" t="s">
        <v>7</v>
      </c>
      <c r="B434" t="s">
        <v>443</v>
      </c>
      <c r="C434" t="s">
        <v>1245</v>
      </c>
      <c r="D434" t="s">
        <v>811</v>
      </c>
      <c r="E434" t="s">
        <v>5</v>
      </c>
      <c r="F434" s="3">
        <v>9.875</v>
      </c>
      <c r="G434" s="10">
        <f>VLOOKUP(Tabla1[[#This Row],[Código Unificador]],PRECIOS_COMPETENCIA!B:D,3,FALSE)</f>
        <v>40.069374999999994</v>
      </c>
      <c r="H434" s="10">
        <f>Tabla1[[#This Row],[PVP Competencia]]*0.98</f>
        <v>39.26798749999999</v>
      </c>
      <c r="I434" s="10">
        <f>Tabla1[[#This Row],[Precio Lista CDR]]*0.8</f>
        <v>31.414389999999994</v>
      </c>
      <c r="J434" s="10">
        <f>Tabla1[[#This Row],[Precio Lista CDR]]*0.7</f>
        <v>27.487591249999991</v>
      </c>
      <c r="K434" s="10">
        <f>Tabla1[[#This Row],[Precio Lista CDR]]*0.6</f>
        <v>23.560792499999994</v>
      </c>
      <c r="L434" s="12">
        <f>(Tabla1[[#This Row],[Precio Lista CDR]]-Tabla1[[#This Row],[PrecioFábrica]])/Tabla1[[#This Row],[Precio Lista CDR]]</f>
        <v>0.74852289030600305</v>
      </c>
      <c r="M434" s="12">
        <f>(Tabla1[[#This Row],[Lista 1 (20%)]]-Tabla1[[#This Row],[PrecioFábrica]])/Tabla1[[#This Row],[Lista 1 (20%)]]</f>
        <v>0.68565361288250382</v>
      </c>
      <c r="N434" s="12">
        <f>(Tabla1[[#This Row],[Lista 2 (30%)]]-Tabla1[[#This Row],[PrecioFábrica]])/Tabla1[[#This Row],[Lista 2 (30%)]]</f>
        <v>0.64074698615143288</v>
      </c>
      <c r="O434" s="12">
        <f>(Tabla1[[#This Row],[Lista 3 (40%)]]-Tabla1[[#This Row],[PrecioFábrica]])/Tabla1[[#This Row],[Lista 3 (40%)]]</f>
        <v>0.58087148384333831</v>
      </c>
    </row>
    <row r="435" spans="1:15">
      <c r="A435" t="s">
        <v>9</v>
      </c>
      <c r="B435" t="s">
        <v>444</v>
      </c>
      <c r="C435" t="s">
        <v>1246</v>
      </c>
      <c r="D435" t="s">
        <v>811</v>
      </c>
      <c r="E435" t="s">
        <v>5</v>
      </c>
      <c r="F435" s="3">
        <v>8.6916666666666664</v>
      </c>
      <c r="G435" s="10">
        <f>VLOOKUP(Tabla1[[#This Row],[Código Unificador]],PRECIOS_COMPETENCIA!B:D,3,FALSE)</f>
        <v>36.970241666666666</v>
      </c>
      <c r="H435" s="10">
        <f>Tabla1[[#This Row],[PVP Competencia]]*0.98</f>
        <v>36.230836833333335</v>
      </c>
      <c r="I435" s="10">
        <f>Tabla1[[#This Row],[Precio Lista CDR]]*0.8</f>
        <v>28.98466946666667</v>
      </c>
      <c r="J435" s="10">
        <f>Tabla1[[#This Row],[Precio Lista CDR]]*0.7</f>
        <v>25.361585783333332</v>
      </c>
      <c r="K435" s="10">
        <f>Tabla1[[#This Row],[Precio Lista CDR]]*0.6</f>
        <v>21.738502100000002</v>
      </c>
      <c r="L435" s="12">
        <f>(Tabla1[[#This Row],[Precio Lista CDR]]-Tabla1[[#This Row],[PrecioFábrica]])/Tabla1[[#This Row],[Precio Lista CDR]]</f>
        <v>0.76010306616296253</v>
      </c>
      <c r="M435" s="12">
        <f>(Tabla1[[#This Row],[Lista 1 (20%)]]-Tabla1[[#This Row],[PrecioFábrica]])/Tabla1[[#This Row],[Lista 1 (20%)]]</f>
        <v>0.70012883270370319</v>
      </c>
      <c r="N435" s="12">
        <f>(Tabla1[[#This Row],[Lista 2 (30%)]]-Tabla1[[#This Row],[PrecioFábrica]])/Tabla1[[#This Row],[Lista 2 (30%)]]</f>
        <v>0.65729009451851794</v>
      </c>
      <c r="O435" s="12">
        <f>(Tabla1[[#This Row],[Lista 3 (40%)]]-Tabla1[[#This Row],[PrecioFábrica]])/Tabla1[[#This Row],[Lista 3 (40%)]]</f>
        <v>0.60017177693827095</v>
      </c>
    </row>
    <row r="436" spans="1:15">
      <c r="A436" t="s">
        <v>9</v>
      </c>
      <c r="B436" t="s">
        <v>445</v>
      </c>
      <c r="C436" t="s">
        <v>1247</v>
      </c>
      <c r="D436" t="s">
        <v>811</v>
      </c>
      <c r="E436" t="s">
        <v>5</v>
      </c>
      <c r="F436" s="3">
        <v>11.633333333333335</v>
      </c>
      <c r="G436" s="10">
        <f>VLOOKUP(Tabla1[[#This Row],[Código Unificador]],PRECIOS_COMPETENCIA!B:D,3,FALSE)</f>
        <v>46.09823333333334</v>
      </c>
      <c r="H436" s="10">
        <f>Tabla1[[#This Row],[PVP Competencia]]*0.98</f>
        <v>45.176268666666672</v>
      </c>
      <c r="I436" s="10">
        <f>Tabla1[[#This Row],[Precio Lista CDR]]*0.8</f>
        <v>36.141014933333338</v>
      </c>
      <c r="J436" s="10">
        <f>Tabla1[[#This Row],[Precio Lista CDR]]*0.7</f>
        <v>31.623388066666667</v>
      </c>
      <c r="K436" s="10">
        <f>Tabla1[[#This Row],[Precio Lista CDR]]*0.6</f>
        <v>27.105761200000003</v>
      </c>
      <c r="L436" s="12">
        <f>(Tabla1[[#This Row],[Precio Lista CDR]]-Tabla1[[#This Row],[PrecioFábrica]])/Tabla1[[#This Row],[Precio Lista CDR]]</f>
        <v>0.74249016847385196</v>
      </c>
      <c r="M436" s="12">
        <f>(Tabla1[[#This Row],[Lista 1 (20%)]]-Tabla1[[#This Row],[PrecioFábrica]])/Tabla1[[#This Row],[Lista 1 (20%)]]</f>
        <v>0.67811271059231504</v>
      </c>
      <c r="N436" s="12">
        <f>(Tabla1[[#This Row],[Lista 2 (30%)]]-Tabla1[[#This Row],[PrecioFábrica]])/Tabla1[[#This Row],[Lista 2 (30%)]]</f>
        <v>0.63212881210550276</v>
      </c>
      <c r="O436" s="12">
        <f>(Tabla1[[#This Row],[Lista 3 (40%)]]-Tabla1[[#This Row],[PrecioFábrica]])/Tabla1[[#This Row],[Lista 3 (40%)]]</f>
        <v>0.57081694745641998</v>
      </c>
    </row>
    <row r="437" spans="1:15">
      <c r="A437" t="s">
        <v>6</v>
      </c>
      <c r="B437" t="s">
        <v>446</v>
      </c>
      <c r="C437" t="s">
        <v>1248</v>
      </c>
      <c r="D437" t="s">
        <v>811</v>
      </c>
      <c r="E437" t="s">
        <v>5</v>
      </c>
      <c r="F437" s="3">
        <v>11.016666666666667</v>
      </c>
      <c r="G437" s="10">
        <f>VLOOKUP(Tabla1[[#This Row],[Código Unificador]],PRECIOS_COMPETENCIA!B:D,3,FALSE)</f>
        <v>43.545750000000005</v>
      </c>
      <c r="H437" s="10">
        <f>Tabla1[[#This Row],[PVP Competencia]]*0.98</f>
        <v>42.674835000000002</v>
      </c>
      <c r="I437" s="10">
        <f>Tabla1[[#This Row],[Precio Lista CDR]]*0.8</f>
        <v>34.139868</v>
      </c>
      <c r="J437" s="10">
        <f>Tabla1[[#This Row],[Precio Lista CDR]]*0.7</f>
        <v>29.872384499999999</v>
      </c>
      <c r="K437" s="10">
        <f>Tabla1[[#This Row],[Precio Lista CDR]]*0.6</f>
        <v>25.604901000000002</v>
      </c>
      <c r="L437" s="12">
        <f>(Tabla1[[#This Row],[Precio Lista CDR]]-Tabla1[[#This Row],[PrecioFábrica]])/Tabla1[[#This Row],[Precio Lista CDR]]</f>
        <v>0.74184629731628338</v>
      </c>
      <c r="M437" s="12">
        <f>(Tabla1[[#This Row],[Lista 1 (20%)]]-Tabla1[[#This Row],[PrecioFábrica]])/Tabla1[[#This Row],[Lista 1 (20%)]]</f>
        <v>0.67730787164535422</v>
      </c>
      <c r="N437" s="12">
        <f>(Tabla1[[#This Row],[Lista 2 (30%)]]-Tabla1[[#This Row],[PrecioFábrica]])/Tabla1[[#This Row],[Lista 2 (30%)]]</f>
        <v>0.63120899616611892</v>
      </c>
      <c r="O437" s="12">
        <f>(Tabla1[[#This Row],[Lista 3 (40%)]]-Tabla1[[#This Row],[PrecioFábrica]])/Tabla1[[#This Row],[Lista 3 (40%)]]</f>
        <v>0.56974382886047215</v>
      </c>
    </row>
    <row r="438" spans="1:15">
      <c r="A438" t="s">
        <v>9</v>
      </c>
      <c r="B438" t="s">
        <v>447</v>
      </c>
      <c r="C438" t="s">
        <v>1249</v>
      </c>
      <c r="D438" t="s">
        <v>811</v>
      </c>
      <c r="E438" t="s">
        <v>5</v>
      </c>
      <c r="F438" s="3">
        <v>40.375000000000007</v>
      </c>
      <c r="G438" s="10">
        <f>VLOOKUP(Tabla1[[#This Row],[Código Unificador]],PRECIOS_COMPETENCIA!B:D,3,FALSE)</f>
        <v>142.94187500000004</v>
      </c>
      <c r="H438" s="10">
        <f>Tabla1[[#This Row],[PVP Competencia]]*0.98</f>
        <v>140.08303750000005</v>
      </c>
      <c r="I438" s="10">
        <f>Tabla1[[#This Row],[Precio Lista CDR]]*0.8</f>
        <v>112.06643000000004</v>
      </c>
      <c r="J438" s="10">
        <f>Tabla1[[#This Row],[Precio Lista CDR]]*0.7</f>
        <v>98.058126250000029</v>
      </c>
      <c r="K438" s="10">
        <f>Tabla1[[#This Row],[Precio Lista CDR]]*0.6</f>
        <v>84.049822500000019</v>
      </c>
      <c r="L438" s="12">
        <f>(Tabla1[[#This Row],[Precio Lista CDR]]-Tabla1[[#This Row],[PrecioFábrica]])/Tabla1[[#This Row],[Precio Lista CDR]]</f>
        <v>0.71177809447485751</v>
      </c>
      <c r="M438" s="12">
        <f>(Tabla1[[#This Row],[Lista 1 (20%)]]-Tabla1[[#This Row],[PrecioFábrica]])/Tabla1[[#This Row],[Lista 1 (20%)]]</f>
        <v>0.63972261809357178</v>
      </c>
      <c r="N438" s="12">
        <f>(Tabla1[[#This Row],[Lista 2 (30%)]]-Tabla1[[#This Row],[PrecioFábrica]])/Tabla1[[#This Row],[Lista 2 (30%)]]</f>
        <v>0.58825442067836786</v>
      </c>
      <c r="O438" s="12">
        <f>(Tabla1[[#This Row],[Lista 3 (40%)]]-Tabla1[[#This Row],[PrecioFábrica]])/Tabla1[[#This Row],[Lista 3 (40%)]]</f>
        <v>0.51963015745809582</v>
      </c>
    </row>
    <row r="439" spans="1:15">
      <c r="A439" t="s">
        <v>9</v>
      </c>
      <c r="B439" t="s">
        <v>448</v>
      </c>
      <c r="C439" t="s">
        <v>1250</v>
      </c>
      <c r="D439" t="s">
        <v>811</v>
      </c>
      <c r="E439" t="s">
        <v>5</v>
      </c>
      <c r="F439" s="3">
        <v>12.041666666666666</v>
      </c>
      <c r="G439" s="10">
        <f>VLOOKUP(Tabla1[[#This Row],[Código Unificador]],PRECIOS_COMPETENCIA!B:D,3,FALSE)</f>
        <v>47.714499999999994</v>
      </c>
      <c r="H439" s="10">
        <f>Tabla1[[#This Row],[PVP Competencia]]*0.98</f>
        <v>46.760209999999994</v>
      </c>
      <c r="I439" s="10">
        <f>Tabla1[[#This Row],[Precio Lista CDR]]*0.8</f>
        <v>37.408167999999996</v>
      </c>
      <c r="J439" s="10">
        <f>Tabla1[[#This Row],[Precio Lista CDR]]*0.7</f>
        <v>32.732146999999991</v>
      </c>
      <c r="K439" s="10">
        <f>Tabla1[[#This Row],[Precio Lista CDR]]*0.6</f>
        <v>28.056125999999995</v>
      </c>
      <c r="L439" s="12">
        <f>(Tabla1[[#This Row],[Precio Lista CDR]]-Tabla1[[#This Row],[PrecioFábrica]])/Tabla1[[#This Row],[Precio Lista CDR]]</f>
        <v>0.74248048358493968</v>
      </c>
      <c r="M439" s="12">
        <f>(Tabla1[[#This Row],[Lista 1 (20%)]]-Tabla1[[#This Row],[PrecioFábrica]])/Tabla1[[#This Row],[Lista 1 (20%)]]</f>
        <v>0.67810060448117471</v>
      </c>
      <c r="N439" s="12">
        <f>(Tabla1[[#This Row],[Lista 2 (30%)]]-Tabla1[[#This Row],[PrecioFábrica]])/Tabla1[[#This Row],[Lista 2 (30%)]]</f>
        <v>0.63211497654991378</v>
      </c>
      <c r="O439" s="12">
        <f>(Tabla1[[#This Row],[Lista 3 (40%)]]-Tabla1[[#This Row],[PrecioFábrica]])/Tabla1[[#This Row],[Lista 3 (40%)]]</f>
        <v>0.57080080597489935</v>
      </c>
    </row>
    <row r="440" spans="1:15">
      <c r="A440" t="s">
        <v>9</v>
      </c>
      <c r="B440" t="s">
        <v>449</v>
      </c>
      <c r="C440" t="s">
        <v>1251</v>
      </c>
      <c r="D440" t="s">
        <v>811</v>
      </c>
      <c r="E440" t="s">
        <v>5</v>
      </c>
      <c r="F440" s="3">
        <v>11.75</v>
      </c>
      <c r="G440" s="10">
        <f>VLOOKUP(Tabla1[[#This Row],[Código Unificador]],PRECIOS_COMPETENCIA!B:D,3,FALSE)</f>
        <v>46.119500000000002</v>
      </c>
      <c r="H440" s="10">
        <f>Tabla1[[#This Row],[PVP Competencia]]*0.98</f>
        <v>45.197110000000002</v>
      </c>
      <c r="I440" s="10">
        <f>Tabla1[[#This Row],[Precio Lista CDR]]*0.8</f>
        <v>36.157688</v>
      </c>
      <c r="J440" s="10">
        <f>Tabla1[[#This Row],[Precio Lista CDR]]*0.7</f>
        <v>31.637976999999999</v>
      </c>
      <c r="K440" s="10">
        <f>Tabla1[[#This Row],[Precio Lista CDR]]*0.6</f>
        <v>27.118266000000002</v>
      </c>
      <c r="L440" s="12">
        <f>(Tabla1[[#This Row],[Precio Lista CDR]]-Tabla1[[#This Row],[PrecioFábrica]])/Tabla1[[#This Row],[Precio Lista CDR]]</f>
        <v>0.74002762566013625</v>
      </c>
      <c r="M440" s="12">
        <f>(Tabla1[[#This Row],[Lista 1 (20%)]]-Tabla1[[#This Row],[PrecioFábrica]])/Tabla1[[#This Row],[Lista 1 (20%)]]</f>
        <v>0.67503453207517028</v>
      </c>
      <c r="N440" s="12">
        <f>(Tabla1[[#This Row],[Lista 2 (30%)]]-Tabla1[[#This Row],[PrecioFábrica]])/Tabla1[[#This Row],[Lista 2 (30%)]]</f>
        <v>0.62861089380019464</v>
      </c>
      <c r="O440" s="12">
        <f>(Tabla1[[#This Row],[Lista 3 (40%)]]-Tabla1[[#This Row],[PrecioFábrica]])/Tabla1[[#This Row],[Lista 3 (40%)]]</f>
        <v>0.56671270943356045</v>
      </c>
    </row>
    <row r="441" spans="1:15">
      <c r="A441" t="s">
        <v>9</v>
      </c>
      <c r="B441" t="s">
        <v>450</v>
      </c>
      <c r="C441" t="s">
        <v>1252</v>
      </c>
      <c r="D441" t="s">
        <v>811</v>
      </c>
      <c r="E441" t="s">
        <v>5</v>
      </c>
      <c r="F441" s="3">
        <v>13.35</v>
      </c>
      <c r="G441" s="10">
        <f>VLOOKUP(Tabla1[[#This Row],[Código Unificador]],PRECIOS_COMPETENCIA!B:D,3,FALSE)</f>
        <v>50.650750000000002</v>
      </c>
      <c r="H441" s="10">
        <f>Tabla1[[#This Row],[PVP Competencia]]*0.98</f>
        <v>49.637734999999999</v>
      </c>
      <c r="I441" s="10">
        <f>Tabla1[[#This Row],[Precio Lista CDR]]*0.8</f>
        <v>39.710188000000002</v>
      </c>
      <c r="J441" s="10">
        <f>Tabla1[[#This Row],[Precio Lista CDR]]*0.7</f>
        <v>34.7464145</v>
      </c>
      <c r="K441" s="10">
        <f>Tabla1[[#This Row],[Precio Lista CDR]]*0.6</f>
        <v>29.782640999999998</v>
      </c>
      <c r="L441" s="12">
        <f>(Tabla1[[#This Row],[Precio Lista CDR]]-Tabla1[[#This Row],[PrecioFábrica]])/Tabla1[[#This Row],[Precio Lista CDR]]</f>
        <v>0.73105138661141567</v>
      </c>
      <c r="M441" s="12">
        <f>(Tabla1[[#This Row],[Lista 1 (20%)]]-Tabla1[[#This Row],[PrecioFábrica]])/Tabla1[[#This Row],[Lista 1 (20%)]]</f>
        <v>0.66381423326426958</v>
      </c>
      <c r="N441" s="12">
        <f>(Tabla1[[#This Row],[Lista 2 (30%)]]-Tabla1[[#This Row],[PrecioFábrica]])/Tabla1[[#This Row],[Lista 2 (30%)]]</f>
        <v>0.6157876951591652</v>
      </c>
      <c r="O441" s="12">
        <f>(Tabla1[[#This Row],[Lista 3 (40%)]]-Tabla1[[#This Row],[PrecioFábrica]])/Tabla1[[#This Row],[Lista 3 (40%)]]</f>
        <v>0.55175231101902611</v>
      </c>
    </row>
    <row r="442" spans="1:15">
      <c r="A442" t="s">
        <v>9</v>
      </c>
      <c r="B442" t="s">
        <v>451</v>
      </c>
      <c r="C442" t="s">
        <v>1253</v>
      </c>
      <c r="D442" t="s">
        <v>811</v>
      </c>
      <c r="E442" t="s">
        <v>5</v>
      </c>
      <c r="F442" s="3">
        <v>13.008333333333333</v>
      </c>
      <c r="G442" s="10">
        <f>VLOOKUP(Tabla1[[#This Row],[Código Unificador]],PRECIOS_COMPETENCIA!B:D,3,FALSE)</f>
        <v>48.855891666666672</v>
      </c>
      <c r="H442" s="10">
        <f>Tabla1[[#This Row],[PVP Competencia]]*0.98</f>
        <v>47.878773833333341</v>
      </c>
      <c r="I442" s="10">
        <f>Tabla1[[#This Row],[Precio Lista CDR]]*0.8</f>
        <v>38.303019066666671</v>
      </c>
      <c r="J442" s="10">
        <f>Tabla1[[#This Row],[Precio Lista CDR]]*0.7</f>
        <v>33.51514168333334</v>
      </c>
      <c r="K442" s="10">
        <f>Tabla1[[#This Row],[Precio Lista CDR]]*0.6</f>
        <v>28.727264300000005</v>
      </c>
      <c r="L442" s="12">
        <f>(Tabla1[[#This Row],[Precio Lista CDR]]-Tabla1[[#This Row],[PrecioFábrica]])/Tabla1[[#This Row],[Precio Lista CDR]]</f>
        <v>0.72830688232293672</v>
      </c>
      <c r="M442" s="12">
        <f>(Tabla1[[#This Row],[Lista 1 (20%)]]-Tabla1[[#This Row],[PrecioFábrica]])/Tabla1[[#This Row],[Lista 1 (20%)]]</f>
        <v>0.66038360290367093</v>
      </c>
      <c r="N442" s="12">
        <f>(Tabla1[[#This Row],[Lista 2 (30%)]]-Tabla1[[#This Row],[PrecioFábrica]])/Tabla1[[#This Row],[Lista 2 (30%)]]</f>
        <v>0.61186697474705254</v>
      </c>
      <c r="O442" s="12">
        <f>(Tabla1[[#This Row],[Lista 3 (40%)]]-Tabla1[[#This Row],[PrecioFábrica]])/Tabla1[[#This Row],[Lista 3 (40%)]]</f>
        <v>0.54717813720489461</v>
      </c>
    </row>
    <row r="443" spans="1:15">
      <c r="A443" t="s">
        <v>9</v>
      </c>
      <c r="B443" t="s">
        <v>452</v>
      </c>
      <c r="C443" t="s">
        <v>1254</v>
      </c>
      <c r="D443" t="s">
        <v>811</v>
      </c>
      <c r="E443" t="s">
        <v>5</v>
      </c>
      <c r="F443" s="3">
        <v>17.94166666666667</v>
      </c>
      <c r="G443" s="10">
        <f>VLOOKUP(Tabla1[[#This Row],[Código Unificador]],PRECIOS_COMPETENCIA!B:D,3,FALSE)</f>
        <v>65.152683333333357</v>
      </c>
      <c r="H443" s="10">
        <f>Tabla1[[#This Row],[PVP Competencia]]*0.98</f>
        <v>63.849629666666686</v>
      </c>
      <c r="I443" s="10">
        <f>Tabla1[[#This Row],[Precio Lista CDR]]*0.8</f>
        <v>51.079703733333353</v>
      </c>
      <c r="J443" s="10">
        <f>Tabla1[[#This Row],[Precio Lista CDR]]*0.7</f>
        <v>44.694740766666676</v>
      </c>
      <c r="K443" s="10">
        <f>Tabla1[[#This Row],[Precio Lista CDR]]*0.6</f>
        <v>38.309777800000013</v>
      </c>
      <c r="L443" s="12">
        <f>(Tabla1[[#This Row],[Precio Lista CDR]]-Tabla1[[#This Row],[PrecioFábrica]])/Tabla1[[#This Row],[Precio Lista CDR]]</f>
        <v>0.71900124150550415</v>
      </c>
      <c r="M443" s="12">
        <f>(Tabla1[[#This Row],[Lista 1 (20%)]]-Tabla1[[#This Row],[PrecioFábrica]])/Tabla1[[#This Row],[Lista 1 (20%)]]</f>
        <v>0.64875155188188016</v>
      </c>
      <c r="N443" s="12">
        <f>(Tabla1[[#This Row],[Lista 2 (30%)]]-Tabla1[[#This Row],[PrecioFábrica]])/Tabla1[[#This Row],[Lista 2 (30%)]]</f>
        <v>0.59857320215072018</v>
      </c>
      <c r="O443" s="12">
        <f>(Tabla1[[#This Row],[Lista 3 (40%)]]-Tabla1[[#This Row],[PrecioFábrica]])/Tabla1[[#This Row],[Lista 3 (40%)]]</f>
        <v>0.53166873584250696</v>
      </c>
    </row>
    <row r="444" spans="1:15">
      <c r="A444" t="s">
        <v>7</v>
      </c>
      <c r="B444" t="s">
        <v>453</v>
      </c>
      <c r="C444" t="s">
        <v>1255</v>
      </c>
      <c r="D444" t="s">
        <v>811</v>
      </c>
      <c r="E444" t="s">
        <v>5</v>
      </c>
      <c r="F444" s="3">
        <v>17.591666666666669</v>
      </c>
      <c r="G444" s="10">
        <f>VLOOKUP(Tabla1[[#This Row],[Código Unificador]],PRECIOS_COMPETENCIA!B:D,3,FALSE)</f>
        <v>63.566625000000009</v>
      </c>
      <c r="H444" s="10">
        <f>Tabla1[[#This Row],[PVP Competencia]]*0.98</f>
        <v>62.295292500000009</v>
      </c>
      <c r="I444" s="10">
        <f>Tabla1[[#This Row],[Precio Lista CDR]]*0.8</f>
        <v>49.836234000000012</v>
      </c>
      <c r="J444" s="10">
        <f>Tabla1[[#This Row],[Precio Lista CDR]]*0.7</f>
        <v>43.606704750000006</v>
      </c>
      <c r="K444" s="10">
        <f>Tabla1[[#This Row],[Precio Lista CDR]]*0.6</f>
        <v>37.377175500000007</v>
      </c>
      <c r="L444" s="12">
        <f>(Tabla1[[#This Row],[Precio Lista CDR]]-Tabla1[[#This Row],[PrecioFábrica]])/Tabla1[[#This Row],[Precio Lista CDR]]</f>
        <v>0.71760841051245294</v>
      </c>
      <c r="M444" s="12">
        <f>(Tabla1[[#This Row],[Lista 1 (20%)]]-Tabla1[[#This Row],[PrecioFábrica]])/Tabla1[[#This Row],[Lista 1 (20%)]]</f>
        <v>0.64701051314056623</v>
      </c>
      <c r="N444" s="12">
        <f>(Tabla1[[#This Row],[Lista 2 (30%)]]-Tabla1[[#This Row],[PrecioFábrica]])/Tabla1[[#This Row],[Lista 2 (30%)]]</f>
        <v>0.59658344358921855</v>
      </c>
      <c r="O444" s="12">
        <f>(Tabla1[[#This Row],[Lista 3 (40%)]]-Tabla1[[#This Row],[PrecioFábrica]])/Tabla1[[#This Row],[Lista 3 (40%)]]</f>
        <v>0.52934735085408835</v>
      </c>
    </row>
    <row r="445" spans="1:15">
      <c r="A445" t="s">
        <v>6</v>
      </c>
      <c r="B445" t="s">
        <v>454</v>
      </c>
      <c r="C445" t="s">
        <v>1256</v>
      </c>
      <c r="D445" t="s">
        <v>811</v>
      </c>
      <c r="E445" t="s">
        <v>5</v>
      </c>
      <c r="F445" s="3">
        <v>11.166666666666668</v>
      </c>
      <c r="G445" s="10">
        <f>VLOOKUP(Tabla1[[#This Row],[Código Unificador]],PRECIOS_COMPETENCIA!B:D,3,FALSE)</f>
        <v>44.974000000000011</v>
      </c>
      <c r="H445" s="10">
        <f>Tabla1[[#This Row],[PVP Competencia]]*0.98</f>
        <v>44.074520000000007</v>
      </c>
      <c r="I445" s="10">
        <f>Tabla1[[#This Row],[Precio Lista CDR]]*0.8</f>
        <v>35.259616000000008</v>
      </c>
      <c r="J445" s="10">
        <f>Tabla1[[#This Row],[Precio Lista CDR]]*0.7</f>
        <v>30.852164000000002</v>
      </c>
      <c r="K445" s="10">
        <f>Tabla1[[#This Row],[Precio Lista CDR]]*0.6</f>
        <v>26.444712000000003</v>
      </c>
      <c r="L445" s="12">
        <f>(Tabla1[[#This Row],[Precio Lista CDR]]-Tabla1[[#This Row],[PrecioFábrica]])/Tabla1[[#This Row],[Precio Lista CDR]]</f>
        <v>0.7466412188569117</v>
      </c>
      <c r="M445" s="12">
        <f>(Tabla1[[#This Row],[Lista 1 (20%)]]-Tabla1[[#This Row],[PrecioFábrica]])/Tabla1[[#This Row],[Lista 1 (20%)]]</f>
        <v>0.68330152357113971</v>
      </c>
      <c r="N445" s="12">
        <f>(Tabla1[[#This Row],[Lista 2 (30%)]]-Tabla1[[#This Row],[PrecioFábrica]])/Tabla1[[#This Row],[Lista 2 (30%)]]</f>
        <v>0.63805888408130251</v>
      </c>
      <c r="O445" s="12">
        <f>(Tabla1[[#This Row],[Lista 3 (40%)]]-Tabla1[[#This Row],[PrecioFábrica]])/Tabla1[[#This Row],[Lista 3 (40%)]]</f>
        <v>0.57773536476151954</v>
      </c>
    </row>
    <row r="446" spans="1:15">
      <c r="A446" t="s">
        <v>9</v>
      </c>
      <c r="B446" t="s">
        <v>455</v>
      </c>
      <c r="C446" t="s">
        <v>1257</v>
      </c>
      <c r="D446" t="s">
        <v>811</v>
      </c>
      <c r="E446" t="s">
        <v>5</v>
      </c>
      <c r="F446" s="3">
        <v>11.100000000000001</v>
      </c>
      <c r="G446" s="10">
        <f>VLOOKUP(Tabla1[[#This Row],[Código Unificador]],PRECIOS_COMPETENCIA!B:D,3,FALSE)</f>
        <v>43.47760000000001</v>
      </c>
      <c r="H446" s="10">
        <f>Tabla1[[#This Row],[PVP Competencia]]*0.98</f>
        <v>42.608048000000011</v>
      </c>
      <c r="I446" s="10">
        <f>Tabla1[[#This Row],[Precio Lista CDR]]*0.8</f>
        <v>34.086438400000013</v>
      </c>
      <c r="J446" s="10">
        <f>Tabla1[[#This Row],[Precio Lista CDR]]*0.7</f>
        <v>29.825633600000007</v>
      </c>
      <c r="K446" s="10">
        <f>Tabla1[[#This Row],[Precio Lista CDR]]*0.6</f>
        <v>25.564828800000004</v>
      </c>
      <c r="L446" s="12">
        <f>(Tabla1[[#This Row],[Precio Lista CDR]]-Tabla1[[#This Row],[PrecioFábrica]])/Tabla1[[#This Row],[Precio Lista CDR]]</f>
        <v>0.73948583610307617</v>
      </c>
      <c r="M446" s="12">
        <f>(Tabla1[[#This Row],[Lista 1 (20%)]]-Tabla1[[#This Row],[PrecioFábrica]])/Tabla1[[#This Row],[Lista 1 (20%)]]</f>
        <v>0.67435729512884524</v>
      </c>
      <c r="N446" s="12">
        <f>(Tabla1[[#This Row],[Lista 2 (30%)]]-Tabla1[[#This Row],[PrecioFábrica]])/Tabla1[[#This Row],[Lista 2 (30%)]]</f>
        <v>0.62783690871868025</v>
      </c>
      <c r="O446" s="12">
        <f>(Tabla1[[#This Row],[Lista 3 (40%)]]-Tabla1[[#This Row],[PrecioFábrica]])/Tabla1[[#This Row],[Lista 3 (40%)]]</f>
        <v>0.5658097268384602</v>
      </c>
    </row>
    <row r="447" spans="1:15">
      <c r="A447" t="s">
        <v>9</v>
      </c>
      <c r="B447" t="s">
        <v>456</v>
      </c>
      <c r="C447" t="s">
        <v>1258</v>
      </c>
      <c r="D447" t="s">
        <v>811</v>
      </c>
      <c r="E447" t="s">
        <v>5</v>
      </c>
      <c r="F447" s="3">
        <v>12.700000000000001</v>
      </c>
      <c r="G447" s="10">
        <f>VLOOKUP(Tabla1[[#This Row],[Código Unificador]],PRECIOS_COMPETENCIA!B:D,3,FALSE)</f>
        <v>49.039800000000007</v>
      </c>
      <c r="H447" s="10">
        <f>Tabla1[[#This Row],[PVP Competencia]]*0.98</f>
        <v>48.059004000000009</v>
      </c>
      <c r="I447" s="10">
        <f>Tabla1[[#This Row],[Precio Lista CDR]]*0.8</f>
        <v>38.447203200000011</v>
      </c>
      <c r="J447" s="10">
        <f>Tabla1[[#This Row],[Precio Lista CDR]]*0.7</f>
        <v>33.641302800000005</v>
      </c>
      <c r="K447" s="10">
        <f>Tabla1[[#This Row],[Precio Lista CDR]]*0.6</f>
        <v>28.835402400000003</v>
      </c>
      <c r="L447" s="12">
        <f>(Tabla1[[#This Row],[Precio Lista CDR]]-Tabla1[[#This Row],[PrecioFábrica]])/Tabla1[[#This Row],[Precio Lista CDR]]</f>
        <v>0.73574150641989999</v>
      </c>
      <c r="M447" s="12">
        <f>(Tabla1[[#This Row],[Lista 1 (20%)]]-Tabla1[[#This Row],[PrecioFábrica]])/Tabla1[[#This Row],[Lista 1 (20%)]]</f>
        <v>0.66967688302487505</v>
      </c>
      <c r="N447" s="12">
        <f>(Tabla1[[#This Row],[Lista 2 (30%)]]-Tabla1[[#This Row],[PrecioFábrica]])/Tabla1[[#This Row],[Lista 2 (30%)]]</f>
        <v>0.62248786631414288</v>
      </c>
      <c r="O447" s="12">
        <f>(Tabla1[[#This Row],[Lista 3 (40%)]]-Tabla1[[#This Row],[PrecioFábrica]])/Tabla1[[#This Row],[Lista 3 (40%)]]</f>
        <v>0.55956917736650003</v>
      </c>
    </row>
    <row r="448" spans="1:15">
      <c r="A448" t="s">
        <v>9</v>
      </c>
      <c r="B448" t="s">
        <v>457</v>
      </c>
      <c r="C448" t="s">
        <v>1259</v>
      </c>
      <c r="D448" t="s">
        <v>811</v>
      </c>
      <c r="E448" t="s">
        <v>5</v>
      </c>
      <c r="F448" s="3">
        <v>7.0166666666666666</v>
      </c>
      <c r="G448" s="10">
        <f>VLOOKUP(Tabla1[[#This Row],[Código Unificador]],PRECIOS_COMPETENCIA!B:D,3,FALSE)</f>
        <v>31.162266666666667</v>
      </c>
      <c r="H448" s="10">
        <f>Tabla1[[#This Row],[PVP Competencia]]*0.98</f>
        <v>30.539021333333334</v>
      </c>
      <c r="I448" s="10">
        <f>Tabla1[[#This Row],[Precio Lista CDR]]*0.8</f>
        <v>24.431217066666669</v>
      </c>
      <c r="J448" s="10">
        <f>Tabla1[[#This Row],[Precio Lista CDR]]*0.7</f>
        <v>21.377314933333334</v>
      </c>
      <c r="K448" s="10">
        <f>Tabla1[[#This Row],[Precio Lista CDR]]*0.6</f>
        <v>18.3234128</v>
      </c>
      <c r="L448" s="12">
        <f>(Tabla1[[#This Row],[Precio Lista CDR]]-Tabla1[[#This Row],[PrecioFábrica]])/Tabla1[[#This Row],[Precio Lista CDR]]</f>
        <v>0.77023930825812104</v>
      </c>
      <c r="M448" s="12">
        <f>(Tabla1[[#This Row],[Lista 1 (20%)]]-Tabla1[[#This Row],[PrecioFábrica]])/Tabla1[[#This Row],[Lista 1 (20%)]]</f>
        <v>0.71279913532265127</v>
      </c>
      <c r="N448" s="12">
        <f>(Tabla1[[#This Row],[Lista 2 (30%)]]-Tabla1[[#This Row],[PrecioFábrica]])/Tabla1[[#This Row],[Lista 2 (30%)]]</f>
        <v>0.67177044036874434</v>
      </c>
      <c r="O448" s="12">
        <f>(Tabla1[[#This Row],[Lista 3 (40%)]]-Tabla1[[#This Row],[PrecioFábrica]])/Tabla1[[#This Row],[Lista 3 (40%)]]</f>
        <v>0.61706551376353502</v>
      </c>
    </row>
    <row r="449" spans="1:15">
      <c r="A449" t="s">
        <v>9</v>
      </c>
      <c r="B449" t="s">
        <v>458</v>
      </c>
      <c r="C449" t="s">
        <v>1260</v>
      </c>
      <c r="D449" t="s">
        <v>811</v>
      </c>
      <c r="E449" t="s">
        <v>5</v>
      </c>
      <c r="F449" s="3">
        <v>8.6416666666666657</v>
      </c>
      <c r="G449" s="10">
        <f>VLOOKUP(Tabla1[[#This Row],[Código Unificador]],PRECIOS_COMPETENCIA!B:D,3,FALSE)</f>
        <v>36.313874999999996</v>
      </c>
      <c r="H449" s="10">
        <f>Tabla1[[#This Row],[PVP Competencia]]*0.98</f>
        <v>35.587597499999994</v>
      </c>
      <c r="I449" s="10">
        <f>Tabla1[[#This Row],[Precio Lista CDR]]*0.8</f>
        <v>28.470077999999997</v>
      </c>
      <c r="J449" s="10">
        <f>Tabla1[[#This Row],[Precio Lista CDR]]*0.7</f>
        <v>24.911318249999994</v>
      </c>
      <c r="K449" s="10">
        <f>Tabla1[[#This Row],[Precio Lista CDR]]*0.6</f>
        <v>21.352558499999997</v>
      </c>
      <c r="L449" s="12">
        <f>(Tabla1[[#This Row],[Precio Lista CDR]]-Tabla1[[#This Row],[PrecioFábrica]])/Tabla1[[#This Row],[Precio Lista CDR]]</f>
        <v>0.75717195670017712</v>
      </c>
      <c r="M449" s="12">
        <f>(Tabla1[[#This Row],[Lista 1 (20%)]]-Tabla1[[#This Row],[PrecioFábrica]])/Tabla1[[#This Row],[Lista 1 (20%)]]</f>
        <v>0.69646494587522145</v>
      </c>
      <c r="N449" s="12">
        <f>(Tabla1[[#This Row],[Lista 2 (30%)]]-Tabla1[[#This Row],[PrecioFábrica]])/Tabla1[[#This Row],[Lista 2 (30%)]]</f>
        <v>0.65310279528596737</v>
      </c>
      <c r="O449" s="12">
        <f>(Tabla1[[#This Row],[Lista 3 (40%)]]-Tabla1[[#This Row],[PrecioFábrica]])/Tabla1[[#This Row],[Lista 3 (40%)]]</f>
        <v>0.59528659450029531</v>
      </c>
    </row>
    <row r="450" spans="1:15">
      <c r="A450" t="s">
        <v>9</v>
      </c>
      <c r="B450" t="s">
        <v>459</v>
      </c>
      <c r="C450" t="s">
        <v>1261</v>
      </c>
      <c r="D450" t="s">
        <v>811</v>
      </c>
      <c r="E450" t="s">
        <v>5</v>
      </c>
      <c r="F450" s="3">
        <v>2.4083333333333337</v>
      </c>
      <c r="G450" s="10">
        <f>VLOOKUP(Tabla1[[#This Row],[Código Unificador]],PRECIOS_COMPETENCIA!B:D,3,FALSE)</f>
        <v>17.403216666666669</v>
      </c>
      <c r="H450" s="10">
        <f>Tabla1[[#This Row],[PVP Competencia]]*0.98</f>
        <v>17.055152333333336</v>
      </c>
      <c r="I450" s="10">
        <f>Tabla1[[#This Row],[Precio Lista CDR]]*0.8</f>
        <v>13.644121866666669</v>
      </c>
      <c r="J450" s="10">
        <f>Tabla1[[#This Row],[Precio Lista CDR]]*0.7</f>
        <v>11.938606633333334</v>
      </c>
      <c r="K450" s="10">
        <f>Tabla1[[#This Row],[Precio Lista CDR]]*0.6</f>
        <v>10.233091400000001</v>
      </c>
      <c r="L450" s="12">
        <f>(Tabla1[[#This Row],[Precio Lista CDR]]-Tabla1[[#This Row],[PrecioFábrica]])/Tabla1[[#This Row],[Precio Lista CDR]]</f>
        <v>0.85879144986430989</v>
      </c>
      <c r="M450" s="12">
        <f>(Tabla1[[#This Row],[Lista 1 (20%)]]-Tabla1[[#This Row],[PrecioFábrica]])/Tabla1[[#This Row],[Lista 1 (20%)]]</f>
        <v>0.82348931233038736</v>
      </c>
      <c r="N450" s="12">
        <f>(Tabla1[[#This Row],[Lista 2 (30%)]]-Tabla1[[#This Row],[PrecioFábrica]])/Tabla1[[#This Row],[Lista 2 (30%)]]</f>
        <v>0.79827349980615692</v>
      </c>
      <c r="O450" s="12">
        <f>(Tabla1[[#This Row],[Lista 3 (40%)]]-Tabla1[[#This Row],[PrecioFábrica]])/Tabla1[[#This Row],[Lista 3 (40%)]]</f>
        <v>0.7646524164405164</v>
      </c>
    </row>
    <row r="451" spans="1:15">
      <c r="A451" t="s">
        <v>9</v>
      </c>
      <c r="B451" t="s">
        <v>460</v>
      </c>
      <c r="C451" t="s">
        <v>1262</v>
      </c>
      <c r="D451" t="s">
        <v>811</v>
      </c>
      <c r="E451" t="s">
        <v>5</v>
      </c>
      <c r="F451" s="3">
        <v>10.358333333333334</v>
      </c>
      <c r="G451" s="10">
        <f>VLOOKUP(Tabla1[[#This Row],[Código Unificador]],PRECIOS_COMPETENCIA!B:D,3,FALSE)</f>
        <v>41.841516666666671</v>
      </c>
      <c r="H451" s="10">
        <f>Tabla1[[#This Row],[PVP Competencia]]*0.98</f>
        <v>41.004686333333339</v>
      </c>
      <c r="I451" s="10">
        <f>Tabla1[[#This Row],[Precio Lista CDR]]*0.8</f>
        <v>32.803749066666676</v>
      </c>
      <c r="J451" s="10">
        <f>Tabla1[[#This Row],[Precio Lista CDR]]*0.7</f>
        <v>28.703280433333337</v>
      </c>
      <c r="K451" s="10">
        <f>Tabla1[[#This Row],[Precio Lista CDR]]*0.6</f>
        <v>24.602811800000001</v>
      </c>
      <c r="L451" s="12">
        <f>(Tabla1[[#This Row],[Precio Lista CDR]]-Tabla1[[#This Row],[PrecioFábrica]])/Tabla1[[#This Row],[Precio Lista CDR]]</f>
        <v>0.74738659749451886</v>
      </c>
      <c r="M451" s="12">
        <f>(Tabla1[[#This Row],[Lista 1 (20%)]]-Tabla1[[#This Row],[PrecioFábrica]])/Tabla1[[#This Row],[Lista 1 (20%)]]</f>
        <v>0.68423324686814868</v>
      </c>
      <c r="N451" s="12">
        <f>(Tabla1[[#This Row],[Lista 2 (30%)]]-Tabla1[[#This Row],[PrecioFábrica]])/Tabla1[[#This Row],[Lista 2 (30%)]]</f>
        <v>0.63912371070645557</v>
      </c>
      <c r="O451" s="12">
        <f>(Tabla1[[#This Row],[Lista 3 (40%)]]-Tabla1[[#This Row],[PrecioFábrica]])/Tabla1[[#This Row],[Lista 3 (40%)]]</f>
        <v>0.5789776624908648</v>
      </c>
    </row>
    <row r="452" spans="1:15">
      <c r="A452" t="s">
        <v>6</v>
      </c>
      <c r="B452" t="s">
        <v>461</v>
      </c>
      <c r="C452" t="s">
        <v>1263</v>
      </c>
      <c r="D452" t="s">
        <v>811</v>
      </c>
      <c r="E452" t="s">
        <v>5</v>
      </c>
      <c r="F452" s="3">
        <v>2.4333333333333336</v>
      </c>
      <c r="G452" s="10">
        <f>VLOOKUP(Tabla1[[#This Row],[Código Unificador]],PRECIOS_COMPETENCIA!B:D,3,FALSE)</f>
        <v>17.550633333333334</v>
      </c>
      <c r="H452" s="10">
        <f>Tabla1[[#This Row],[PVP Competencia]]*0.98</f>
        <v>17.199620666666668</v>
      </c>
      <c r="I452" s="10">
        <f>Tabla1[[#This Row],[Precio Lista CDR]]*0.8</f>
        <v>13.759696533333335</v>
      </c>
      <c r="J452" s="10">
        <f>Tabla1[[#This Row],[Precio Lista CDR]]*0.7</f>
        <v>12.039734466666667</v>
      </c>
      <c r="K452" s="10">
        <f>Tabla1[[#This Row],[Precio Lista CDR]]*0.6</f>
        <v>10.3197724</v>
      </c>
      <c r="L452" s="12">
        <f>(Tabla1[[#This Row],[Precio Lista CDR]]-Tabla1[[#This Row],[PrecioFábrica]])/Tabla1[[#This Row],[Precio Lista CDR]]</f>
        <v>0.8585240116342101</v>
      </c>
      <c r="M452" s="12">
        <f>(Tabla1[[#This Row],[Lista 1 (20%)]]-Tabla1[[#This Row],[PrecioFábrica]])/Tabla1[[#This Row],[Lista 1 (20%)]]</f>
        <v>0.82315501454276263</v>
      </c>
      <c r="N452" s="12">
        <f>(Tabla1[[#This Row],[Lista 2 (30%)]]-Tabla1[[#This Row],[PrecioFábrica]])/Tabla1[[#This Row],[Lista 2 (30%)]]</f>
        <v>0.79789144519172861</v>
      </c>
      <c r="O452" s="12">
        <f>(Tabla1[[#This Row],[Lista 3 (40%)]]-Tabla1[[#This Row],[PrecioFábrica]])/Tabla1[[#This Row],[Lista 3 (40%)]]</f>
        <v>0.7642066860570168</v>
      </c>
    </row>
    <row r="453" spans="1:15">
      <c r="A453" t="s">
        <v>9</v>
      </c>
      <c r="B453" t="s">
        <v>462</v>
      </c>
      <c r="C453" t="s">
        <v>1264</v>
      </c>
      <c r="D453" t="s">
        <v>811</v>
      </c>
      <c r="E453" t="s">
        <v>5</v>
      </c>
      <c r="F453" s="3">
        <v>15.3</v>
      </c>
      <c r="G453" s="10">
        <f>VLOOKUP(Tabla1[[#This Row],[Código Unificador]],PRECIOS_COMPETENCIA!B:D,3,FALSE)</f>
        <v>56.144800000000004</v>
      </c>
      <c r="H453" s="10">
        <f>Tabla1[[#This Row],[PVP Competencia]]*0.98</f>
        <v>55.021903999999999</v>
      </c>
      <c r="I453" s="10">
        <f>Tabla1[[#This Row],[Precio Lista CDR]]*0.8</f>
        <v>44.017523199999999</v>
      </c>
      <c r="J453" s="10">
        <f>Tabla1[[#This Row],[Precio Lista CDR]]*0.7</f>
        <v>38.515332799999996</v>
      </c>
      <c r="K453" s="10">
        <f>Tabla1[[#This Row],[Precio Lista CDR]]*0.6</f>
        <v>33.0131424</v>
      </c>
      <c r="L453" s="12">
        <f>(Tabla1[[#This Row],[Precio Lista CDR]]-Tabla1[[#This Row],[PrecioFábrica]])/Tabla1[[#This Row],[Precio Lista CDR]]</f>
        <v>0.72192892488780458</v>
      </c>
      <c r="M453" s="12">
        <f>(Tabla1[[#This Row],[Lista 1 (20%)]]-Tabla1[[#This Row],[PrecioFábrica]])/Tabla1[[#This Row],[Lista 1 (20%)]]</f>
        <v>0.65241115610975586</v>
      </c>
      <c r="N453" s="12">
        <f>(Tabla1[[#This Row],[Lista 2 (30%)]]-Tabla1[[#This Row],[PrecioFábrica]])/Tabla1[[#This Row],[Lista 2 (30%)]]</f>
        <v>0.60275560698257802</v>
      </c>
      <c r="O453" s="12">
        <f>(Tabla1[[#This Row],[Lista 3 (40%)]]-Tabla1[[#This Row],[PrecioFábrica]])/Tabla1[[#This Row],[Lista 3 (40%)]]</f>
        <v>0.53654820814634108</v>
      </c>
    </row>
    <row r="454" spans="1:15">
      <c r="A454" t="s">
        <v>6</v>
      </c>
      <c r="B454" t="s">
        <v>463</v>
      </c>
      <c r="C454" t="s">
        <v>1265</v>
      </c>
      <c r="D454" t="s">
        <v>811</v>
      </c>
      <c r="E454" t="s">
        <v>5</v>
      </c>
      <c r="F454" s="3">
        <v>53.75</v>
      </c>
      <c r="G454" s="10">
        <f>VLOOKUP(Tabla1[[#This Row],[Código Unificador]],PRECIOS_COMPETENCIA!B:D,3,FALSE)</f>
        <v>180.55125000000001</v>
      </c>
      <c r="H454" s="10">
        <f>Tabla1[[#This Row],[PVP Competencia]]*0.98</f>
        <v>176.940225</v>
      </c>
      <c r="I454" s="10">
        <f>Tabla1[[#This Row],[Precio Lista CDR]]*0.8</f>
        <v>141.55217999999999</v>
      </c>
      <c r="J454" s="10">
        <f>Tabla1[[#This Row],[Precio Lista CDR]]*0.7</f>
        <v>123.85815749999999</v>
      </c>
      <c r="K454" s="10">
        <f>Tabla1[[#This Row],[Precio Lista CDR]]*0.6</f>
        <v>106.164135</v>
      </c>
      <c r="L454" s="12">
        <f>(Tabla1[[#This Row],[Precio Lista CDR]]-Tabla1[[#This Row],[PrecioFábrica]])/Tabla1[[#This Row],[Precio Lista CDR]]</f>
        <v>0.69622509522636811</v>
      </c>
      <c r="M454" s="12">
        <f>(Tabla1[[#This Row],[Lista 1 (20%)]]-Tabla1[[#This Row],[PrecioFábrica]])/Tabla1[[#This Row],[Lista 1 (20%)]]</f>
        <v>0.62028136903296016</v>
      </c>
      <c r="N454" s="12">
        <f>(Tabla1[[#This Row],[Lista 2 (30%)]]-Tabla1[[#This Row],[PrecioFábrica]])/Tabla1[[#This Row],[Lista 2 (30%)]]</f>
        <v>0.56603585032338299</v>
      </c>
      <c r="O454" s="12">
        <f>(Tabla1[[#This Row],[Lista 3 (40%)]]-Tabla1[[#This Row],[PrecioFábrica]])/Tabla1[[#This Row],[Lista 3 (40%)]]</f>
        <v>0.49370849204394684</v>
      </c>
    </row>
    <row r="455" spans="1:15">
      <c r="A455" t="s">
        <v>9</v>
      </c>
      <c r="B455" t="s">
        <v>464</v>
      </c>
      <c r="C455" t="s">
        <v>1266</v>
      </c>
      <c r="D455" t="s">
        <v>811</v>
      </c>
      <c r="E455" t="s">
        <v>5</v>
      </c>
      <c r="F455" s="3">
        <v>22.916666666666668</v>
      </c>
      <c r="G455" s="10">
        <f>VLOOKUP(Tabla1[[#This Row],[Código Unificador]],PRECIOS_COMPETENCIA!B:D,3,FALSE)</f>
        <v>81.77500000000002</v>
      </c>
      <c r="H455" s="10">
        <f>Tabla1[[#This Row],[PVP Competencia]]*0.98</f>
        <v>80.139500000000012</v>
      </c>
      <c r="I455" s="10">
        <f>Tabla1[[#This Row],[Precio Lista CDR]]*0.8</f>
        <v>64.11160000000001</v>
      </c>
      <c r="J455" s="10">
        <f>Tabla1[[#This Row],[Precio Lista CDR]]*0.7</f>
        <v>56.097650000000002</v>
      </c>
      <c r="K455" s="10">
        <f>Tabla1[[#This Row],[Precio Lista CDR]]*0.6</f>
        <v>48.083700000000007</v>
      </c>
      <c r="L455" s="12">
        <f>(Tabla1[[#This Row],[Precio Lista CDR]]-Tabla1[[#This Row],[PrecioFábrica]])/Tabla1[[#This Row],[Precio Lista CDR]]</f>
        <v>0.71404030887806058</v>
      </c>
      <c r="M455" s="12">
        <f>(Tabla1[[#This Row],[Lista 1 (20%)]]-Tabla1[[#This Row],[PrecioFábrica]])/Tabla1[[#This Row],[Lista 1 (20%)]]</f>
        <v>0.64255038609757564</v>
      </c>
      <c r="N455" s="12">
        <f>(Tabla1[[#This Row],[Lista 2 (30%)]]-Tabla1[[#This Row],[PrecioFábrica]])/Tabla1[[#This Row],[Lista 2 (30%)]]</f>
        <v>0.59148615554008643</v>
      </c>
      <c r="O455" s="12">
        <f>(Tabla1[[#This Row],[Lista 3 (40%)]]-Tabla1[[#This Row],[PrecioFábrica]])/Tabla1[[#This Row],[Lista 3 (40%)]]</f>
        <v>0.52340051479676764</v>
      </c>
    </row>
    <row r="456" spans="1:15">
      <c r="A456" t="s">
        <v>6</v>
      </c>
      <c r="B456" t="s">
        <v>465</v>
      </c>
      <c r="C456" t="s">
        <v>1267</v>
      </c>
      <c r="D456" t="s">
        <v>811</v>
      </c>
      <c r="E456" t="s">
        <v>5</v>
      </c>
      <c r="F456" s="3">
        <v>22.916666666666668</v>
      </c>
      <c r="G456" s="10">
        <f>VLOOKUP(Tabla1[[#This Row],[Código Unificador]],PRECIOS_COMPETENCIA!B:D,3,FALSE)</f>
        <v>80.44583333333334</v>
      </c>
      <c r="H456" s="10">
        <f>Tabla1[[#This Row],[PVP Competencia]]*0.98</f>
        <v>78.836916666666667</v>
      </c>
      <c r="I456" s="10">
        <f>Tabla1[[#This Row],[Precio Lista CDR]]*0.8</f>
        <v>63.069533333333339</v>
      </c>
      <c r="J456" s="10">
        <f>Tabla1[[#This Row],[Precio Lista CDR]]*0.7</f>
        <v>55.185841666666661</v>
      </c>
      <c r="K456" s="10">
        <f>Tabla1[[#This Row],[Precio Lista CDR]]*0.6</f>
        <v>47.302149999999997</v>
      </c>
      <c r="L456" s="12">
        <f>(Tabla1[[#This Row],[Precio Lista CDR]]-Tabla1[[#This Row],[PrecioFábrica]])/Tabla1[[#This Row],[Precio Lista CDR]]</f>
        <v>0.70931553851146301</v>
      </c>
      <c r="M456" s="12">
        <f>(Tabla1[[#This Row],[Lista 1 (20%)]]-Tabla1[[#This Row],[PrecioFábrica]])/Tabla1[[#This Row],[Lista 1 (20%)]]</f>
        <v>0.63664442313932867</v>
      </c>
      <c r="N456" s="12">
        <f>(Tabla1[[#This Row],[Lista 2 (30%)]]-Tabla1[[#This Row],[PrecioFábrica]])/Tabla1[[#This Row],[Lista 2 (30%)]]</f>
        <v>0.58473648358780417</v>
      </c>
      <c r="O456" s="12">
        <f>(Tabla1[[#This Row],[Lista 3 (40%)]]-Tabla1[[#This Row],[PrecioFábrica]])/Tabla1[[#This Row],[Lista 3 (40%)]]</f>
        <v>0.51552589751910494</v>
      </c>
    </row>
    <row r="457" spans="1:15">
      <c r="A457" t="s">
        <v>6</v>
      </c>
      <c r="B457" t="s">
        <v>466</v>
      </c>
      <c r="C457" t="s">
        <v>1268</v>
      </c>
      <c r="D457" t="s">
        <v>811</v>
      </c>
      <c r="E457" t="s">
        <v>5</v>
      </c>
      <c r="F457" s="3">
        <v>18.066666666666666</v>
      </c>
      <c r="G457" s="10">
        <f>VLOOKUP(Tabla1[[#This Row],[Código Unificador]],PRECIOS_COMPETENCIA!B:D,3,FALSE)</f>
        <v>63.441200000000009</v>
      </c>
      <c r="H457" s="10">
        <f>Tabla1[[#This Row],[PVP Competencia]]*0.98</f>
        <v>62.172376000000007</v>
      </c>
      <c r="I457" s="10">
        <f>Tabla1[[#This Row],[Precio Lista CDR]]*0.8</f>
        <v>49.737900800000006</v>
      </c>
      <c r="J457" s="10">
        <f>Tabla1[[#This Row],[Precio Lista CDR]]*0.7</f>
        <v>43.520663200000001</v>
      </c>
      <c r="K457" s="10">
        <f>Tabla1[[#This Row],[Precio Lista CDR]]*0.6</f>
        <v>37.303425600000004</v>
      </c>
      <c r="L457" s="12">
        <f>(Tabla1[[#This Row],[Precio Lista CDR]]-Tabla1[[#This Row],[PrecioFábrica]])/Tabla1[[#This Row],[Precio Lista CDR]]</f>
        <v>0.70941006554636632</v>
      </c>
      <c r="M457" s="12">
        <f>(Tabla1[[#This Row],[Lista 1 (20%)]]-Tabla1[[#This Row],[PrecioFábrica]])/Tabla1[[#This Row],[Lista 1 (20%)]]</f>
        <v>0.63676258193295798</v>
      </c>
      <c r="N457" s="12">
        <f>(Tabla1[[#This Row],[Lista 2 (30%)]]-Tabla1[[#This Row],[PrecioFábrica]])/Tabla1[[#This Row],[Lista 2 (30%)]]</f>
        <v>0.58487152220909477</v>
      </c>
      <c r="O457" s="12">
        <f>(Tabla1[[#This Row],[Lista 3 (40%)]]-Tabla1[[#This Row],[PrecioFábrica]])/Tabla1[[#This Row],[Lista 3 (40%)]]</f>
        <v>0.51568344257727727</v>
      </c>
    </row>
    <row r="458" spans="1:15">
      <c r="A458" t="s">
        <v>6</v>
      </c>
      <c r="B458" t="s">
        <v>467</v>
      </c>
      <c r="C458" t="s">
        <v>1269</v>
      </c>
      <c r="D458" t="s">
        <v>811</v>
      </c>
      <c r="E458" t="s">
        <v>5</v>
      </c>
      <c r="F458" s="3">
        <v>29.233333333333334</v>
      </c>
      <c r="G458" s="10">
        <f>VLOOKUP(Tabla1[[#This Row],[Código Unificador]],PRECIOS_COMPETENCIA!B:D,3,FALSE)</f>
        <v>108.16773333333333</v>
      </c>
      <c r="H458" s="10">
        <f>Tabla1[[#This Row],[PVP Competencia]]*0.98</f>
        <v>106.00437866666667</v>
      </c>
      <c r="I458" s="10">
        <f>Tabla1[[#This Row],[Precio Lista CDR]]*0.8</f>
        <v>84.803502933333334</v>
      </c>
      <c r="J458" s="10">
        <f>Tabla1[[#This Row],[Precio Lista CDR]]*0.7</f>
        <v>74.203065066666667</v>
      </c>
      <c r="K458" s="10">
        <f>Tabla1[[#This Row],[Precio Lista CDR]]*0.6</f>
        <v>63.602627200000001</v>
      </c>
      <c r="L458" s="12">
        <f>(Tabla1[[#This Row],[Precio Lista CDR]]-Tabla1[[#This Row],[PrecioFábrica]])/Tabla1[[#This Row],[Precio Lista CDR]]</f>
        <v>0.7242252282308238</v>
      </c>
      <c r="M458" s="12">
        <f>(Tabla1[[#This Row],[Lista 1 (20%)]]-Tabla1[[#This Row],[PrecioFábrica]])/Tabla1[[#This Row],[Lista 1 (20%)]]</f>
        <v>0.65528153528852973</v>
      </c>
      <c r="N458" s="12">
        <f>(Tabla1[[#This Row],[Lista 2 (30%)]]-Tabla1[[#This Row],[PrecioFábrica]])/Tabla1[[#This Row],[Lista 2 (30%)]]</f>
        <v>0.60603604032974823</v>
      </c>
      <c r="O458" s="12">
        <f>(Tabla1[[#This Row],[Lista 3 (40%)]]-Tabla1[[#This Row],[PrecioFábrica]])/Tabla1[[#This Row],[Lista 3 (40%)]]</f>
        <v>0.54037538038470623</v>
      </c>
    </row>
    <row r="459" spans="1:15">
      <c r="A459" t="s">
        <v>6</v>
      </c>
      <c r="B459" t="s">
        <v>468</v>
      </c>
      <c r="C459" t="s">
        <v>1270</v>
      </c>
      <c r="D459" t="s">
        <v>811</v>
      </c>
      <c r="E459" t="s">
        <v>5</v>
      </c>
      <c r="F459" s="3">
        <v>29.233333333333334</v>
      </c>
      <c r="G459" s="10">
        <f>VLOOKUP(Tabla1[[#This Row],[Código Unificador]],PRECIOS_COMPETENCIA!B:D,3,FALSE)</f>
        <v>108.16773333333333</v>
      </c>
      <c r="H459" s="10">
        <f>Tabla1[[#This Row],[PVP Competencia]]*0.98</f>
        <v>106.00437866666667</v>
      </c>
      <c r="I459" s="10">
        <f>Tabla1[[#This Row],[Precio Lista CDR]]*0.8</f>
        <v>84.803502933333334</v>
      </c>
      <c r="J459" s="10">
        <f>Tabla1[[#This Row],[Precio Lista CDR]]*0.7</f>
        <v>74.203065066666667</v>
      </c>
      <c r="K459" s="10">
        <f>Tabla1[[#This Row],[Precio Lista CDR]]*0.6</f>
        <v>63.602627200000001</v>
      </c>
      <c r="L459" s="12">
        <f>(Tabla1[[#This Row],[Precio Lista CDR]]-Tabla1[[#This Row],[PrecioFábrica]])/Tabla1[[#This Row],[Precio Lista CDR]]</f>
        <v>0.7242252282308238</v>
      </c>
      <c r="M459" s="12">
        <f>(Tabla1[[#This Row],[Lista 1 (20%)]]-Tabla1[[#This Row],[PrecioFábrica]])/Tabla1[[#This Row],[Lista 1 (20%)]]</f>
        <v>0.65528153528852973</v>
      </c>
      <c r="N459" s="12">
        <f>(Tabla1[[#This Row],[Lista 2 (30%)]]-Tabla1[[#This Row],[PrecioFábrica]])/Tabla1[[#This Row],[Lista 2 (30%)]]</f>
        <v>0.60603604032974823</v>
      </c>
      <c r="O459" s="12">
        <f>(Tabla1[[#This Row],[Lista 3 (40%)]]-Tabla1[[#This Row],[PrecioFábrica]])/Tabla1[[#This Row],[Lista 3 (40%)]]</f>
        <v>0.54037538038470623</v>
      </c>
    </row>
    <row r="460" spans="1:15">
      <c r="A460" t="s">
        <v>6</v>
      </c>
      <c r="B460" t="s">
        <v>469</v>
      </c>
      <c r="C460" t="s">
        <v>1271</v>
      </c>
      <c r="D460" t="s">
        <v>811</v>
      </c>
      <c r="E460" t="s">
        <v>5</v>
      </c>
      <c r="F460" s="3">
        <v>5.7416666666666663</v>
      </c>
      <c r="G460" s="10">
        <f>VLOOKUP(Tabla1[[#This Row],[Código Unificador]],PRECIOS_COMPETENCIA!B:D,3,FALSE)</f>
        <v>27.150358333333333</v>
      </c>
      <c r="H460" s="10">
        <f>Tabla1[[#This Row],[PVP Competencia]]*0.98</f>
        <v>26.607351166666668</v>
      </c>
      <c r="I460" s="10">
        <f>Tabla1[[#This Row],[Precio Lista CDR]]*0.8</f>
        <v>21.285880933333335</v>
      </c>
      <c r="J460" s="10">
        <f>Tabla1[[#This Row],[Precio Lista CDR]]*0.7</f>
        <v>18.625145816666667</v>
      </c>
      <c r="K460" s="10">
        <f>Tabla1[[#This Row],[Precio Lista CDR]]*0.6</f>
        <v>15.9644107</v>
      </c>
      <c r="L460" s="12">
        <f>(Tabla1[[#This Row],[Precio Lista CDR]]-Tabla1[[#This Row],[PrecioFábrica]])/Tabla1[[#This Row],[Precio Lista CDR]]</f>
        <v>0.78420750601210731</v>
      </c>
      <c r="M460" s="12">
        <f>(Tabla1[[#This Row],[Lista 1 (20%)]]-Tabla1[[#This Row],[PrecioFábrica]])/Tabla1[[#This Row],[Lista 1 (20%)]]</f>
        <v>0.73025938251513411</v>
      </c>
      <c r="N460" s="12">
        <f>(Tabla1[[#This Row],[Lista 2 (30%)]]-Tabla1[[#This Row],[PrecioFábrica]])/Tabla1[[#This Row],[Lista 2 (30%)]]</f>
        <v>0.69172500858872465</v>
      </c>
      <c r="O460" s="12">
        <f>(Tabla1[[#This Row],[Lista 3 (40%)]]-Tabla1[[#This Row],[PrecioFábrica]])/Tabla1[[#This Row],[Lista 3 (40%)]]</f>
        <v>0.64034584335351219</v>
      </c>
    </row>
    <row r="461" spans="1:15">
      <c r="A461" t="s">
        <v>6</v>
      </c>
      <c r="B461" t="s">
        <v>470</v>
      </c>
      <c r="C461" t="s">
        <v>1272</v>
      </c>
      <c r="D461" t="s">
        <v>811</v>
      </c>
      <c r="E461" t="s">
        <v>5</v>
      </c>
      <c r="F461" s="3">
        <v>15.691666666666666</v>
      </c>
      <c r="G461" s="10">
        <f>VLOOKUP(Tabla1[[#This Row],[Código Unificador]],PRECIOS_COMPETENCIA!B:D,3,FALSE)</f>
        <v>57.326066666666662</v>
      </c>
      <c r="H461" s="10">
        <f>Tabla1[[#This Row],[PVP Competencia]]*0.98</f>
        <v>56.17954533333333</v>
      </c>
      <c r="I461" s="10">
        <f>Tabla1[[#This Row],[Precio Lista CDR]]*0.8</f>
        <v>44.943636266666665</v>
      </c>
      <c r="J461" s="10">
        <f>Tabla1[[#This Row],[Precio Lista CDR]]*0.7</f>
        <v>39.325681733333326</v>
      </c>
      <c r="K461" s="10">
        <f>Tabla1[[#This Row],[Precio Lista CDR]]*0.6</f>
        <v>33.707727199999994</v>
      </c>
      <c r="L461" s="12">
        <f>(Tabla1[[#This Row],[Precio Lista CDR]]-Tabla1[[#This Row],[PrecioFábrica]])/Tabla1[[#This Row],[Precio Lista CDR]]</f>
        <v>0.72068719008738147</v>
      </c>
      <c r="M461" s="12">
        <f>(Tabla1[[#This Row],[Lista 1 (20%)]]-Tabla1[[#This Row],[PrecioFábrica]])/Tabla1[[#This Row],[Lista 1 (20%)]]</f>
        <v>0.65085898760922689</v>
      </c>
      <c r="N461" s="12">
        <f>(Tabla1[[#This Row],[Lista 2 (30%)]]-Tabla1[[#This Row],[PrecioFábrica]])/Tabla1[[#This Row],[Lista 2 (30%)]]</f>
        <v>0.60098170012483065</v>
      </c>
      <c r="O461" s="12">
        <f>(Tabla1[[#This Row],[Lista 3 (40%)]]-Tabla1[[#This Row],[PrecioFábrica]])/Tabla1[[#This Row],[Lista 3 (40%)]]</f>
        <v>0.53447865014563578</v>
      </c>
    </row>
    <row r="462" spans="1:15">
      <c r="A462" t="s">
        <v>6</v>
      </c>
      <c r="B462" t="s">
        <v>471</v>
      </c>
      <c r="C462" t="s">
        <v>1273</v>
      </c>
      <c r="D462" t="s">
        <v>811</v>
      </c>
      <c r="E462" t="s">
        <v>5</v>
      </c>
      <c r="F462" s="3">
        <v>19.55</v>
      </c>
      <c r="G462" s="10">
        <f>VLOOKUP(Tabla1[[#This Row],[Código Unificador]],PRECIOS_COMPETENCIA!B:D,3,FALSE)</f>
        <v>68.39585000000001</v>
      </c>
      <c r="H462" s="10">
        <f>Tabla1[[#This Row],[PVP Competencia]]*0.98</f>
        <v>67.027933000000004</v>
      </c>
      <c r="I462" s="10">
        <f>Tabla1[[#This Row],[Precio Lista CDR]]*0.8</f>
        <v>53.622346400000005</v>
      </c>
      <c r="J462" s="10">
        <f>Tabla1[[#This Row],[Precio Lista CDR]]*0.7</f>
        <v>46.919553100000002</v>
      </c>
      <c r="K462" s="10">
        <f>Tabla1[[#This Row],[Precio Lista CDR]]*0.6</f>
        <v>40.216759799999998</v>
      </c>
      <c r="L462" s="12">
        <f>(Tabla1[[#This Row],[Precio Lista CDR]]-Tabla1[[#This Row],[PrecioFábrica]])/Tabla1[[#This Row],[Precio Lista CDR]]</f>
        <v>0.7083305552626844</v>
      </c>
      <c r="M462" s="12">
        <f>(Tabla1[[#This Row],[Lista 1 (20%)]]-Tabla1[[#This Row],[PrecioFábrica]])/Tabla1[[#This Row],[Lista 1 (20%)]]</f>
        <v>0.63541319407835528</v>
      </c>
      <c r="N462" s="12">
        <f>(Tabla1[[#This Row],[Lista 2 (30%)]]-Tabla1[[#This Row],[PrecioFábrica]])/Tabla1[[#This Row],[Lista 2 (30%)]]</f>
        <v>0.58332936466097751</v>
      </c>
      <c r="O462" s="12">
        <f>(Tabla1[[#This Row],[Lista 3 (40%)]]-Tabla1[[#This Row],[PrecioFábrica]])/Tabla1[[#This Row],[Lista 3 (40%)]]</f>
        <v>0.51388425877114041</v>
      </c>
    </row>
    <row r="463" spans="1:15">
      <c r="A463" t="s">
        <v>9</v>
      </c>
      <c r="B463" t="s">
        <v>472</v>
      </c>
      <c r="C463" t="s">
        <v>1274</v>
      </c>
      <c r="D463" t="s">
        <v>811</v>
      </c>
      <c r="E463" t="s">
        <v>5</v>
      </c>
      <c r="F463" s="3">
        <v>16.183333333333337</v>
      </c>
      <c r="G463" s="10">
        <f>VLOOKUP(Tabla1[[#This Row],[Código Unificador]],PRECIOS_COMPETENCIA!B:D,3,FALSE)</f>
        <v>58.80893333333335</v>
      </c>
      <c r="H463" s="10">
        <f>Tabla1[[#This Row],[PVP Competencia]]*0.98</f>
        <v>57.632754666666685</v>
      </c>
      <c r="I463" s="10">
        <f>Tabla1[[#This Row],[Precio Lista CDR]]*0.8</f>
        <v>46.106203733333352</v>
      </c>
      <c r="J463" s="10">
        <f>Tabla1[[#This Row],[Precio Lista CDR]]*0.7</f>
        <v>40.342928266666675</v>
      </c>
      <c r="K463" s="10">
        <f>Tabla1[[#This Row],[Precio Lista CDR]]*0.6</f>
        <v>34.579652800000012</v>
      </c>
      <c r="L463" s="12">
        <f>(Tabla1[[#This Row],[Precio Lista CDR]]-Tabla1[[#This Row],[PrecioFábrica]])/Tabla1[[#This Row],[Precio Lista CDR]]</f>
        <v>0.71919903140265196</v>
      </c>
      <c r="M463" s="12">
        <f>(Tabla1[[#This Row],[Lista 1 (20%)]]-Tabla1[[#This Row],[PrecioFábrica]])/Tabla1[[#This Row],[Lista 1 (20%)]]</f>
        <v>0.648998789253315</v>
      </c>
      <c r="N463" s="12">
        <f>(Tabla1[[#This Row],[Lista 2 (30%)]]-Tabla1[[#This Row],[PrecioFábrica]])/Tabla1[[#This Row],[Lista 2 (30%)]]</f>
        <v>0.59885575914664557</v>
      </c>
      <c r="O463" s="12">
        <f>(Tabla1[[#This Row],[Lista 3 (40%)]]-Tabla1[[#This Row],[PrecioFábrica]])/Tabla1[[#This Row],[Lista 3 (40%)]]</f>
        <v>0.53199838567108659</v>
      </c>
    </row>
    <row r="464" spans="1:15">
      <c r="A464" t="s">
        <v>9</v>
      </c>
      <c r="B464" t="s">
        <v>473</v>
      </c>
      <c r="C464" t="s">
        <v>1275</v>
      </c>
      <c r="D464" t="s">
        <v>811</v>
      </c>
      <c r="E464" t="s">
        <v>5</v>
      </c>
      <c r="F464" s="3">
        <v>4.2250000000000005</v>
      </c>
      <c r="G464" s="10">
        <f>VLOOKUP(Tabla1[[#This Row],[Código Unificador]],PRECIOS_COMPETENCIA!B:D,3,FALSE)</f>
        <v>23.232700000000001</v>
      </c>
      <c r="H464" s="10">
        <f>Tabla1[[#This Row],[PVP Competencia]]*0.98</f>
        <v>22.768046000000002</v>
      </c>
      <c r="I464" s="10">
        <f>Tabla1[[#This Row],[Precio Lista CDR]]*0.8</f>
        <v>18.214436800000001</v>
      </c>
      <c r="J464" s="10">
        <f>Tabla1[[#This Row],[Precio Lista CDR]]*0.7</f>
        <v>15.937632199999999</v>
      </c>
      <c r="K464" s="10">
        <f>Tabla1[[#This Row],[Precio Lista CDR]]*0.6</f>
        <v>13.660827600000001</v>
      </c>
      <c r="L464" s="12">
        <f>(Tabla1[[#This Row],[Precio Lista CDR]]-Tabla1[[#This Row],[PrecioFábrica]])/Tabla1[[#This Row],[Precio Lista CDR]]</f>
        <v>0.81443291180982325</v>
      </c>
      <c r="M464" s="12">
        <f>(Tabla1[[#This Row],[Lista 1 (20%)]]-Tabla1[[#This Row],[PrecioFábrica]])/Tabla1[[#This Row],[Lista 1 (20%)]]</f>
        <v>0.76804113976227906</v>
      </c>
      <c r="N464" s="12">
        <f>(Tabla1[[#This Row],[Lista 2 (30%)]]-Tabla1[[#This Row],[PrecioFábrica]])/Tabla1[[#This Row],[Lista 2 (30%)]]</f>
        <v>0.73490415972831891</v>
      </c>
      <c r="O464" s="12">
        <f>(Tabla1[[#This Row],[Lista 3 (40%)]]-Tabla1[[#This Row],[PrecioFábrica]])/Tabla1[[#This Row],[Lista 3 (40%)]]</f>
        <v>0.69072151968303874</v>
      </c>
    </row>
    <row r="465" spans="1:15">
      <c r="A465" t="s">
        <v>7</v>
      </c>
      <c r="B465" t="s">
        <v>474</v>
      </c>
      <c r="C465" t="s">
        <v>1276</v>
      </c>
      <c r="D465" t="s">
        <v>811</v>
      </c>
      <c r="E465" t="s">
        <v>5</v>
      </c>
      <c r="F465" s="3">
        <v>2.35</v>
      </c>
      <c r="G465" s="10">
        <f>VLOOKUP(Tabla1[[#This Row],[Código Unificador]],PRECIOS_COMPETENCIA!B:D,3,FALSE)</f>
        <v>17.087600000000002</v>
      </c>
      <c r="H465" s="10">
        <f>Tabla1[[#This Row],[PVP Competencia]]*0.98</f>
        <v>16.745848000000002</v>
      </c>
      <c r="I465" s="10">
        <f>Tabla1[[#This Row],[Precio Lista CDR]]*0.8</f>
        <v>13.396678400000003</v>
      </c>
      <c r="J465" s="10">
        <f>Tabla1[[#This Row],[Precio Lista CDR]]*0.7</f>
        <v>11.722093600000001</v>
      </c>
      <c r="K465" s="10">
        <f>Tabla1[[#This Row],[Precio Lista CDR]]*0.6</f>
        <v>10.047508800000001</v>
      </c>
      <c r="L465" s="12">
        <f>(Tabla1[[#This Row],[Precio Lista CDR]]-Tabla1[[#This Row],[PrecioFábrica]])/Tabla1[[#This Row],[Precio Lista CDR]]</f>
        <v>0.85966670663677358</v>
      </c>
      <c r="M465" s="12">
        <f>(Tabla1[[#This Row],[Lista 1 (20%)]]-Tabla1[[#This Row],[PrecioFábrica]])/Tabla1[[#This Row],[Lista 1 (20%)]]</f>
        <v>0.82458338329596692</v>
      </c>
      <c r="N465" s="12">
        <f>(Tabla1[[#This Row],[Lista 2 (30%)]]-Tabla1[[#This Row],[PrecioFábrica]])/Tabla1[[#This Row],[Lista 2 (30%)]]</f>
        <v>0.79952386662396213</v>
      </c>
      <c r="O465" s="12">
        <f>(Tabla1[[#This Row],[Lista 3 (40%)]]-Tabla1[[#This Row],[PrecioFábrica]])/Tabla1[[#This Row],[Lista 3 (40%)]]</f>
        <v>0.76611117772795589</v>
      </c>
    </row>
    <row r="466" spans="1:15">
      <c r="A466" t="s">
        <v>9</v>
      </c>
      <c r="B466" t="s">
        <v>475</v>
      </c>
      <c r="C466" t="s">
        <v>1277</v>
      </c>
      <c r="D466" t="s">
        <v>811</v>
      </c>
      <c r="E466" t="s">
        <v>5</v>
      </c>
      <c r="F466" s="3">
        <v>21.541666666666668</v>
      </c>
      <c r="G466" s="10">
        <f>VLOOKUP(Tabla1[[#This Row],[Código Unificador]],PRECIOS_COMPETENCIA!B:D,3,FALSE)</f>
        <v>76.843791666666675</v>
      </c>
      <c r="H466" s="10">
        <f>Tabla1[[#This Row],[PVP Competencia]]*0.98</f>
        <v>75.306915833333335</v>
      </c>
      <c r="I466" s="10">
        <f>Tabla1[[#This Row],[Precio Lista CDR]]*0.8</f>
        <v>60.245532666666669</v>
      </c>
      <c r="J466" s="10">
        <f>Tabla1[[#This Row],[Precio Lista CDR]]*0.7</f>
        <v>52.714841083333333</v>
      </c>
      <c r="K466" s="10">
        <f>Tabla1[[#This Row],[Precio Lista CDR]]*0.6</f>
        <v>45.184149499999997</v>
      </c>
      <c r="L466" s="12">
        <f>(Tabla1[[#This Row],[Precio Lista CDR]]-Tabla1[[#This Row],[PrecioFábrica]])/Tabla1[[#This Row],[Precio Lista CDR]]</f>
        <v>0.71394836147131635</v>
      </c>
      <c r="M466" s="12">
        <f>(Tabla1[[#This Row],[Lista 1 (20%)]]-Tabla1[[#This Row],[PrecioFábrica]])/Tabla1[[#This Row],[Lista 1 (20%)]]</f>
        <v>0.64243545183914552</v>
      </c>
      <c r="N466" s="12">
        <f>(Tabla1[[#This Row],[Lista 2 (30%)]]-Tabla1[[#This Row],[PrecioFábrica]])/Tabla1[[#This Row],[Lista 2 (30%)]]</f>
        <v>0.59135480210188052</v>
      </c>
      <c r="O466" s="12">
        <f>(Tabla1[[#This Row],[Lista 3 (40%)]]-Tabla1[[#This Row],[PrecioFábrica]])/Tabla1[[#This Row],[Lista 3 (40%)]]</f>
        <v>0.52324726911886055</v>
      </c>
    </row>
    <row r="467" spans="1:15">
      <c r="A467" t="s">
        <v>9</v>
      </c>
      <c r="B467" t="s">
        <v>476</v>
      </c>
      <c r="C467" t="s">
        <v>1278</v>
      </c>
      <c r="D467" t="s">
        <v>811</v>
      </c>
      <c r="E467" t="s">
        <v>5</v>
      </c>
      <c r="F467" s="3">
        <v>18.891666666666669</v>
      </c>
      <c r="G467" s="10">
        <f>VLOOKUP(Tabla1[[#This Row],[Código Unificador]],PRECIOS_COMPETENCIA!B:D,3,FALSE)</f>
        <v>67.525125000000003</v>
      </c>
      <c r="H467" s="10">
        <f>Tabla1[[#This Row],[PVP Competencia]]*0.98</f>
        <v>66.174622499999998</v>
      </c>
      <c r="I467" s="10">
        <f>Tabla1[[#This Row],[Precio Lista CDR]]*0.8</f>
        <v>52.939698</v>
      </c>
      <c r="J467" s="10">
        <f>Tabla1[[#This Row],[Precio Lista CDR]]*0.7</f>
        <v>46.322235749999997</v>
      </c>
      <c r="K467" s="10">
        <f>Tabla1[[#This Row],[Precio Lista CDR]]*0.6</f>
        <v>39.704773499999995</v>
      </c>
      <c r="L467" s="12">
        <f>(Tabla1[[#This Row],[Precio Lista CDR]]-Tabla1[[#This Row],[PrecioFábrica]])/Tabla1[[#This Row],[Precio Lista CDR]]</f>
        <v>0.71451795336397017</v>
      </c>
      <c r="M467" s="12">
        <f>(Tabla1[[#This Row],[Lista 1 (20%)]]-Tabla1[[#This Row],[PrecioFábrica]])/Tabla1[[#This Row],[Lista 1 (20%)]]</f>
        <v>0.64314744170496263</v>
      </c>
      <c r="N467" s="12">
        <f>(Tabla1[[#This Row],[Lista 2 (30%)]]-Tabla1[[#This Row],[PrecioFábrica]])/Tabla1[[#This Row],[Lista 2 (30%)]]</f>
        <v>0.59216850480567162</v>
      </c>
      <c r="O467" s="12">
        <f>(Tabla1[[#This Row],[Lista 3 (40%)]]-Tabla1[[#This Row],[PrecioFábrica]])/Tabla1[[#This Row],[Lista 3 (40%)]]</f>
        <v>0.52419658893995025</v>
      </c>
    </row>
    <row r="468" spans="1:15">
      <c r="A468" t="s">
        <v>9</v>
      </c>
      <c r="B468" t="s">
        <v>477</v>
      </c>
      <c r="C468" t="s">
        <v>1279</v>
      </c>
      <c r="D468" t="s">
        <v>811</v>
      </c>
      <c r="E468" t="s">
        <v>5</v>
      </c>
      <c r="F468" s="3">
        <v>18.241666666666667</v>
      </c>
      <c r="G468" s="10">
        <f>VLOOKUP(Tabla1[[#This Row],[Código Unificador]],PRECIOS_COMPETENCIA!B:D,3,FALSE)</f>
        <v>63.958850000000005</v>
      </c>
      <c r="H468" s="10">
        <f>Tabla1[[#This Row],[PVP Competencia]]*0.98</f>
        <v>62.679673000000001</v>
      </c>
      <c r="I468" s="10">
        <f>Tabla1[[#This Row],[Precio Lista CDR]]*0.8</f>
        <v>50.143738400000004</v>
      </c>
      <c r="J468" s="10">
        <f>Tabla1[[#This Row],[Precio Lista CDR]]*0.7</f>
        <v>43.875771100000001</v>
      </c>
      <c r="K468" s="10">
        <f>Tabla1[[#This Row],[Precio Lista CDR]]*0.6</f>
        <v>37.607803799999999</v>
      </c>
      <c r="L468" s="12">
        <f>(Tabla1[[#This Row],[Precio Lista CDR]]-Tabla1[[#This Row],[PrecioFábrica]])/Tabla1[[#This Row],[Precio Lista CDR]]</f>
        <v>0.70896997713011889</v>
      </c>
      <c r="M468" s="12">
        <f>(Tabla1[[#This Row],[Lista 1 (20%)]]-Tabla1[[#This Row],[PrecioFábrica]])/Tabla1[[#This Row],[Lista 1 (20%)]]</f>
        <v>0.63621247141264869</v>
      </c>
      <c r="N468" s="12">
        <f>(Tabla1[[#This Row],[Lista 2 (30%)]]-Tabla1[[#This Row],[PrecioFábrica]])/Tabla1[[#This Row],[Lista 2 (30%)]]</f>
        <v>0.58424282447159848</v>
      </c>
      <c r="O468" s="12">
        <f>(Tabla1[[#This Row],[Lista 3 (40%)]]-Tabla1[[#This Row],[PrecioFábrica]])/Tabla1[[#This Row],[Lista 3 (40%)]]</f>
        <v>0.51494996188353148</v>
      </c>
    </row>
    <row r="469" spans="1:15">
      <c r="A469" t="s">
        <v>6</v>
      </c>
      <c r="B469" t="s">
        <v>478</v>
      </c>
      <c r="C469" t="s">
        <v>1280</v>
      </c>
      <c r="D469" t="s">
        <v>811</v>
      </c>
      <c r="E469" t="s">
        <v>5</v>
      </c>
      <c r="F469" s="3">
        <v>8.4</v>
      </c>
      <c r="G469" s="10">
        <f>VLOOKUP(Tabla1[[#This Row],[Código Unificador]],PRECIOS_COMPETENCIA!B:D,3,FALSE)</f>
        <v>36.065200000000004</v>
      </c>
      <c r="H469" s="10">
        <f>Tabla1[[#This Row],[PVP Competencia]]*0.98</f>
        <v>35.343896000000001</v>
      </c>
      <c r="I469" s="10">
        <f>Tabla1[[#This Row],[Precio Lista CDR]]*0.8</f>
        <v>28.275116800000003</v>
      </c>
      <c r="J469" s="10">
        <f>Tabla1[[#This Row],[Precio Lista CDR]]*0.7</f>
        <v>24.740727199999998</v>
      </c>
      <c r="K469" s="10">
        <f>Tabla1[[#This Row],[Precio Lista CDR]]*0.6</f>
        <v>21.206337600000001</v>
      </c>
      <c r="L469" s="12">
        <f>(Tabla1[[#This Row],[Precio Lista CDR]]-Tabla1[[#This Row],[PrecioFábrica]])/Tabla1[[#This Row],[Precio Lista CDR]]</f>
        <v>0.76233519926609117</v>
      </c>
      <c r="M469" s="12">
        <f>(Tabla1[[#This Row],[Lista 1 (20%)]]-Tabla1[[#This Row],[PrecioFábrica]])/Tabla1[[#This Row],[Lista 1 (20%)]]</f>
        <v>0.70291899908261379</v>
      </c>
      <c r="N469" s="12">
        <f>(Tabla1[[#This Row],[Lista 2 (30%)]]-Tabla1[[#This Row],[PrecioFábrica]])/Tabla1[[#This Row],[Lista 2 (30%)]]</f>
        <v>0.6604788560944157</v>
      </c>
      <c r="O469" s="12">
        <f>(Tabla1[[#This Row],[Lista 3 (40%)]]-Tabla1[[#This Row],[PrecioFábrica]])/Tabla1[[#This Row],[Lista 3 (40%)]]</f>
        <v>0.60389199877681854</v>
      </c>
    </row>
    <row r="470" spans="1:15">
      <c r="A470" t="s">
        <v>9</v>
      </c>
      <c r="B470" t="s">
        <v>479</v>
      </c>
      <c r="C470" t="s">
        <v>1281</v>
      </c>
      <c r="D470" t="s">
        <v>811</v>
      </c>
      <c r="E470" t="s">
        <v>5</v>
      </c>
      <c r="F470" s="3">
        <v>7.3833333333333329</v>
      </c>
      <c r="G470" s="10">
        <f>VLOOKUP(Tabla1[[#This Row],[Código Unificador]],PRECIOS_COMPETENCIA!B:D,3,FALSE)</f>
        <v>32.268133333333331</v>
      </c>
      <c r="H470" s="10">
        <f>Tabla1[[#This Row],[PVP Competencia]]*0.98</f>
        <v>31.622770666666664</v>
      </c>
      <c r="I470" s="10">
        <f>Tabla1[[#This Row],[Precio Lista CDR]]*0.8</f>
        <v>25.298216533333331</v>
      </c>
      <c r="J470" s="10">
        <f>Tabla1[[#This Row],[Precio Lista CDR]]*0.7</f>
        <v>22.135939466666663</v>
      </c>
      <c r="K470" s="10">
        <f>Tabla1[[#This Row],[Precio Lista CDR]]*0.6</f>
        <v>18.973662399999998</v>
      </c>
      <c r="L470" s="12">
        <f>(Tabla1[[#This Row],[Precio Lista CDR]]-Tabla1[[#This Row],[PrecioFábrica]])/Tabla1[[#This Row],[Precio Lista CDR]]</f>
        <v>0.76651845560401666</v>
      </c>
      <c r="M470" s="12">
        <f>(Tabla1[[#This Row],[Lista 1 (20%)]]-Tabla1[[#This Row],[PrecioFábrica]])/Tabla1[[#This Row],[Lista 1 (20%)]]</f>
        <v>0.70814806950502085</v>
      </c>
      <c r="N470" s="12">
        <f>(Tabla1[[#This Row],[Lista 2 (30%)]]-Tabla1[[#This Row],[PrecioFábrica]])/Tabla1[[#This Row],[Lista 2 (30%)]]</f>
        <v>0.66645493657716659</v>
      </c>
      <c r="O470" s="12">
        <f>(Tabla1[[#This Row],[Lista 3 (40%)]]-Tabla1[[#This Row],[PrecioFábrica]])/Tabla1[[#This Row],[Lista 3 (40%)]]</f>
        <v>0.61086409267336106</v>
      </c>
    </row>
    <row r="471" spans="1:15">
      <c r="A471" t="s">
        <v>9</v>
      </c>
      <c r="B471" t="s">
        <v>480</v>
      </c>
      <c r="C471" t="s">
        <v>1282</v>
      </c>
      <c r="D471" t="s">
        <v>811</v>
      </c>
      <c r="E471" t="s">
        <v>5</v>
      </c>
      <c r="F471" s="3">
        <v>24.683333333333334</v>
      </c>
      <c r="G471" s="10">
        <f>VLOOKUP(Tabla1[[#This Row],[Código Unificador]],PRECIOS_COMPETENCIA!B:D,3,FALSE)</f>
        <v>93.72911666666667</v>
      </c>
      <c r="H471" s="10">
        <f>Tabla1[[#This Row],[PVP Competencia]]*0.98</f>
        <v>91.854534333333334</v>
      </c>
      <c r="I471" s="10">
        <f>Tabla1[[#This Row],[Precio Lista CDR]]*0.8</f>
        <v>73.483627466666675</v>
      </c>
      <c r="J471" s="10">
        <f>Tabla1[[#This Row],[Precio Lista CDR]]*0.7</f>
        <v>64.298174033333325</v>
      </c>
      <c r="K471" s="10">
        <f>Tabla1[[#This Row],[Precio Lista CDR]]*0.6</f>
        <v>55.112720599999996</v>
      </c>
      <c r="L471" s="12">
        <f>(Tabla1[[#This Row],[Precio Lista CDR]]-Tabla1[[#This Row],[PrecioFábrica]])/Tabla1[[#This Row],[Precio Lista CDR]]</f>
        <v>0.73127800916436703</v>
      </c>
      <c r="M471" s="12">
        <f>(Tabla1[[#This Row],[Lista 1 (20%)]]-Tabla1[[#This Row],[PrecioFábrica]])/Tabla1[[#This Row],[Lista 1 (20%)]]</f>
        <v>0.66409751145545881</v>
      </c>
      <c r="N471" s="12">
        <f>(Tabla1[[#This Row],[Lista 2 (30%)]]-Tabla1[[#This Row],[PrecioFábrica]])/Tabla1[[#This Row],[Lista 2 (30%)]]</f>
        <v>0.61611144166338139</v>
      </c>
      <c r="O471" s="12">
        <f>(Tabla1[[#This Row],[Lista 3 (40%)]]-Tabla1[[#This Row],[PrecioFábrica]])/Tabla1[[#This Row],[Lista 3 (40%)]]</f>
        <v>0.55213001527394501</v>
      </c>
    </row>
    <row r="472" spans="1:15">
      <c r="A472" t="s">
        <v>6</v>
      </c>
      <c r="B472" t="s">
        <v>481</v>
      </c>
      <c r="C472" t="s">
        <v>1283</v>
      </c>
      <c r="D472" t="s">
        <v>811</v>
      </c>
      <c r="E472" t="s">
        <v>5</v>
      </c>
      <c r="F472" s="3">
        <v>21.958333333333336</v>
      </c>
      <c r="G472" s="10">
        <f>VLOOKUP(Tabla1[[#This Row],[Código Unificador]],PRECIOS_COMPETENCIA!B:D,3,FALSE)</f>
        <v>76.226333333333343</v>
      </c>
      <c r="H472" s="10">
        <f>Tabla1[[#This Row],[PVP Competencia]]*0.98</f>
        <v>74.70180666666667</v>
      </c>
      <c r="I472" s="10">
        <f>Tabla1[[#This Row],[Precio Lista CDR]]*0.8</f>
        <v>59.761445333333342</v>
      </c>
      <c r="J472" s="10">
        <f>Tabla1[[#This Row],[Precio Lista CDR]]*0.7</f>
        <v>52.291264666666663</v>
      </c>
      <c r="K472" s="10">
        <f>Tabla1[[#This Row],[Precio Lista CDR]]*0.6</f>
        <v>44.821083999999999</v>
      </c>
      <c r="L472" s="12">
        <f>(Tabla1[[#This Row],[Precio Lista CDR]]-Tabla1[[#This Row],[PrecioFábrica]])/Tabla1[[#This Row],[Precio Lista CDR]]</f>
        <v>0.70605351713492692</v>
      </c>
      <c r="M472" s="12">
        <f>(Tabla1[[#This Row],[Lista 1 (20%)]]-Tabla1[[#This Row],[PrecioFábrica]])/Tabla1[[#This Row],[Lista 1 (20%)]]</f>
        <v>0.63256689641865871</v>
      </c>
      <c r="N472" s="12">
        <f>(Tabla1[[#This Row],[Lista 2 (30%)]]-Tabla1[[#This Row],[PrecioFábrica]])/Tabla1[[#This Row],[Lista 2 (30%)]]</f>
        <v>0.58007645304989552</v>
      </c>
      <c r="O472" s="12">
        <f>(Tabla1[[#This Row],[Lista 3 (40%)]]-Tabla1[[#This Row],[PrecioFábrica]])/Tabla1[[#This Row],[Lista 3 (40%)]]</f>
        <v>0.51008919522487817</v>
      </c>
    </row>
    <row r="473" spans="1:15">
      <c r="A473" t="s">
        <v>6</v>
      </c>
      <c r="B473" t="s">
        <v>482</v>
      </c>
      <c r="C473" t="s">
        <v>1284</v>
      </c>
      <c r="D473" t="s">
        <v>811</v>
      </c>
      <c r="E473" t="s">
        <v>5</v>
      </c>
      <c r="F473" s="3">
        <v>28.650000000000002</v>
      </c>
      <c r="G473" s="10">
        <f>VLOOKUP(Tabla1[[#This Row],[Código Unificador]],PRECIOS_COMPETENCIA!B:D,3,FALSE)</f>
        <v>99.731800000000021</v>
      </c>
      <c r="H473" s="10">
        <f>Tabla1[[#This Row],[PVP Competencia]]*0.98</f>
        <v>97.737164000000021</v>
      </c>
      <c r="I473" s="10">
        <f>Tabla1[[#This Row],[Precio Lista CDR]]*0.8</f>
        <v>78.189731200000026</v>
      </c>
      <c r="J473" s="10">
        <f>Tabla1[[#This Row],[Precio Lista CDR]]*0.7</f>
        <v>68.416014800000013</v>
      </c>
      <c r="K473" s="10">
        <f>Tabla1[[#This Row],[Precio Lista CDR]]*0.6</f>
        <v>58.642298400000008</v>
      </c>
      <c r="L473" s="12">
        <f>(Tabla1[[#This Row],[Precio Lista CDR]]-Tabla1[[#This Row],[PrecioFábrica]])/Tabla1[[#This Row],[Precio Lista CDR]]</f>
        <v>0.70686687819180016</v>
      </c>
      <c r="M473" s="12">
        <f>(Tabla1[[#This Row],[Lista 1 (20%)]]-Tabla1[[#This Row],[PrecioFábrica]])/Tabla1[[#This Row],[Lista 1 (20%)]]</f>
        <v>0.63358359773975026</v>
      </c>
      <c r="N473" s="12">
        <f>(Tabla1[[#This Row],[Lista 2 (30%)]]-Tabla1[[#This Row],[PrecioFábrica]])/Tabla1[[#This Row],[Lista 2 (30%)]]</f>
        <v>0.58123839741685746</v>
      </c>
      <c r="O473" s="12">
        <f>(Tabla1[[#This Row],[Lista 3 (40%)]]-Tabla1[[#This Row],[PrecioFábrica]])/Tabla1[[#This Row],[Lista 3 (40%)]]</f>
        <v>0.51144479698633372</v>
      </c>
    </row>
    <row r="474" spans="1:15">
      <c r="A474" t="s">
        <v>9</v>
      </c>
      <c r="B474" t="s">
        <v>483</v>
      </c>
      <c r="C474" t="s">
        <v>1285</v>
      </c>
      <c r="D474" t="s">
        <v>811</v>
      </c>
      <c r="E474" t="s">
        <v>5</v>
      </c>
      <c r="F474" s="3">
        <v>11.35</v>
      </c>
      <c r="G474" s="10">
        <f>VLOOKUP(Tabla1[[#This Row],[Código Unificador]],PRECIOS_COMPETENCIA!B:D,3,FALSE)</f>
        <v>43.573300000000003</v>
      </c>
      <c r="H474" s="10">
        <f>Tabla1[[#This Row],[PVP Competencia]]*0.98</f>
        <v>42.701834000000005</v>
      </c>
      <c r="I474" s="10">
        <f>Tabla1[[#This Row],[Precio Lista CDR]]*0.8</f>
        <v>34.161467200000004</v>
      </c>
      <c r="J474" s="10">
        <f>Tabla1[[#This Row],[Precio Lista CDR]]*0.7</f>
        <v>29.8912838</v>
      </c>
      <c r="K474" s="10">
        <f>Tabla1[[#This Row],[Precio Lista CDR]]*0.6</f>
        <v>25.621100400000003</v>
      </c>
      <c r="L474" s="12">
        <f>(Tabla1[[#This Row],[Precio Lista CDR]]-Tabla1[[#This Row],[PrecioFábrica]])/Tabla1[[#This Row],[Precio Lista CDR]]</f>
        <v>0.73420345365025774</v>
      </c>
      <c r="M474" s="12">
        <f>(Tabla1[[#This Row],[Lista 1 (20%)]]-Tabla1[[#This Row],[PrecioFábrica]])/Tabla1[[#This Row],[Lista 1 (20%)]]</f>
        <v>0.66775431706282218</v>
      </c>
      <c r="N474" s="12">
        <f>(Tabla1[[#This Row],[Lista 2 (30%)]]-Tabla1[[#This Row],[PrecioFábrica]])/Tabla1[[#This Row],[Lista 2 (30%)]]</f>
        <v>0.62029064807179679</v>
      </c>
      <c r="O474" s="12">
        <f>(Tabla1[[#This Row],[Lista 3 (40%)]]-Tabla1[[#This Row],[PrecioFábrica]])/Tabla1[[#This Row],[Lista 3 (40%)]]</f>
        <v>0.55700575608376302</v>
      </c>
    </row>
    <row r="475" spans="1:15">
      <c r="A475" t="s">
        <v>6</v>
      </c>
      <c r="B475" t="s">
        <v>484</v>
      </c>
      <c r="C475" t="s">
        <v>1286</v>
      </c>
      <c r="D475" t="s">
        <v>811</v>
      </c>
      <c r="E475" t="s">
        <v>5</v>
      </c>
      <c r="F475" s="3">
        <v>5.7416666666666663</v>
      </c>
      <c r="G475" s="10">
        <f>VLOOKUP(Tabla1[[#This Row],[Código Unificador]],PRECIOS_COMPETENCIA!B:D,3,FALSE)</f>
        <v>27.816391666666664</v>
      </c>
      <c r="H475" s="10">
        <f>Tabla1[[#This Row],[PVP Competencia]]*0.98</f>
        <v>27.26006383333333</v>
      </c>
      <c r="I475" s="10">
        <f>Tabla1[[#This Row],[Precio Lista CDR]]*0.8</f>
        <v>21.808051066666664</v>
      </c>
      <c r="J475" s="10">
        <f>Tabla1[[#This Row],[Precio Lista CDR]]*0.7</f>
        <v>19.082044683333329</v>
      </c>
      <c r="K475" s="10">
        <f>Tabla1[[#This Row],[Precio Lista CDR]]*0.6</f>
        <v>16.356038299999998</v>
      </c>
      <c r="L475" s="12">
        <f>(Tabla1[[#This Row],[Precio Lista CDR]]-Tabla1[[#This Row],[PrecioFábrica]])/Tabla1[[#This Row],[Precio Lista CDR]]</f>
        <v>0.78937442326727736</v>
      </c>
      <c r="M475" s="12">
        <f>(Tabla1[[#This Row],[Lista 1 (20%)]]-Tabla1[[#This Row],[PrecioFábrica]])/Tabla1[[#This Row],[Lista 1 (20%)]]</f>
        <v>0.73671802908409667</v>
      </c>
      <c r="N475" s="12">
        <f>(Tabla1[[#This Row],[Lista 2 (30%)]]-Tabla1[[#This Row],[PrecioFábrica]])/Tabla1[[#This Row],[Lista 2 (30%)]]</f>
        <v>0.69910631895325337</v>
      </c>
      <c r="O475" s="12">
        <f>(Tabla1[[#This Row],[Lista 3 (40%)]]-Tabla1[[#This Row],[PrecioFábrica]])/Tabla1[[#This Row],[Lista 3 (40%)]]</f>
        <v>0.64895737211212889</v>
      </c>
    </row>
    <row r="476" spans="1:15">
      <c r="A476" t="s">
        <v>6</v>
      </c>
      <c r="B476" t="s">
        <v>485</v>
      </c>
      <c r="C476" t="s">
        <v>1287</v>
      </c>
      <c r="D476" t="s">
        <v>811</v>
      </c>
      <c r="E476" t="s">
        <v>5</v>
      </c>
      <c r="F476" s="3">
        <v>5.7416666666666663</v>
      </c>
      <c r="G476" s="10">
        <f>VLOOKUP(Tabla1[[#This Row],[Código Unificador]],PRECIOS_COMPETENCIA!B:D,3,FALSE)</f>
        <v>27.816391666666664</v>
      </c>
      <c r="H476" s="10">
        <f>Tabla1[[#This Row],[PVP Competencia]]*0.98</f>
        <v>27.26006383333333</v>
      </c>
      <c r="I476" s="10">
        <f>Tabla1[[#This Row],[Precio Lista CDR]]*0.8</f>
        <v>21.808051066666664</v>
      </c>
      <c r="J476" s="10">
        <f>Tabla1[[#This Row],[Precio Lista CDR]]*0.7</f>
        <v>19.082044683333329</v>
      </c>
      <c r="K476" s="10">
        <f>Tabla1[[#This Row],[Precio Lista CDR]]*0.6</f>
        <v>16.356038299999998</v>
      </c>
      <c r="L476" s="12">
        <f>(Tabla1[[#This Row],[Precio Lista CDR]]-Tabla1[[#This Row],[PrecioFábrica]])/Tabla1[[#This Row],[Precio Lista CDR]]</f>
        <v>0.78937442326727736</v>
      </c>
      <c r="M476" s="12">
        <f>(Tabla1[[#This Row],[Lista 1 (20%)]]-Tabla1[[#This Row],[PrecioFábrica]])/Tabla1[[#This Row],[Lista 1 (20%)]]</f>
        <v>0.73671802908409667</v>
      </c>
      <c r="N476" s="12">
        <f>(Tabla1[[#This Row],[Lista 2 (30%)]]-Tabla1[[#This Row],[PrecioFábrica]])/Tabla1[[#This Row],[Lista 2 (30%)]]</f>
        <v>0.69910631895325337</v>
      </c>
      <c r="O476" s="12">
        <f>(Tabla1[[#This Row],[Lista 3 (40%)]]-Tabla1[[#This Row],[PrecioFábrica]])/Tabla1[[#This Row],[Lista 3 (40%)]]</f>
        <v>0.64895737211212889</v>
      </c>
    </row>
    <row r="477" spans="1:15">
      <c r="A477" t="s">
        <v>6</v>
      </c>
      <c r="B477" t="s">
        <v>486</v>
      </c>
      <c r="C477" t="s">
        <v>1288</v>
      </c>
      <c r="D477" t="s">
        <v>811</v>
      </c>
      <c r="E477" t="s">
        <v>5</v>
      </c>
      <c r="F477" s="3">
        <v>6.9333333333333336</v>
      </c>
      <c r="G477" s="10">
        <f>VLOOKUP(Tabla1[[#This Row],[Código Unificador]],PRECIOS_COMPETENCIA!B:D,3,FALSE)</f>
        <v>31.514133333333337</v>
      </c>
      <c r="H477" s="10">
        <f>Tabla1[[#This Row],[PVP Competencia]]*0.98</f>
        <v>30.883850666666671</v>
      </c>
      <c r="I477" s="10">
        <f>Tabla1[[#This Row],[Precio Lista CDR]]*0.8</f>
        <v>24.70708053333334</v>
      </c>
      <c r="J477" s="10">
        <f>Tabla1[[#This Row],[Precio Lista CDR]]*0.7</f>
        <v>21.618695466666669</v>
      </c>
      <c r="K477" s="10">
        <f>Tabla1[[#This Row],[Precio Lista CDR]]*0.6</f>
        <v>18.530310400000001</v>
      </c>
      <c r="L477" s="12">
        <f>(Tabla1[[#This Row],[Precio Lista CDR]]-Tabla1[[#This Row],[PrecioFábrica]])/Tabla1[[#This Row],[Precio Lista CDR]]</f>
        <v>0.77550295110005285</v>
      </c>
      <c r="M477" s="12">
        <f>(Tabla1[[#This Row],[Lista 1 (20%)]]-Tabla1[[#This Row],[PrecioFábrica]])/Tabla1[[#This Row],[Lista 1 (20%)]]</f>
        <v>0.71937868887506606</v>
      </c>
      <c r="N477" s="12">
        <f>(Tabla1[[#This Row],[Lista 2 (30%)]]-Tabla1[[#This Row],[PrecioFábrica]])/Tabla1[[#This Row],[Lista 2 (30%)]]</f>
        <v>0.6792899301429326</v>
      </c>
      <c r="O477" s="12">
        <f>(Tabla1[[#This Row],[Lista 3 (40%)]]-Tabla1[[#This Row],[PrecioFábrica]])/Tabla1[[#This Row],[Lista 3 (40%)]]</f>
        <v>0.62583825183342134</v>
      </c>
    </row>
    <row r="478" spans="1:15">
      <c r="A478" t="s">
        <v>9</v>
      </c>
      <c r="B478" t="s">
        <v>487</v>
      </c>
      <c r="C478" t="s">
        <v>1289</v>
      </c>
      <c r="D478" t="s">
        <v>811</v>
      </c>
      <c r="E478" t="s">
        <v>5</v>
      </c>
      <c r="F478" s="3">
        <v>23.558333333333334</v>
      </c>
      <c r="G478" s="10">
        <f>VLOOKUP(Tabla1[[#This Row],[Código Unificador]],PRECIOS_COMPETENCIA!B:D,3,FALSE)</f>
        <v>82.418316666666669</v>
      </c>
      <c r="H478" s="10">
        <f>Tabla1[[#This Row],[PVP Competencia]]*0.98</f>
        <v>80.769950333333341</v>
      </c>
      <c r="I478" s="10">
        <f>Tabla1[[#This Row],[Precio Lista CDR]]*0.8</f>
        <v>64.615960266666676</v>
      </c>
      <c r="J478" s="10">
        <f>Tabla1[[#This Row],[Precio Lista CDR]]*0.7</f>
        <v>56.538965233333336</v>
      </c>
      <c r="K478" s="10">
        <f>Tabla1[[#This Row],[Precio Lista CDR]]*0.6</f>
        <v>48.461970200000003</v>
      </c>
      <c r="L478" s="12">
        <f>(Tabla1[[#This Row],[Precio Lista CDR]]-Tabla1[[#This Row],[PrecioFábrica]])/Tabla1[[#This Row],[Precio Lista CDR]]</f>
        <v>0.70832799529887869</v>
      </c>
      <c r="M478" s="12">
        <f>(Tabla1[[#This Row],[Lista 1 (20%)]]-Tabla1[[#This Row],[PrecioFábrica]])/Tabla1[[#This Row],[Lista 1 (20%)]]</f>
        <v>0.63540999412359833</v>
      </c>
      <c r="N478" s="12">
        <f>(Tabla1[[#This Row],[Lista 2 (30%)]]-Tabla1[[#This Row],[PrecioFábrica]])/Tabla1[[#This Row],[Lista 2 (30%)]]</f>
        <v>0.58332570756982682</v>
      </c>
      <c r="O478" s="12">
        <f>(Tabla1[[#This Row],[Lista 3 (40%)]]-Tabla1[[#This Row],[PrecioFábrica]])/Tabla1[[#This Row],[Lista 3 (40%)]]</f>
        <v>0.51387999216479785</v>
      </c>
    </row>
    <row r="479" spans="1:15">
      <c r="A479" t="s">
        <v>6</v>
      </c>
      <c r="B479" t="s">
        <v>488</v>
      </c>
      <c r="C479" t="s">
        <v>1290</v>
      </c>
      <c r="D479" t="s">
        <v>811</v>
      </c>
      <c r="E479" t="s">
        <v>5</v>
      </c>
      <c r="F479" s="3">
        <v>13.841666666666667</v>
      </c>
      <c r="G479" s="10">
        <f>VLOOKUP(Tabla1[[#This Row],[Código Unificador]],PRECIOS_COMPETENCIA!B:D,3,FALSE)</f>
        <v>52.147874999999999</v>
      </c>
      <c r="H479" s="10">
        <f>Tabla1[[#This Row],[PVP Competencia]]*0.98</f>
        <v>51.104917499999999</v>
      </c>
      <c r="I479" s="10">
        <f>Tabla1[[#This Row],[Precio Lista CDR]]*0.8</f>
        <v>40.883934000000004</v>
      </c>
      <c r="J479" s="10">
        <f>Tabla1[[#This Row],[Precio Lista CDR]]*0.7</f>
        <v>35.773442249999995</v>
      </c>
      <c r="K479" s="10">
        <f>Tabla1[[#This Row],[Precio Lista CDR]]*0.6</f>
        <v>30.662950499999997</v>
      </c>
      <c r="L479" s="12">
        <f>(Tabla1[[#This Row],[Precio Lista CDR]]-Tabla1[[#This Row],[PrecioFábrica]])/Tabla1[[#This Row],[Precio Lista CDR]]</f>
        <v>0.72915196142002048</v>
      </c>
      <c r="M479" s="12">
        <f>(Tabla1[[#This Row],[Lista 1 (20%)]]-Tabla1[[#This Row],[PrecioFábrica]])/Tabla1[[#This Row],[Lista 1 (20%)]]</f>
        <v>0.66143995177502568</v>
      </c>
      <c r="N479" s="12">
        <f>(Tabla1[[#This Row],[Lista 2 (30%)]]-Tabla1[[#This Row],[PrecioFábrica]])/Tabla1[[#This Row],[Lista 2 (30%)]]</f>
        <v>0.6130742306000293</v>
      </c>
      <c r="O479" s="12">
        <f>(Tabla1[[#This Row],[Lista 3 (40%)]]-Tabla1[[#This Row],[PrecioFábrica]])/Tabla1[[#This Row],[Lista 3 (40%)]]</f>
        <v>0.54858660236670098</v>
      </c>
    </row>
    <row r="480" spans="1:15">
      <c r="A480" t="s">
        <v>9</v>
      </c>
      <c r="B480" t="s">
        <v>489</v>
      </c>
      <c r="C480" t="s">
        <v>1291</v>
      </c>
      <c r="D480" t="s">
        <v>811</v>
      </c>
      <c r="E480" t="s">
        <v>5</v>
      </c>
      <c r="F480" s="3">
        <v>4.8583333333333334</v>
      </c>
      <c r="G480" s="10">
        <f>VLOOKUP(Tabla1[[#This Row],[Código Unificador]],PRECIOS_COMPETENCIA!B:D,3,FALSE)</f>
        <v>24.511841666666669</v>
      </c>
      <c r="H480" s="10">
        <f>Tabla1[[#This Row],[PVP Competencia]]*0.98</f>
        <v>24.021604833333335</v>
      </c>
      <c r="I480" s="10">
        <f>Tabla1[[#This Row],[Precio Lista CDR]]*0.8</f>
        <v>19.217283866666669</v>
      </c>
      <c r="J480" s="10">
        <f>Tabla1[[#This Row],[Precio Lista CDR]]*0.7</f>
        <v>16.815123383333333</v>
      </c>
      <c r="K480" s="10">
        <f>Tabla1[[#This Row],[Precio Lista CDR]]*0.6</f>
        <v>14.4129629</v>
      </c>
      <c r="L480" s="12">
        <f>(Tabla1[[#This Row],[Precio Lista CDR]]-Tabla1[[#This Row],[PrecioFábrica]])/Tabla1[[#This Row],[Precio Lista CDR]]</f>
        <v>0.79775150881710799</v>
      </c>
      <c r="M480" s="12">
        <f>(Tabla1[[#This Row],[Lista 1 (20%)]]-Tabla1[[#This Row],[PrecioFábrica]])/Tabla1[[#This Row],[Lista 1 (20%)]]</f>
        <v>0.74718938602138496</v>
      </c>
      <c r="N480" s="12">
        <f>(Tabla1[[#This Row],[Lista 2 (30%)]]-Tabla1[[#This Row],[PrecioFábrica]])/Tabla1[[#This Row],[Lista 2 (30%)]]</f>
        <v>0.71107358402443988</v>
      </c>
      <c r="O480" s="12">
        <f>(Tabla1[[#This Row],[Lista 3 (40%)]]-Tabla1[[#This Row],[PrecioFábrica]])/Tabla1[[#This Row],[Lista 3 (40%)]]</f>
        <v>0.66291918136184658</v>
      </c>
    </row>
    <row r="481" spans="1:15">
      <c r="A481" t="s">
        <v>7</v>
      </c>
      <c r="B481" t="s">
        <v>490</v>
      </c>
      <c r="C481" t="s">
        <v>1292</v>
      </c>
      <c r="D481" t="s">
        <v>811</v>
      </c>
      <c r="E481" t="s">
        <v>5</v>
      </c>
      <c r="F481" s="3">
        <v>26.141666666666669</v>
      </c>
      <c r="G481" s="10">
        <f>VLOOKUP(Tabla1[[#This Row],[Código Unificador]],PRECIOS_COMPETENCIA!B:D,3,FALSE)</f>
        <v>98.843266666666679</v>
      </c>
      <c r="H481" s="10">
        <f>Tabla1[[#This Row],[PVP Competencia]]*0.98</f>
        <v>96.866401333333343</v>
      </c>
      <c r="I481" s="10">
        <f>Tabla1[[#This Row],[Precio Lista CDR]]*0.8</f>
        <v>77.493121066666674</v>
      </c>
      <c r="J481" s="10">
        <f>Tabla1[[#This Row],[Precio Lista CDR]]*0.7</f>
        <v>67.806480933333333</v>
      </c>
      <c r="K481" s="10">
        <f>Tabla1[[#This Row],[Precio Lista CDR]]*0.6</f>
        <v>58.119840800000006</v>
      </c>
      <c r="L481" s="12">
        <f>(Tabla1[[#This Row],[Precio Lista CDR]]-Tabla1[[#This Row],[PrecioFábrica]])/Tabla1[[#This Row],[Precio Lista CDR]]</f>
        <v>0.73012658355389026</v>
      </c>
      <c r="M481" s="12">
        <f>(Tabla1[[#This Row],[Lista 1 (20%)]]-Tabla1[[#This Row],[PrecioFábrica]])/Tabla1[[#This Row],[Lista 1 (20%)]]</f>
        <v>0.66265822944236286</v>
      </c>
      <c r="N481" s="12">
        <f>(Tabla1[[#This Row],[Lista 2 (30%)]]-Tabla1[[#This Row],[PrecioFábrica]])/Tabla1[[#This Row],[Lista 2 (30%)]]</f>
        <v>0.61446654793412891</v>
      </c>
      <c r="O481" s="12">
        <f>(Tabla1[[#This Row],[Lista 3 (40%)]]-Tabla1[[#This Row],[PrecioFábrica]])/Tabla1[[#This Row],[Lista 3 (40%)]]</f>
        <v>0.5502109725898171</v>
      </c>
    </row>
    <row r="482" spans="1:15">
      <c r="A482" t="s">
        <v>7</v>
      </c>
      <c r="B482" t="s">
        <v>491</v>
      </c>
      <c r="C482" t="s">
        <v>1293</v>
      </c>
      <c r="D482" t="s">
        <v>811</v>
      </c>
      <c r="E482" t="s">
        <v>5</v>
      </c>
      <c r="F482" s="3">
        <v>3.0333333333333332</v>
      </c>
      <c r="G482" s="10">
        <f>VLOOKUP(Tabla1[[#This Row],[Código Unificador]],PRECIOS_COMPETENCIA!B:D,3,FALSE)</f>
        <v>19.060566666666666</v>
      </c>
      <c r="H482" s="10">
        <f>Tabla1[[#This Row],[PVP Competencia]]*0.98</f>
        <v>18.679355333333334</v>
      </c>
      <c r="I482" s="10">
        <f>Tabla1[[#This Row],[Precio Lista CDR]]*0.8</f>
        <v>14.943484266666667</v>
      </c>
      <c r="J482" s="10">
        <f>Tabla1[[#This Row],[Precio Lista CDR]]*0.7</f>
        <v>13.075548733333333</v>
      </c>
      <c r="K482" s="10">
        <f>Tabla1[[#This Row],[Precio Lista CDR]]*0.6</f>
        <v>11.207613199999999</v>
      </c>
      <c r="L482" s="12">
        <f>(Tabla1[[#This Row],[Precio Lista CDR]]-Tabla1[[#This Row],[PrecioFábrica]])/Tabla1[[#This Row],[Precio Lista CDR]]</f>
        <v>0.83761038434124402</v>
      </c>
      <c r="M482" s="12">
        <f>(Tabla1[[#This Row],[Lista 1 (20%)]]-Tabla1[[#This Row],[PrecioFábrica]])/Tabla1[[#This Row],[Lista 1 (20%)]]</f>
        <v>0.79701298042655511</v>
      </c>
      <c r="N482" s="12">
        <f>(Tabla1[[#This Row],[Lista 2 (30%)]]-Tabla1[[#This Row],[PrecioFábrica]])/Tabla1[[#This Row],[Lista 2 (30%)]]</f>
        <v>0.76801483477320576</v>
      </c>
      <c r="O482" s="12">
        <f>(Tabla1[[#This Row],[Lista 3 (40%)]]-Tabla1[[#This Row],[PrecioFábrica]])/Tabla1[[#This Row],[Lista 3 (40%)]]</f>
        <v>0.72935064056874011</v>
      </c>
    </row>
    <row r="483" spans="1:15">
      <c r="A483" t="s">
        <v>6</v>
      </c>
      <c r="B483" t="s">
        <v>492</v>
      </c>
      <c r="C483" t="s">
        <v>1294</v>
      </c>
      <c r="D483" t="s">
        <v>811</v>
      </c>
      <c r="E483" t="s">
        <v>5</v>
      </c>
      <c r="F483" s="3">
        <v>17.333333333333336</v>
      </c>
      <c r="G483" s="10">
        <f>VLOOKUP(Tabla1[[#This Row],[Código Unificador]],PRECIOS_COMPETENCIA!B:D,3,FALSE)</f>
        <v>62.277333333333338</v>
      </c>
      <c r="H483" s="10">
        <f>Tabla1[[#This Row],[PVP Competencia]]*0.98</f>
        <v>61.031786666666669</v>
      </c>
      <c r="I483" s="10">
        <f>Tabla1[[#This Row],[Precio Lista CDR]]*0.8</f>
        <v>48.825429333333339</v>
      </c>
      <c r="J483" s="10">
        <f>Tabla1[[#This Row],[Precio Lista CDR]]*0.7</f>
        <v>42.722250666666667</v>
      </c>
      <c r="K483" s="10">
        <f>Tabla1[[#This Row],[Precio Lista CDR]]*0.6</f>
        <v>36.619072000000003</v>
      </c>
      <c r="L483" s="12">
        <f>(Tabla1[[#This Row],[Precio Lista CDR]]-Tabla1[[#This Row],[PrecioFábrica]])/Tabla1[[#This Row],[Precio Lista CDR]]</f>
        <v>0.71599498752999524</v>
      </c>
      <c r="M483" s="12">
        <f>(Tabla1[[#This Row],[Lista 1 (20%)]]-Tabla1[[#This Row],[PrecioFábrica]])/Tabla1[[#This Row],[Lista 1 (20%)]]</f>
        <v>0.64499373441249408</v>
      </c>
      <c r="N483" s="12">
        <f>(Tabla1[[#This Row],[Lista 2 (30%)]]-Tabla1[[#This Row],[PrecioFábrica]])/Tabla1[[#This Row],[Lista 2 (30%)]]</f>
        <v>0.59427855361427895</v>
      </c>
      <c r="O483" s="12">
        <f>(Tabla1[[#This Row],[Lista 3 (40%)]]-Tabla1[[#This Row],[PrecioFábrica]])/Tabla1[[#This Row],[Lista 3 (40%)]]</f>
        <v>0.52665831254999218</v>
      </c>
    </row>
    <row r="484" spans="1:15">
      <c r="A484" t="s">
        <v>9</v>
      </c>
      <c r="B484" t="s">
        <v>493</v>
      </c>
      <c r="C484" t="s">
        <v>1295</v>
      </c>
      <c r="D484" t="s">
        <v>811</v>
      </c>
      <c r="E484" t="s">
        <v>5</v>
      </c>
      <c r="F484" s="3">
        <v>4.9250000000000007</v>
      </c>
      <c r="G484" s="10">
        <f>VLOOKUP(Tabla1[[#This Row],[Código Unificador]],PRECIOS_COMPETENCIA!B:D,3,FALSE)</f>
        <v>24.568150000000003</v>
      </c>
      <c r="H484" s="10">
        <f>Tabla1[[#This Row],[PVP Competencia]]*0.98</f>
        <v>24.076787000000003</v>
      </c>
      <c r="I484" s="10">
        <f>Tabla1[[#This Row],[Precio Lista CDR]]*0.8</f>
        <v>19.261429600000003</v>
      </c>
      <c r="J484" s="10">
        <f>Tabla1[[#This Row],[Precio Lista CDR]]*0.7</f>
        <v>16.853750900000001</v>
      </c>
      <c r="K484" s="10">
        <f>Tabla1[[#This Row],[Precio Lista CDR]]*0.6</f>
        <v>14.446072200000001</v>
      </c>
      <c r="L484" s="12">
        <f>(Tabla1[[#This Row],[Precio Lista CDR]]-Tabla1[[#This Row],[PrecioFábrica]])/Tabla1[[#This Row],[Precio Lista CDR]]</f>
        <v>0.79544612825623284</v>
      </c>
      <c r="M484" s="12">
        <f>(Tabla1[[#This Row],[Lista 1 (20%)]]-Tabla1[[#This Row],[PrecioFábrica]])/Tabla1[[#This Row],[Lista 1 (20%)]]</f>
        <v>0.74430766032029105</v>
      </c>
      <c r="N484" s="12">
        <f>(Tabla1[[#This Row],[Lista 2 (30%)]]-Tabla1[[#This Row],[PrecioFábrica]])/Tabla1[[#This Row],[Lista 2 (30%)]]</f>
        <v>0.70778018322318981</v>
      </c>
      <c r="O484" s="12">
        <f>(Tabla1[[#This Row],[Lista 3 (40%)]]-Tabla1[[#This Row],[PrecioFábrica]])/Tabla1[[#This Row],[Lista 3 (40%)]]</f>
        <v>0.6590768804270547</v>
      </c>
    </row>
    <row r="485" spans="1:15">
      <c r="A485" t="s">
        <v>9</v>
      </c>
      <c r="B485" t="s">
        <v>494</v>
      </c>
      <c r="C485" t="s">
        <v>1296</v>
      </c>
      <c r="D485" t="s">
        <v>811</v>
      </c>
      <c r="E485" t="s">
        <v>5</v>
      </c>
      <c r="F485" s="3">
        <v>3.6750000000000003</v>
      </c>
      <c r="G485" s="10">
        <f>VLOOKUP(Tabla1[[#This Row],[Código Unificador]],PRECIOS_COMPETENCIA!B:D,3,FALSE)</f>
        <v>21.083800000000004</v>
      </c>
      <c r="H485" s="10">
        <f>Tabla1[[#This Row],[PVP Competencia]]*0.98</f>
        <v>20.662124000000002</v>
      </c>
      <c r="I485" s="10">
        <f>Tabla1[[#This Row],[Precio Lista CDR]]*0.8</f>
        <v>16.529699200000003</v>
      </c>
      <c r="J485" s="10">
        <f>Tabla1[[#This Row],[Precio Lista CDR]]*0.7</f>
        <v>14.4634868</v>
      </c>
      <c r="K485" s="10">
        <f>Tabla1[[#This Row],[Precio Lista CDR]]*0.6</f>
        <v>12.397274400000001</v>
      </c>
      <c r="L485" s="12">
        <f>(Tabla1[[#This Row],[Precio Lista CDR]]-Tabla1[[#This Row],[PrecioFábrica]])/Tabla1[[#This Row],[Precio Lista CDR]]</f>
        <v>0.82213832421100563</v>
      </c>
      <c r="M485" s="12">
        <f>(Tabla1[[#This Row],[Lista 1 (20%)]]-Tabla1[[#This Row],[PrecioFábrica]])/Tabla1[[#This Row],[Lista 1 (20%)]]</f>
        <v>0.77767290526375699</v>
      </c>
      <c r="N485" s="12">
        <f>(Tabla1[[#This Row],[Lista 2 (30%)]]-Tabla1[[#This Row],[PrecioFábrica]])/Tabla1[[#This Row],[Lista 2 (30%)]]</f>
        <v>0.74591189173000794</v>
      </c>
      <c r="O485" s="12">
        <f>(Tabla1[[#This Row],[Lista 3 (40%)]]-Tabla1[[#This Row],[PrecioFábrica]])/Tabla1[[#This Row],[Lista 3 (40%)]]</f>
        <v>0.70356387368500928</v>
      </c>
    </row>
    <row r="486" spans="1:15">
      <c r="A486" t="s">
        <v>9</v>
      </c>
      <c r="B486" t="s">
        <v>495</v>
      </c>
      <c r="C486" t="s">
        <v>1297</v>
      </c>
      <c r="D486" t="s">
        <v>811</v>
      </c>
      <c r="E486" t="s">
        <v>5</v>
      </c>
      <c r="F486" s="3">
        <v>3.7166666666666668</v>
      </c>
      <c r="G486" s="10">
        <f>VLOOKUP(Tabla1[[#This Row],[Código Unificador]],PRECIOS_COMPETENCIA!B:D,3,FALSE)</f>
        <v>21.532816666666669</v>
      </c>
      <c r="H486" s="10">
        <f>Tabla1[[#This Row],[PVP Competencia]]*0.98</f>
        <v>21.102160333333334</v>
      </c>
      <c r="I486" s="10">
        <f>Tabla1[[#This Row],[Precio Lista CDR]]*0.8</f>
        <v>16.881728266666666</v>
      </c>
      <c r="J486" s="10">
        <f>Tabla1[[#This Row],[Precio Lista CDR]]*0.7</f>
        <v>14.771512233333333</v>
      </c>
      <c r="K486" s="10">
        <f>Tabla1[[#This Row],[Precio Lista CDR]]*0.6</f>
        <v>12.661296200000001</v>
      </c>
      <c r="L486" s="12">
        <f>(Tabla1[[#This Row],[Precio Lista CDR]]-Tabla1[[#This Row],[PrecioFábrica]])/Tabla1[[#This Row],[Precio Lista CDR]]</f>
        <v>0.82387269322393719</v>
      </c>
      <c r="M486" s="12">
        <f>(Tabla1[[#This Row],[Lista 1 (20%)]]-Tabla1[[#This Row],[PrecioFábrica]])/Tabla1[[#This Row],[Lista 1 (20%)]]</f>
        <v>0.77984086652992135</v>
      </c>
      <c r="N486" s="12">
        <f>(Tabla1[[#This Row],[Lista 2 (30%)]]-Tabla1[[#This Row],[PrecioFábrica]])/Tabla1[[#This Row],[Lista 2 (30%)]]</f>
        <v>0.74838956174848148</v>
      </c>
      <c r="O486" s="12">
        <f>(Tabla1[[#This Row],[Lista 3 (40%)]]-Tabla1[[#This Row],[PrecioFábrica]])/Tabla1[[#This Row],[Lista 3 (40%)]]</f>
        <v>0.7064544887065618</v>
      </c>
    </row>
    <row r="487" spans="1:15">
      <c r="A487" t="s">
        <v>9</v>
      </c>
      <c r="B487" t="s">
        <v>496</v>
      </c>
      <c r="C487" t="s">
        <v>1298</v>
      </c>
      <c r="D487" t="s">
        <v>811</v>
      </c>
      <c r="E487" t="s">
        <v>5</v>
      </c>
      <c r="F487" s="3">
        <v>5</v>
      </c>
      <c r="G487" s="10">
        <f>VLOOKUP(Tabla1[[#This Row],[Código Unificador]],PRECIOS_COMPETENCIA!B:D,3,FALSE)</f>
        <v>25.08</v>
      </c>
      <c r="H487" s="10">
        <f>Tabla1[[#This Row],[PVP Competencia]]*0.98</f>
        <v>24.578399999999998</v>
      </c>
      <c r="I487" s="10">
        <f>Tabla1[[#This Row],[Precio Lista CDR]]*0.8</f>
        <v>19.66272</v>
      </c>
      <c r="J487" s="10">
        <f>Tabla1[[#This Row],[Precio Lista CDR]]*0.7</f>
        <v>17.204879999999999</v>
      </c>
      <c r="K487" s="10">
        <f>Tabla1[[#This Row],[Precio Lista CDR]]*0.6</f>
        <v>14.747039999999998</v>
      </c>
      <c r="L487" s="12">
        <f>(Tabla1[[#This Row],[Precio Lista CDR]]-Tabla1[[#This Row],[PrecioFábrica]])/Tabla1[[#This Row],[Precio Lista CDR]]</f>
        <v>0.79656934544152591</v>
      </c>
      <c r="M487" s="12">
        <f>(Tabla1[[#This Row],[Lista 1 (20%)]]-Tabla1[[#This Row],[PrecioFábrica]])/Tabla1[[#This Row],[Lista 1 (20%)]]</f>
        <v>0.74571168180190739</v>
      </c>
      <c r="N487" s="12">
        <f>(Tabla1[[#This Row],[Lista 2 (30%)]]-Tabla1[[#This Row],[PrecioFábrica]])/Tabla1[[#This Row],[Lista 2 (30%)]]</f>
        <v>0.70938477920217979</v>
      </c>
      <c r="O487" s="12">
        <f>(Tabla1[[#This Row],[Lista 3 (40%)]]-Tabla1[[#This Row],[PrecioFábrica]])/Tabla1[[#This Row],[Lista 3 (40%)]]</f>
        <v>0.66094890906920978</v>
      </c>
    </row>
    <row r="488" spans="1:15">
      <c r="A488" t="s">
        <v>9</v>
      </c>
      <c r="B488" t="s">
        <v>497</v>
      </c>
      <c r="C488" t="s">
        <v>1299</v>
      </c>
      <c r="D488" t="s">
        <v>811</v>
      </c>
      <c r="E488" t="s">
        <v>5</v>
      </c>
      <c r="F488" s="3">
        <v>6.083333333333333</v>
      </c>
      <c r="G488" s="10">
        <f>VLOOKUP(Tabla1[[#This Row],[Código Unificador]],PRECIOS_COMPETENCIA!B:D,3,FALSE)</f>
        <v>29.053000000000001</v>
      </c>
      <c r="H488" s="10">
        <f>Tabla1[[#This Row],[PVP Competencia]]*0.98</f>
        <v>28.47194</v>
      </c>
      <c r="I488" s="10">
        <f>Tabla1[[#This Row],[Precio Lista CDR]]*0.8</f>
        <v>22.777552</v>
      </c>
      <c r="J488" s="10">
        <f>Tabla1[[#This Row],[Precio Lista CDR]]*0.7</f>
        <v>19.930357999999998</v>
      </c>
      <c r="K488" s="10">
        <f>Tabla1[[#This Row],[Precio Lista CDR]]*0.6</f>
        <v>17.083164</v>
      </c>
      <c r="L488" s="12">
        <f>(Tabla1[[#This Row],[Precio Lista CDR]]-Tabla1[[#This Row],[PrecioFábrica]])/Tabla1[[#This Row],[Precio Lista CDR]]</f>
        <v>0.78633934556853757</v>
      </c>
      <c r="M488" s="12">
        <f>(Tabla1[[#This Row],[Lista 1 (20%)]]-Tabla1[[#This Row],[PrecioFábrica]])/Tabla1[[#This Row],[Lista 1 (20%)]]</f>
        <v>0.73292418196067199</v>
      </c>
      <c r="N488" s="12">
        <f>(Tabla1[[#This Row],[Lista 2 (30%)]]-Tabla1[[#This Row],[PrecioFábrica]])/Tabla1[[#This Row],[Lista 2 (30%)]]</f>
        <v>0.69477049366933941</v>
      </c>
      <c r="O488" s="12">
        <f>(Tabla1[[#This Row],[Lista 3 (40%)]]-Tabla1[[#This Row],[PrecioFábrica]])/Tabla1[[#This Row],[Lista 3 (40%)]]</f>
        <v>0.64389890928089599</v>
      </c>
    </row>
    <row r="489" spans="1:15">
      <c r="A489" t="s">
        <v>9</v>
      </c>
      <c r="B489" t="s">
        <v>498</v>
      </c>
      <c r="C489" t="s">
        <v>1300</v>
      </c>
      <c r="D489" t="s">
        <v>811</v>
      </c>
      <c r="E489" t="s">
        <v>5</v>
      </c>
      <c r="F489" s="3">
        <v>6.4333333333333336</v>
      </c>
      <c r="G489" s="10">
        <f>VLOOKUP(Tabla1[[#This Row],[Código Unificador]],PRECIOS_COMPETENCIA!B:D,3,FALSE)</f>
        <v>29.029800000000005</v>
      </c>
      <c r="H489" s="10">
        <f>Tabla1[[#This Row],[PVP Competencia]]*0.98</f>
        <v>28.449204000000005</v>
      </c>
      <c r="I489" s="10">
        <f>Tabla1[[#This Row],[Precio Lista CDR]]*0.8</f>
        <v>22.759363200000006</v>
      </c>
      <c r="J489" s="10">
        <f>Tabla1[[#This Row],[Precio Lista CDR]]*0.7</f>
        <v>19.914442800000003</v>
      </c>
      <c r="K489" s="10">
        <f>Tabla1[[#This Row],[Precio Lista CDR]]*0.6</f>
        <v>17.069522400000004</v>
      </c>
      <c r="L489" s="12">
        <f>(Tabla1[[#This Row],[Precio Lista CDR]]-Tabla1[[#This Row],[PrecioFábrica]])/Tabla1[[#This Row],[Precio Lista CDR]]</f>
        <v>0.77386596358431214</v>
      </c>
      <c r="M489" s="12">
        <f>(Tabla1[[#This Row],[Lista 1 (20%)]]-Tabla1[[#This Row],[PrecioFábrica]])/Tabla1[[#This Row],[Lista 1 (20%)]]</f>
        <v>0.71733245448039018</v>
      </c>
      <c r="N489" s="12">
        <f>(Tabla1[[#This Row],[Lista 2 (30%)]]-Tabla1[[#This Row],[PrecioFábrica]])/Tabla1[[#This Row],[Lista 2 (30%)]]</f>
        <v>0.67695137654901738</v>
      </c>
      <c r="O489" s="12">
        <f>(Tabla1[[#This Row],[Lista 3 (40%)]]-Tabla1[[#This Row],[PrecioFábrica]])/Tabla1[[#This Row],[Lista 3 (40%)]]</f>
        <v>0.62310993930718694</v>
      </c>
    </row>
    <row r="490" spans="1:15">
      <c r="A490" t="s">
        <v>9</v>
      </c>
      <c r="B490" t="s">
        <v>499</v>
      </c>
      <c r="C490" t="s">
        <v>1301</v>
      </c>
      <c r="D490" t="s">
        <v>811</v>
      </c>
      <c r="E490" t="s">
        <v>5</v>
      </c>
      <c r="F490" s="3">
        <v>7.25</v>
      </c>
      <c r="G490" s="10">
        <f>VLOOKUP(Tabla1[[#This Row],[Código Unificador]],PRECIOS_COMPETENCIA!B:D,3,FALSE)</f>
        <v>31.655749999999998</v>
      </c>
      <c r="H490" s="10">
        <f>Tabla1[[#This Row],[PVP Competencia]]*0.98</f>
        <v>31.022634999999998</v>
      </c>
      <c r="I490" s="10">
        <f>Tabla1[[#This Row],[Precio Lista CDR]]*0.8</f>
        <v>24.818107999999999</v>
      </c>
      <c r="J490" s="10">
        <f>Tabla1[[#This Row],[Precio Lista CDR]]*0.7</f>
        <v>21.715844499999996</v>
      </c>
      <c r="K490" s="10">
        <f>Tabla1[[#This Row],[Precio Lista CDR]]*0.6</f>
        <v>18.613580999999996</v>
      </c>
      <c r="L490" s="12">
        <f>(Tabla1[[#This Row],[Precio Lista CDR]]-Tabla1[[#This Row],[PrecioFábrica]])/Tabla1[[#This Row],[Precio Lista CDR]]</f>
        <v>0.76629967119169595</v>
      </c>
      <c r="M490" s="12">
        <f>(Tabla1[[#This Row],[Lista 1 (20%)]]-Tabla1[[#This Row],[PrecioFábrica]])/Tabla1[[#This Row],[Lista 1 (20%)]]</f>
        <v>0.70787458898961997</v>
      </c>
      <c r="N490" s="12">
        <f>(Tabla1[[#This Row],[Lista 2 (30%)]]-Tabla1[[#This Row],[PrecioFábrica]])/Tabla1[[#This Row],[Lista 2 (30%)]]</f>
        <v>0.6661423874167085</v>
      </c>
      <c r="O490" s="12">
        <f>(Tabla1[[#This Row],[Lista 3 (40%)]]-Tabla1[[#This Row],[PrecioFábrica]])/Tabla1[[#This Row],[Lista 3 (40%)]]</f>
        <v>0.61049945198615996</v>
      </c>
    </row>
    <row r="491" spans="1:15">
      <c r="A491" t="s">
        <v>6</v>
      </c>
      <c r="B491" t="s">
        <v>500</v>
      </c>
      <c r="C491" t="s">
        <v>1302</v>
      </c>
      <c r="D491" t="s">
        <v>811</v>
      </c>
      <c r="E491" t="s">
        <v>5</v>
      </c>
      <c r="F491" s="3">
        <v>7.583333333333333</v>
      </c>
      <c r="G491" s="10">
        <f>VLOOKUP(Tabla1[[#This Row],[Código Unificador]],PRECIOS_COMPETENCIA!B:D,3,FALSE)</f>
        <v>33.091250000000002</v>
      </c>
      <c r="H491" s="10">
        <f>Tabla1[[#This Row],[PVP Competencia]]*0.98</f>
        <v>32.429425000000002</v>
      </c>
      <c r="I491" s="10">
        <f>Tabla1[[#This Row],[Precio Lista CDR]]*0.8</f>
        <v>25.943540000000002</v>
      </c>
      <c r="J491" s="10">
        <f>Tabla1[[#This Row],[Precio Lista CDR]]*0.7</f>
        <v>22.700597500000001</v>
      </c>
      <c r="K491" s="10">
        <f>Tabla1[[#This Row],[Precio Lista CDR]]*0.6</f>
        <v>19.457654999999999</v>
      </c>
      <c r="L491" s="12">
        <f>(Tabla1[[#This Row],[Precio Lista CDR]]-Tabla1[[#This Row],[PrecioFábrica]])/Tabla1[[#This Row],[Precio Lista CDR]]</f>
        <v>0.76615887166259244</v>
      </c>
      <c r="M491" s="12">
        <f>(Tabla1[[#This Row],[Lista 1 (20%)]]-Tabla1[[#This Row],[PrecioFábrica]])/Tabla1[[#This Row],[Lista 1 (20%)]]</f>
        <v>0.70769858957824061</v>
      </c>
      <c r="N491" s="12">
        <f>(Tabla1[[#This Row],[Lista 2 (30%)]]-Tabla1[[#This Row],[PrecioFábrica]])/Tabla1[[#This Row],[Lista 2 (30%)]]</f>
        <v>0.66594124523227494</v>
      </c>
      <c r="O491" s="12">
        <f>(Tabla1[[#This Row],[Lista 3 (40%)]]-Tabla1[[#This Row],[PrecioFábrica]])/Tabla1[[#This Row],[Lista 3 (40%)]]</f>
        <v>0.61026478610432078</v>
      </c>
    </row>
    <row r="492" spans="1:15">
      <c r="A492" t="s">
        <v>9</v>
      </c>
      <c r="B492" t="s">
        <v>501</v>
      </c>
      <c r="C492" t="s">
        <v>1303</v>
      </c>
      <c r="D492" t="s">
        <v>811</v>
      </c>
      <c r="E492" t="s">
        <v>5</v>
      </c>
      <c r="F492" s="3">
        <v>9.4083333333333332</v>
      </c>
      <c r="G492" s="10">
        <f>VLOOKUP(Tabla1[[#This Row],[Código Unificador]],PRECIOS_COMPETENCIA!B:D,3,FALSE)</f>
        <v>39.194058333333331</v>
      </c>
      <c r="H492" s="10">
        <f>Tabla1[[#This Row],[PVP Competencia]]*0.98</f>
        <v>38.410177166666664</v>
      </c>
      <c r="I492" s="10">
        <f>Tabla1[[#This Row],[Precio Lista CDR]]*0.8</f>
        <v>30.728141733333331</v>
      </c>
      <c r="J492" s="10">
        <f>Tabla1[[#This Row],[Precio Lista CDR]]*0.7</f>
        <v>26.887124016666665</v>
      </c>
      <c r="K492" s="10">
        <f>Tabla1[[#This Row],[Precio Lista CDR]]*0.6</f>
        <v>23.046106299999998</v>
      </c>
      <c r="L492" s="12">
        <f>(Tabla1[[#This Row],[Precio Lista CDR]]-Tabla1[[#This Row],[PrecioFábrica]])/Tabla1[[#This Row],[Precio Lista CDR]]</f>
        <v>0.75505623698351165</v>
      </c>
      <c r="M492" s="12">
        <f>(Tabla1[[#This Row],[Lista 1 (20%)]]-Tabla1[[#This Row],[PrecioFábrica]])/Tabla1[[#This Row],[Lista 1 (20%)]]</f>
        <v>0.69382029622938957</v>
      </c>
      <c r="N492" s="12">
        <f>(Tabla1[[#This Row],[Lista 2 (30%)]]-Tabla1[[#This Row],[PrecioFábrica]])/Tabla1[[#This Row],[Lista 2 (30%)]]</f>
        <v>0.65008033854787362</v>
      </c>
      <c r="O492" s="12">
        <f>(Tabla1[[#This Row],[Lista 3 (40%)]]-Tabla1[[#This Row],[PrecioFábrica]])/Tabla1[[#This Row],[Lista 3 (40%)]]</f>
        <v>0.59176039497251931</v>
      </c>
    </row>
    <row r="493" spans="1:15">
      <c r="A493" t="s">
        <v>9</v>
      </c>
      <c r="B493" t="s">
        <v>502</v>
      </c>
      <c r="C493" t="s">
        <v>1304</v>
      </c>
      <c r="D493" t="s">
        <v>811</v>
      </c>
      <c r="E493" t="s">
        <v>5</v>
      </c>
      <c r="F493" s="3">
        <v>9.3833333333333329</v>
      </c>
      <c r="G493" s="10">
        <f>VLOOKUP(Tabla1[[#This Row],[Código Unificador]],PRECIOS_COMPETENCIA!B:D,3,FALSE)</f>
        <v>38.028016666666666</v>
      </c>
      <c r="H493" s="10">
        <f>Tabla1[[#This Row],[PVP Competencia]]*0.98</f>
        <v>37.267456333333335</v>
      </c>
      <c r="I493" s="10">
        <f>Tabla1[[#This Row],[Precio Lista CDR]]*0.8</f>
        <v>29.813965066666668</v>
      </c>
      <c r="J493" s="10">
        <f>Tabla1[[#This Row],[Precio Lista CDR]]*0.7</f>
        <v>26.087219433333335</v>
      </c>
      <c r="K493" s="10">
        <f>Tabla1[[#This Row],[Precio Lista CDR]]*0.6</f>
        <v>22.360473800000001</v>
      </c>
      <c r="L493" s="12">
        <f>(Tabla1[[#This Row],[Precio Lista CDR]]-Tabla1[[#This Row],[PrecioFábrica]])/Tabla1[[#This Row],[Precio Lista CDR]]</f>
        <v>0.74821642643368325</v>
      </c>
      <c r="M493" s="12">
        <f>(Tabla1[[#This Row],[Lista 1 (20%)]]-Tabla1[[#This Row],[PrecioFábrica]])/Tabla1[[#This Row],[Lista 1 (20%)]]</f>
        <v>0.68527053304210395</v>
      </c>
      <c r="N493" s="12">
        <f>(Tabla1[[#This Row],[Lista 2 (30%)]]-Tabla1[[#This Row],[PrecioFábrica]])/Tabla1[[#This Row],[Lista 2 (30%)]]</f>
        <v>0.64030918061954745</v>
      </c>
      <c r="O493" s="12">
        <f>(Tabla1[[#This Row],[Lista 3 (40%)]]-Tabla1[[#This Row],[PrecioFábrica]])/Tabla1[[#This Row],[Lista 3 (40%)]]</f>
        <v>0.58036071072280537</v>
      </c>
    </row>
    <row r="494" spans="1:15">
      <c r="A494" t="s">
        <v>6</v>
      </c>
      <c r="B494" t="s">
        <v>503</v>
      </c>
      <c r="C494" t="s">
        <v>1305</v>
      </c>
      <c r="D494" t="s">
        <v>811</v>
      </c>
      <c r="E494" t="s">
        <v>5</v>
      </c>
      <c r="F494" s="3">
        <v>10.691666666666666</v>
      </c>
      <c r="G494" s="10">
        <f>VLOOKUP(Tabla1[[#This Row],[Código Unificador]],PRECIOS_COMPETENCIA!B:D,3,FALSE)</f>
        <v>42.556125000000002</v>
      </c>
      <c r="H494" s="10">
        <f>Tabla1[[#This Row],[PVP Competencia]]*0.98</f>
        <v>41.705002499999999</v>
      </c>
      <c r="I494" s="10">
        <f>Tabla1[[#This Row],[Precio Lista CDR]]*0.8</f>
        <v>33.364001999999999</v>
      </c>
      <c r="J494" s="10">
        <f>Tabla1[[#This Row],[Precio Lista CDR]]*0.7</f>
        <v>29.193501749999996</v>
      </c>
      <c r="K494" s="10">
        <f>Tabla1[[#This Row],[Precio Lista CDR]]*0.6</f>
        <v>25.023001499999999</v>
      </c>
      <c r="L494" s="12">
        <f>(Tabla1[[#This Row],[Precio Lista CDR]]-Tabla1[[#This Row],[PrecioFábrica]])/Tabla1[[#This Row],[Precio Lista CDR]]</f>
        <v>0.74363587038109713</v>
      </c>
      <c r="M494" s="12">
        <f>(Tabla1[[#This Row],[Lista 1 (20%)]]-Tabla1[[#This Row],[PrecioFábrica]])/Tabla1[[#This Row],[Lista 1 (20%)]]</f>
        <v>0.67954483797637144</v>
      </c>
      <c r="N494" s="12">
        <f>(Tabla1[[#This Row],[Lista 2 (30%)]]-Tabla1[[#This Row],[PrecioFábrica]])/Tabla1[[#This Row],[Lista 2 (30%)]]</f>
        <v>0.63376552911585304</v>
      </c>
      <c r="O494" s="12">
        <f>(Tabla1[[#This Row],[Lista 3 (40%)]]-Tabla1[[#This Row],[PrecioFábrica]])/Tabla1[[#This Row],[Lista 3 (40%)]]</f>
        <v>0.57272645063516192</v>
      </c>
    </row>
    <row r="495" spans="1:15">
      <c r="A495" t="s">
        <v>6</v>
      </c>
      <c r="B495" t="s">
        <v>504</v>
      </c>
      <c r="C495" t="s">
        <v>1306</v>
      </c>
      <c r="D495" t="s">
        <v>811</v>
      </c>
      <c r="E495" t="s">
        <v>5</v>
      </c>
      <c r="F495" s="3">
        <v>11.991666666666667</v>
      </c>
      <c r="G495" s="10">
        <f>VLOOKUP(Tabla1[[#This Row],[Código Unificador]],PRECIOS_COMPETENCIA!B:D,3,FALSE)</f>
        <v>45.471350000000008</v>
      </c>
      <c r="H495" s="10">
        <f>Tabla1[[#This Row],[PVP Competencia]]*0.98</f>
        <v>44.561923000000007</v>
      </c>
      <c r="I495" s="10">
        <f>Tabla1[[#This Row],[Precio Lista CDR]]*0.8</f>
        <v>35.649538400000004</v>
      </c>
      <c r="J495" s="10">
        <f>Tabla1[[#This Row],[Precio Lista CDR]]*0.7</f>
        <v>31.193346100000003</v>
      </c>
      <c r="K495" s="10">
        <f>Tabla1[[#This Row],[Precio Lista CDR]]*0.6</f>
        <v>26.737153800000005</v>
      </c>
      <c r="L495" s="12">
        <f>(Tabla1[[#This Row],[Precio Lista CDR]]-Tabla1[[#This Row],[PrecioFábrica]])/Tabla1[[#This Row],[Precio Lista CDR]]</f>
        <v>0.73089880643915062</v>
      </c>
      <c r="M495" s="12">
        <f>(Tabla1[[#This Row],[Lista 1 (20%)]]-Tabla1[[#This Row],[PrecioFábrica]])/Tabla1[[#This Row],[Lista 1 (20%)]]</f>
        <v>0.66362350804893833</v>
      </c>
      <c r="N495" s="12">
        <f>(Tabla1[[#This Row],[Lista 2 (30%)]]-Tabla1[[#This Row],[PrecioFábrica]])/Tabla1[[#This Row],[Lista 2 (30%)]]</f>
        <v>0.6155697234845009</v>
      </c>
      <c r="O495" s="12">
        <f>(Tabla1[[#This Row],[Lista 3 (40%)]]-Tabla1[[#This Row],[PrecioFábrica]])/Tabla1[[#This Row],[Lista 3 (40%)]]</f>
        <v>0.55149801073191773</v>
      </c>
    </row>
    <row r="496" spans="1:15">
      <c r="A496" t="s">
        <v>9</v>
      </c>
      <c r="B496" t="s">
        <v>505</v>
      </c>
      <c r="C496" t="s">
        <v>1307</v>
      </c>
      <c r="D496" t="s">
        <v>811</v>
      </c>
      <c r="E496" t="s">
        <v>5</v>
      </c>
      <c r="F496" s="3">
        <v>12.925000000000001</v>
      </c>
      <c r="G496" s="10">
        <f>VLOOKUP(Tabla1[[#This Row],[Código Unificador]],PRECIOS_COMPETENCIA!B:D,3,FALSE)</f>
        <v>48.606975000000013</v>
      </c>
      <c r="H496" s="10">
        <f>Tabla1[[#This Row],[PVP Competencia]]*0.98</f>
        <v>47.634835500000008</v>
      </c>
      <c r="I496" s="10">
        <f>Tabla1[[#This Row],[Precio Lista CDR]]*0.8</f>
        <v>38.107868400000008</v>
      </c>
      <c r="J496" s="10">
        <f>Tabla1[[#This Row],[Precio Lista CDR]]*0.7</f>
        <v>33.344384850000004</v>
      </c>
      <c r="K496" s="10">
        <f>Tabla1[[#This Row],[Precio Lista CDR]]*0.6</f>
        <v>28.580901300000004</v>
      </c>
      <c r="L496" s="12">
        <f>(Tabla1[[#This Row],[Precio Lista CDR]]-Tabla1[[#This Row],[PrecioFábrica]])/Tabla1[[#This Row],[Precio Lista CDR]]</f>
        <v>0.72866495991153379</v>
      </c>
      <c r="M496" s="12">
        <f>(Tabla1[[#This Row],[Lista 1 (20%)]]-Tabla1[[#This Row],[PrecioFábrica]])/Tabla1[[#This Row],[Lista 1 (20%)]]</f>
        <v>0.66083119988941708</v>
      </c>
      <c r="N496" s="12">
        <f>(Tabla1[[#This Row],[Lista 2 (30%)]]-Tabla1[[#This Row],[PrecioFábrica]])/Tabla1[[#This Row],[Lista 2 (30%)]]</f>
        <v>0.61237851415933386</v>
      </c>
      <c r="O496" s="12">
        <f>(Tabla1[[#This Row],[Lista 3 (40%)]]-Tabla1[[#This Row],[PrecioFábrica]])/Tabla1[[#This Row],[Lista 3 (40%)]]</f>
        <v>0.54777493318588943</v>
      </c>
    </row>
    <row r="497" spans="1:15">
      <c r="A497" t="s">
        <v>6</v>
      </c>
      <c r="B497" t="s">
        <v>506</v>
      </c>
      <c r="C497" t="s">
        <v>1308</v>
      </c>
      <c r="D497" t="s">
        <v>811</v>
      </c>
      <c r="E497" t="s">
        <v>5</v>
      </c>
      <c r="F497" s="3">
        <v>14.5</v>
      </c>
      <c r="G497" s="10">
        <f>VLOOKUP(Tabla1[[#This Row],[Código Unificador]],PRECIOS_COMPETENCIA!B:D,3,FALSE)</f>
        <v>54.993499999999997</v>
      </c>
      <c r="H497" s="10">
        <f>Tabla1[[#This Row],[PVP Competencia]]*0.98</f>
        <v>53.893629999999995</v>
      </c>
      <c r="I497" s="10">
        <f>Tabla1[[#This Row],[Precio Lista CDR]]*0.8</f>
        <v>43.114903999999996</v>
      </c>
      <c r="J497" s="10">
        <f>Tabla1[[#This Row],[Precio Lista CDR]]*0.7</f>
        <v>37.725540999999993</v>
      </c>
      <c r="K497" s="10">
        <f>Tabla1[[#This Row],[Precio Lista CDR]]*0.6</f>
        <v>32.336177999999997</v>
      </c>
      <c r="L497" s="12">
        <f>(Tabla1[[#This Row],[Precio Lista CDR]]-Tabla1[[#This Row],[PrecioFábrica]])/Tabla1[[#This Row],[Precio Lista CDR]]</f>
        <v>0.7309515057716468</v>
      </c>
      <c r="M497" s="12">
        <f>(Tabla1[[#This Row],[Lista 1 (20%)]]-Tabla1[[#This Row],[PrecioFábrica]])/Tabla1[[#This Row],[Lista 1 (20%)]]</f>
        <v>0.66368938221455853</v>
      </c>
      <c r="N497" s="12">
        <f>(Tabla1[[#This Row],[Lista 2 (30%)]]-Tabla1[[#This Row],[PrecioFábrica]])/Tabla1[[#This Row],[Lista 2 (30%)]]</f>
        <v>0.61564500824520973</v>
      </c>
      <c r="O497" s="12">
        <f>(Tabla1[[#This Row],[Lista 3 (40%)]]-Tabla1[[#This Row],[PrecioFábrica]])/Tabla1[[#This Row],[Lista 3 (40%)]]</f>
        <v>0.55158584295274471</v>
      </c>
    </row>
    <row r="498" spans="1:15">
      <c r="A498" t="s">
        <v>7</v>
      </c>
      <c r="B498" t="s">
        <v>507</v>
      </c>
      <c r="C498" t="s">
        <v>1309</v>
      </c>
      <c r="D498" t="s">
        <v>811</v>
      </c>
      <c r="E498" t="s">
        <v>5</v>
      </c>
      <c r="F498" s="3">
        <v>23.833333333333336</v>
      </c>
      <c r="G498" s="10">
        <f>VLOOKUP(Tabla1[[#This Row],[Código Unificador]],PRECIOS_COMPETENCIA!B:D,3,FALSE)</f>
        <v>82.572500000000005</v>
      </c>
      <c r="H498" s="10">
        <f>Tabla1[[#This Row],[PVP Competencia]]*0.98</f>
        <v>80.921050000000008</v>
      </c>
      <c r="I498" s="10">
        <f>Tabla1[[#This Row],[Precio Lista CDR]]*0.8</f>
        <v>64.736840000000015</v>
      </c>
      <c r="J498" s="10">
        <f>Tabla1[[#This Row],[Precio Lista CDR]]*0.7</f>
        <v>56.644735000000004</v>
      </c>
      <c r="K498" s="10">
        <f>Tabla1[[#This Row],[Precio Lista CDR]]*0.6</f>
        <v>48.552630000000001</v>
      </c>
      <c r="L498" s="12">
        <f>(Tabla1[[#This Row],[Precio Lista CDR]]-Tabla1[[#This Row],[PrecioFábrica]])/Tabla1[[#This Row],[Precio Lista CDR]]</f>
        <v>0.7054742451644741</v>
      </c>
      <c r="M498" s="12">
        <f>(Tabla1[[#This Row],[Lista 1 (20%)]]-Tabla1[[#This Row],[PrecioFábrica]])/Tabla1[[#This Row],[Lista 1 (20%)]]</f>
        <v>0.63184280645559265</v>
      </c>
      <c r="N498" s="12">
        <f>(Tabla1[[#This Row],[Lista 2 (30%)]]-Tabla1[[#This Row],[PrecioFábrica]])/Tabla1[[#This Row],[Lista 2 (30%)]]</f>
        <v>0.57924892166353437</v>
      </c>
      <c r="O498" s="12">
        <f>(Tabla1[[#This Row],[Lista 3 (40%)]]-Tabla1[[#This Row],[PrecioFábrica]])/Tabla1[[#This Row],[Lista 3 (40%)]]</f>
        <v>0.50912374194079013</v>
      </c>
    </row>
    <row r="499" spans="1:15">
      <c r="A499" t="s">
        <v>7</v>
      </c>
      <c r="B499" t="s">
        <v>508</v>
      </c>
      <c r="C499" t="s">
        <v>1310</v>
      </c>
      <c r="D499" t="s">
        <v>811</v>
      </c>
      <c r="E499" t="s">
        <v>5</v>
      </c>
      <c r="F499" s="3">
        <v>3.541666666666667</v>
      </c>
      <c r="G499" s="10">
        <f>VLOOKUP(Tabla1[[#This Row],[Código Unificador]],PRECIOS_COMPETENCIA!B:D,3,FALSE)</f>
        <v>20.989791666666669</v>
      </c>
      <c r="H499" s="10">
        <f>Tabla1[[#This Row],[PVP Competencia]]*0.98</f>
        <v>20.569995833333333</v>
      </c>
      <c r="I499" s="10">
        <f>Tabla1[[#This Row],[Precio Lista CDR]]*0.8</f>
        <v>16.455996666666667</v>
      </c>
      <c r="J499" s="10">
        <f>Tabla1[[#This Row],[Precio Lista CDR]]*0.7</f>
        <v>14.398997083333333</v>
      </c>
      <c r="K499" s="10">
        <f>Tabla1[[#This Row],[Precio Lista CDR]]*0.6</f>
        <v>12.3419975</v>
      </c>
      <c r="L499" s="12">
        <f>(Tabla1[[#This Row],[Precio Lista CDR]]-Tabla1[[#This Row],[PrecioFábrica]])/Tabla1[[#This Row],[Precio Lista CDR]]</f>
        <v>0.82782365658395241</v>
      </c>
      <c r="M499" s="12">
        <f>(Tabla1[[#This Row],[Lista 1 (20%)]]-Tabla1[[#This Row],[PrecioFábrica]])/Tabla1[[#This Row],[Lista 1 (20%)]]</f>
        <v>0.78477957072994053</v>
      </c>
      <c r="N499" s="12">
        <f>(Tabla1[[#This Row],[Lista 2 (30%)]]-Tabla1[[#This Row],[PrecioFábrica]])/Tabla1[[#This Row],[Lista 2 (30%)]]</f>
        <v>0.75403379511993218</v>
      </c>
      <c r="O499" s="12">
        <f>(Tabla1[[#This Row],[Lista 3 (40%)]]-Tabla1[[#This Row],[PrecioFábrica]])/Tabla1[[#This Row],[Lista 3 (40%)]]</f>
        <v>0.71303942763992079</v>
      </c>
    </row>
    <row r="500" spans="1:15">
      <c r="A500" t="s">
        <v>7</v>
      </c>
      <c r="B500" t="s">
        <v>509</v>
      </c>
      <c r="C500" t="s">
        <v>1311</v>
      </c>
      <c r="D500" t="s">
        <v>811</v>
      </c>
      <c r="E500" t="s">
        <v>5</v>
      </c>
      <c r="F500" s="3">
        <v>3.6000000000000005</v>
      </c>
      <c r="G500" s="10">
        <f>VLOOKUP(Tabla1[[#This Row],[Código Unificador]],PRECIOS_COMPETENCIA!B:D,3,FALSE)</f>
        <v>20.962000000000003</v>
      </c>
      <c r="H500" s="10">
        <f>Tabla1[[#This Row],[PVP Competencia]]*0.98</f>
        <v>20.542760000000001</v>
      </c>
      <c r="I500" s="10">
        <f>Tabla1[[#This Row],[Precio Lista CDR]]*0.8</f>
        <v>16.434208000000002</v>
      </c>
      <c r="J500" s="10">
        <f>Tabla1[[#This Row],[Precio Lista CDR]]*0.7</f>
        <v>14.379932</v>
      </c>
      <c r="K500" s="10">
        <f>Tabla1[[#This Row],[Precio Lista CDR]]*0.6</f>
        <v>12.325656</v>
      </c>
      <c r="L500" s="12">
        <f>(Tabla1[[#This Row],[Precio Lista CDR]]-Tabla1[[#This Row],[PrecioFábrica]])/Tabla1[[#This Row],[Precio Lista CDR]]</f>
        <v>0.82475577770465114</v>
      </c>
      <c r="M500" s="12">
        <f>(Tabla1[[#This Row],[Lista 1 (20%)]]-Tabla1[[#This Row],[PrecioFábrica]])/Tabla1[[#This Row],[Lista 1 (20%)]]</f>
        <v>0.7809447221308139</v>
      </c>
      <c r="N500" s="12">
        <f>(Tabla1[[#This Row],[Lista 2 (30%)]]-Tabla1[[#This Row],[PrecioFábrica]])/Tabla1[[#This Row],[Lista 2 (30%)]]</f>
        <v>0.74965111100664439</v>
      </c>
      <c r="O500" s="12">
        <f>(Tabla1[[#This Row],[Lista 3 (40%)]]-Tabla1[[#This Row],[PrecioFábrica]])/Tabla1[[#This Row],[Lista 3 (40%)]]</f>
        <v>0.70792629617441871</v>
      </c>
    </row>
    <row r="501" spans="1:15">
      <c r="A501" t="s">
        <v>6</v>
      </c>
      <c r="B501" t="s">
        <v>510</v>
      </c>
      <c r="C501" t="s">
        <v>1312</v>
      </c>
      <c r="D501" t="s">
        <v>811</v>
      </c>
      <c r="E501" t="s">
        <v>5</v>
      </c>
      <c r="F501" s="3">
        <v>3.9749999999999996</v>
      </c>
      <c r="G501" s="10">
        <f>VLOOKUP(Tabla1[[#This Row],[Código Unificador]],PRECIOS_COMPETENCIA!B:D,3,FALSE)</f>
        <v>22.219149999999999</v>
      </c>
      <c r="H501" s="10">
        <f>Tabla1[[#This Row],[PVP Competencia]]*0.98</f>
        <v>21.774766999999997</v>
      </c>
      <c r="I501" s="10">
        <f>Tabla1[[#This Row],[Precio Lista CDR]]*0.8</f>
        <v>17.419813599999998</v>
      </c>
      <c r="J501" s="10">
        <f>Tabla1[[#This Row],[Precio Lista CDR]]*0.7</f>
        <v>15.242336899999996</v>
      </c>
      <c r="K501" s="10">
        <f>Tabla1[[#This Row],[Precio Lista CDR]]*0.6</f>
        <v>13.064860199999998</v>
      </c>
      <c r="L501" s="12">
        <f>(Tabla1[[#This Row],[Precio Lista CDR]]-Tabla1[[#This Row],[PrecioFábrica]])/Tabla1[[#This Row],[Precio Lista CDR]]</f>
        <v>0.81744925215502873</v>
      </c>
      <c r="M501" s="12">
        <f>(Tabla1[[#This Row],[Lista 1 (20%)]]-Tabla1[[#This Row],[PrecioFábrica]])/Tabla1[[#This Row],[Lista 1 (20%)]]</f>
        <v>0.77181156519378602</v>
      </c>
      <c r="N501" s="12">
        <f>(Tabla1[[#This Row],[Lista 2 (30%)]]-Tabla1[[#This Row],[PrecioFábrica]])/Tabla1[[#This Row],[Lista 2 (30%)]]</f>
        <v>0.73921321736432677</v>
      </c>
      <c r="O501" s="12">
        <f>(Tabla1[[#This Row],[Lista 3 (40%)]]-Tabla1[[#This Row],[PrecioFábrica]])/Tabla1[[#This Row],[Lista 3 (40%)]]</f>
        <v>0.69574875359171462</v>
      </c>
    </row>
    <row r="502" spans="1:15">
      <c r="A502" t="s">
        <v>7</v>
      </c>
      <c r="B502" t="s">
        <v>511</v>
      </c>
      <c r="C502" t="s">
        <v>1313</v>
      </c>
      <c r="D502" t="s">
        <v>811</v>
      </c>
      <c r="E502" t="s">
        <v>5</v>
      </c>
      <c r="F502" s="3">
        <v>4.3083333333333336</v>
      </c>
      <c r="G502" s="10">
        <f>VLOOKUP(Tabla1[[#This Row],[Código Unificador]],PRECIOS_COMPETENCIA!B:D,3,FALSE)</f>
        <v>23.118875000000003</v>
      </c>
      <c r="H502" s="10">
        <f>Tabla1[[#This Row],[PVP Competencia]]*0.98</f>
        <v>22.656497500000004</v>
      </c>
      <c r="I502" s="10">
        <f>Tabla1[[#This Row],[Precio Lista CDR]]*0.8</f>
        <v>18.125198000000005</v>
      </c>
      <c r="J502" s="10">
        <f>Tabla1[[#This Row],[Precio Lista CDR]]*0.7</f>
        <v>15.859548250000001</v>
      </c>
      <c r="K502" s="10">
        <f>Tabla1[[#This Row],[Precio Lista CDR]]*0.6</f>
        <v>13.593898500000002</v>
      </c>
      <c r="L502" s="12">
        <f>(Tabla1[[#This Row],[Precio Lista CDR]]-Tabla1[[#This Row],[PrecioFábrica]])/Tabla1[[#This Row],[Precio Lista CDR]]</f>
        <v>0.80984115778119137</v>
      </c>
      <c r="M502" s="12">
        <f>(Tabla1[[#This Row],[Lista 1 (20%)]]-Tabla1[[#This Row],[PrecioFábrica]])/Tabla1[[#This Row],[Lista 1 (20%)]]</f>
        <v>0.76230144722648918</v>
      </c>
      <c r="N502" s="12">
        <f>(Tabla1[[#This Row],[Lista 2 (30%)]]-Tabla1[[#This Row],[PrecioFábrica]])/Tabla1[[#This Row],[Lista 2 (30%)]]</f>
        <v>0.72834451111598764</v>
      </c>
      <c r="O502" s="12">
        <f>(Tabla1[[#This Row],[Lista 3 (40%)]]-Tabla1[[#This Row],[PrecioFábrica]])/Tabla1[[#This Row],[Lista 3 (40%)]]</f>
        <v>0.68306859630198558</v>
      </c>
    </row>
    <row r="503" spans="1:15">
      <c r="A503" t="s">
        <v>9</v>
      </c>
      <c r="B503" t="s">
        <v>512</v>
      </c>
      <c r="C503" t="s">
        <v>1314</v>
      </c>
      <c r="D503" t="s">
        <v>811</v>
      </c>
      <c r="E503" t="s">
        <v>5</v>
      </c>
      <c r="F503" s="3">
        <v>4.5250000000000004</v>
      </c>
      <c r="G503" s="10">
        <f>VLOOKUP(Tabla1[[#This Row],[Código Unificador]],PRECIOS_COMPETENCIA!B:D,3,FALSE)</f>
        <v>23.778625000000005</v>
      </c>
      <c r="H503" s="10">
        <f>Tabla1[[#This Row],[PVP Competencia]]*0.98</f>
        <v>23.303052500000003</v>
      </c>
      <c r="I503" s="10">
        <f>Tabla1[[#This Row],[Precio Lista CDR]]*0.8</f>
        <v>18.642442000000003</v>
      </c>
      <c r="J503" s="10">
        <f>Tabla1[[#This Row],[Precio Lista CDR]]*0.7</f>
        <v>16.312136750000001</v>
      </c>
      <c r="K503" s="10">
        <f>Tabla1[[#This Row],[Precio Lista CDR]]*0.6</f>
        <v>13.981831500000002</v>
      </c>
      <c r="L503" s="12">
        <f>(Tabla1[[#This Row],[Precio Lista CDR]]-Tabla1[[#This Row],[PrecioFábrica]])/Tabla1[[#This Row],[Precio Lista CDR]]</f>
        <v>0.80581943073766826</v>
      </c>
      <c r="M503" s="12">
        <f>(Tabla1[[#This Row],[Lista 1 (20%)]]-Tabla1[[#This Row],[PrecioFábrica]])/Tabla1[[#This Row],[Lista 1 (20%)]]</f>
        <v>0.75727428842208544</v>
      </c>
      <c r="N503" s="12">
        <f>(Tabla1[[#This Row],[Lista 2 (30%)]]-Tabla1[[#This Row],[PrecioFábrica]])/Tabla1[[#This Row],[Lista 2 (30%)]]</f>
        <v>0.72259918676809765</v>
      </c>
      <c r="O503" s="12">
        <f>(Tabla1[[#This Row],[Lista 3 (40%)]]-Tabla1[[#This Row],[PrecioFábrica]])/Tabla1[[#This Row],[Lista 3 (40%)]]</f>
        <v>0.67636571789611399</v>
      </c>
    </row>
    <row r="504" spans="1:15">
      <c r="A504" t="s">
        <v>9</v>
      </c>
      <c r="B504" t="s">
        <v>513</v>
      </c>
      <c r="C504" t="s">
        <v>1315</v>
      </c>
      <c r="D504" t="s">
        <v>811</v>
      </c>
      <c r="E504" t="s">
        <v>5</v>
      </c>
      <c r="F504" s="3">
        <v>5.166666666666667</v>
      </c>
      <c r="G504" s="10">
        <f>VLOOKUP(Tabla1[[#This Row],[Código Unificador]],PRECIOS_COMPETENCIA!B:D,3,FALSE)</f>
        <v>26.182000000000002</v>
      </c>
      <c r="H504" s="10">
        <f>Tabla1[[#This Row],[PVP Competencia]]*0.98</f>
        <v>25.658360000000002</v>
      </c>
      <c r="I504" s="10">
        <f>Tabla1[[#This Row],[Precio Lista CDR]]*0.8</f>
        <v>20.526688000000004</v>
      </c>
      <c r="J504" s="10">
        <f>Tabla1[[#This Row],[Precio Lista CDR]]*0.7</f>
        <v>17.960851999999999</v>
      </c>
      <c r="K504" s="10">
        <f>Tabla1[[#This Row],[Precio Lista CDR]]*0.6</f>
        <v>15.395016</v>
      </c>
      <c r="L504" s="12">
        <f>(Tabla1[[#This Row],[Precio Lista CDR]]-Tabla1[[#This Row],[PrecioFábrica]])/Tabla1[[#This Row],[Precio Lista CDR]]</f>
        <v>0.79863613003065403</v>
      </c>
      <c r="M504" s="12">
        <f>(Tabla1[[#This Row],[Lista 1 (20%)]]-Tabla1[[#This Row],[PrecioFábrica]])/Tabla1[[#This Row],[Lista 1 (20%)]]</f>
        <v>0.74829516253831763</v>
      </c>
      <c r="N504" s="12">
        <f>(Tabla1[[#This Row],[Lista 2 (30%)]]-Tabla1[[#This Row],[PrecioFábrica]])/Tabla1[[#This Row],[Lista 2 (30%)]]</f>
        <v>0.71233732861522003</v>
      </c>
      <c r="O504" s="12">
        <f>(Tabla1[[#This Row],[Lista 3 (40%)]]-Tabla1[[#This Row],[PrecioFábrica]])/Tabla1[[#This Row],[Lista 3 (40%)]]</f>
        <v>0.66439355005109013</v>
      </c>
    </row>
    <row r="505" spans="1:15">
      <c r="A505" t="s">
        <v>9</v>
      </c>
      <c r="B505" t="s">
        <v>514</v>
      </c>
      <c r="C505" t="s">
        <v>1316</v>
      </c>
      <c r="D505" t="s">
        <v>811</v>
      </c>
      <c r="E505" t="s">
        <v>5</v>
      </c>
      <c r="F505" s="3">
        <v>6.0750000000000002</v>
      </c>
      <c r="G505" s="10">
        <f>VLOOKUP(Tabla1[[#This Row],[Código Unificador]],PRECIOS_COMPETENCIA!B:D,3,FALSE)</f>
        <v>27.969850000000001</v>
      </c>
      <c r="H505" s="10">
        <f>Tabla1[[#This Row],[PVP Competencia]]*0.98</f>
        <v>27.410453</v>
      </c>
      <c r="I505" s="10">
        <f>Tabla1[[#This Row],[Precio Lista CDR]]*0.8</f>
        <v>21.928362400000001</v>
      </c>
      <c r="J505" s="10">
        <f>Tabla1[[#This Row],[Precio Lista CDR]]*0.7</f>
        <v>19.187317099999998</v>
      </c>
      <c r="K505" s="10">
        <f>Tabla1[[#This Row],[Precio Lista CDR]]*0.6</f>
        <v>16.446271799999998</v>
      </c>
      <c r="L505" s="12">
        <f>(Tabla1[[#This Row],[Precio Lista CDR]]-Tabla1[[#This Row],[PrecioFábrica]])/Tabla1[[#This Row],[Precio Lista CDR]]</f>
        <v>0.77836922286545207</v>
      </c>
      <c r="M505" s="12">
        <f>(Tabla1[[#This Row],[Lista 1 (20%)]]-Tabla1[[#This Row],[PrecioFábrica]])/Tabla1[[#This Row],[Lista 1 (20%)]]</f>
        <v>0.72296152858181517</v>
      </c>
      <c r="N505" s="12">
        <f>(Tabla1[[#This Row],[Lista 2 (30%)]]-Tabla1[[#This Row],[PrecioFábrica]])/Tabla1[[#This Row],[Lista 2 (30%)]]</f>
        <v>0.68338460409350299</v>
      </c>
      <c r="O505" s="12">
        <f>(Tabla1[[#This Row],[Lista 3 (40%)]]-Tabla1[[#This Row],[PrecioFábrica]])/Tabla1[[#This Row],[Lista 3 (40%)]]</f>
        <v>0.63061537144242019</v>
      </c>
    </row>
    <row r="506" spans="1:15">
      <c r="A506" t="s">
        <v>9</v>
      </c>
      <c r="B506" t="s">
        <v>515</v>
      </c>
      <c r="C506" t="s">
        <v>1317</v>
      </c>
      <c r="D506" t="s">
        <v>811</v>
      </c>
      <c r="E506" t="s">
        <v>5</v>
      </c>
      <c r="F506" s="3">
        <v>5.7500000000000009</v>
      </c>
      <c r="G506" s="10">
        <f>VLOOKUP(Tabla1[[#This Row],[Código Unificador]],PRECIOS_COMPETENCIA!B:D,3,FALSE)</f>
        <v>27.175250000000002</v>
      </c>
      <c r="H506" s="10">
        <f>Tabla1[[#This Row],[PVP Competencia]]*0.98</f>
        <v>26.631745000000002</v>
      </c>
      <c r="I506" s="10">
        <f>Tabla1[[#This Row],[Precio Lista CDR]]*0.8</f>
        <v>21.305396000000002</v>
      </c>
      <c r="J506" s="10">
        <f>Tabla1[[#This Row],[Precio Lista CDR]]*0.7</f>
        <v>18.642221500000002</v>
      </c>
      <c r="K506" s="10">
        <f>Tabla1[[#This Row],[Precio Lista CDR]]*0.6</f>
        <v>15.979047000000001</v>
      </c>
      <c r="L506" s="12">
        <f>(Tabla1[[#This Row],[Precio Lista CDR]]-Tabla1[[#This Row],[PrecioFábrica]])/Tabla1[[#This Row],[Precio Lista CDR]]</f>
        <v>0.78409225531409976</v>
      </c>
      <c r="M506" s="12">
        <f>(Tabla1[[#This Row],[Lista 1 (20%)]]-Tabla1[[#This Row],[PrecioFábrica]])/Tabla1[[#This Row],[Lista 1 (20%)]]</f>
        <v>0.73011531914262473</v>
      </c>
      <c r="N506" s="12">
        <f>(Tabla1[[#This Row],[Lista 2 (30%)]]-Tabla1[[#This Row],[PrecioFábrica]])/Tabla1[[#This Row],[Lista 2 (30%)]]</f>
        <v>0.69156036473442828</v>
      </c>
      <c r="O506" s="12">
        <f>(Tabla1[[#This Row],[Lista 3 (40%)]]-Tabla1[[#This Row],[PrecioFábrica]])/Tabla1[[#This Row],[Lista 3 (40%)]]</f>
        <v>0.64015375885683301</v>
      </c>
    </row>
    <row r="507" spans="1:15">
      <c r="A507" t="s">
        <v>9</v>
      </c>
      <c r="B507" t="s">
        <v>516</v>
      </c>
      <c r="C507" t="s">
        <v>1318</v>
      </c>
      <c r="D507" t="s">
        <v>811</v>
      </c>
      <c r="E507" t="s">
        <v>5</v>
      </c>
      <c r="F507" s="3">
        <v>7.916666666666667</v>
      </c>
      <c r="G507" s="10">
        <f>VLOOKUP(Tabla1[[#This Row],[Código Unificador]],PRECIOS_COMPETENCIA!B:D,3,FALSE)</f>
        <v>34.565416666666671</v>
      </c>
      <c r="H507" s="10">
        <f>Tabla1[[#This Row],[PVP Competencia]]*0.98</f>
        <v>33.874108333333339</v>
      </c>
      <c r="I507" s="10">
        <f>Tabla1[[#This Row],[Precio Lista CDR]]*0.8</f>
        <v>27.099286666666671</v>
      </c>
      <c r="J507" s="10">
        <f>Tabla1[[#This Row],[Precio Lista CDR]]*0.7</f>
        <v>23.711875833333337</v>
      </c>
      <c r="K507" s="10">
        <f>Tabla1[[#This Row],[Precio Lista CDR]]*0.6</f>
        <v>20.324465000000004</v>
      </c>
      <c r="L507" s="12">
        <f>(Tabla1[[#This Row],[Precio Lista CDR]]-Tabla1[[#This Row],[PrecioFábrica]])/Tabla1[[#This Row],[Precio Lista CDR]]</f>
        <v>0.76629151124027128</v>
      </c>
      <c r="M507" s="12">
        <f>(Tabla1[[#This Row],[Lista 1 (20%)]]-Tabla1[[#This Row],[PrecioFábrica]])/Tabla1[[#This Row],[Lista 1 (20%)]]</f>
        <v>0.7078643890503391</v>
      </c>
      <c r="N507" s="12">
        <f>(Tabla1[[#This Row],[Lista 2 (30%)]]-Tabla1[[#This Row],[PrecioFábrica]])/Tabla1[[#This Row],[Lista 2 (30%)]]</f>
        <v>0.66613073034324466</v>
      </c>
      <c r="O507" s="12">
        <f>(Tabla1[[#This Row],[Lista 3 (40%)]]-Tabla1[[#This Row],[PrecioFábrica]])/Tabla1[[#This Row],[Lista 3 (40%)]]</f>
        <v>0.61048585206711881</v>
      </c>
    </row>
    <row r="508" spans="1:15">
      <c r="A508" t="s">
        <v>6</v>
      </c>
      <c r="B508" t="s">
        <v>517</v>
      </c>
      <c r="C508" t="s">
        <v>1319</v>
      </c>
      <c r="D508" t="s">
        <v>811</v>
      </c>
      <c r="E508" t="s">
        <v>5</v>
      </c>
      <c r="F508" s="3">
        <v>8.4416666666666682</v>
      </c>
      <c r="G508" s="10">
        <f>VLOOKUP(Tabla1[[#This Row],[Código Unificador]],PRECIOS_COMPETENCIA!B:D,3,FALSE)</f>
        <v>34.970450000000007</v>
      </c>
      <c r="H508" s="10">
        <f>Tabla1[[#This Row],[PVP Competencia]]*0.98</f>
        <v>34.271041000000004</v>
      </c>
      <c r="I508" s="10">
        <f>Tabla1[[#This Row],[Precio Lista CDR]]*0.8</f>
        <v>27.416832800000005</v>
      </c>
      <c r="J508" s="10">
        <f>Tabla1[[#This Row],[Precio Lista CDR]]*0.7</f>
        <v>23.989728700000001</v>
      </c>
      <c r="K508" s="10">
        <f>Tabla1[[#This Row],[Precio Lista CDR]]*0.6</f>
        <v>20.562624600000003</v>
      </c>
      <c r="L508" s="12">
        <f>(Tabla1[[#This Row],[Precio Lista CDR]]-Tabla1[[#This Row],[PrecioFábrica]])/Tabla1[[#This Row],[Precio Lista CDR]]</f>
        <v>0.75367930414875139</v>
      </c>
      <c r="M508" s="12">
        <f>(Tabla1[[#This Row],[Lista 1 (20%)]]-Tabla1[[#This Row],[PrecioFábrica]])/Tabla1[[#This Row],[Lista 1 (20%)]]</f>
        <v>0.69209913018593949</v>
      </c>
      <c r="N508" s="12">
        <f>(Tabla1[[#This Row],[Lista 2 (30%)]]-Tabla1[[#This Row],[PrecioFábrica]])/Tabla1[[#This Row],[Lista 2 (30%)]]</f>
        <v>0.64811329164107356</v>
      </c>
      <c r="O508" s="12">
        <f>(Tabla1[[#This Row],[Lista 3 (40%)]]-Tabla1[[#This Row],[PrecioFábrica]])/Tabla1[[#This Row],[Lista 3 (40%)]]</f>
        <v>0.58946550691458588</v>
      </c>
    </row>
    <row r="509" spans="1:15">
      <c r="A509" t="s">
        <v>9</v>
      </c>
      <c r="B509" t="s">
        <v>518</v>
      </c>
      <c r="C509" t="s">
        <v>1320</v>
      </c>
      <c r="D509" t="s">
        <v>811</v>
      </c>
      <c r="E509" t="s">
        <v>5</v>
      </c>
      <c r="F509" s="3">
        <v>12.758333333333335</v>
      </c>
      <c r="G509" s="10">
        <f>VLOOKUP(Tabla1[[#This Row],[Código Unificador]],PRECIOS_COMPETENCIA!B:D,3,FALSE)</f>
        <v>48.479133333333344</v>
      </c>
      <c r="H509" s="10">
        <f>Tabla1[[#This Row],[PVP Competencia]]*0.98</f>
        <v>47.509550666666676</v>
      </c>
      <c r="I509" s="10">
        <f>Tabla1[[#This Row],[Precio Lista CDR]]*0.8</f>
        <v>38.007640533333344</v>
      </c>
      <c r="J509" s="10">
        <f>Tabla1[[#This Row],[Precio Lista CDR]]*0.7</f>
        <v>33.256685466666674</v>
      </c>
      <c r="K509" s="10">
        <f>Tabla1[[#This Row],[Precio Lista CDR]]*0.6</f>
        <v>28.505730400000004</v>
      </c>
      <c r="L509" s="12">
        <f>(Tabla1[[#This Row],[Precio Lista CDR]]-Tabla1[[#This Row],[PrecioFábrica]])/Tabla1[[#This Row],[Precio Lista CDR]]</f>
        <v>0.73145750371651597</v>
      </c>
      <c r="M509" s="12">
        <f>(Tabla1[[#This Row],[Lista 1 (20%)]]-Tabla1[[#This Row],[PrecioFábrica]])/Tabla1[[#This Row],[Lista 1 (20%)]]</f>
        <v>0.66432187964564493</v>
      </c>
      <c r="N509" s="12">
        <f>(Tabla1[[#This Row],[Lista 2 (30%)]]-Tabla1[[#This Row],[PrecioFábrica]])/Tabla1[[#This Row],[Lista 2 (30%)]]</f>
        <v>0.61636786245216568</v>
      </c>
      <c r="O509" s="12">
        <f>(Tabla1[[#This Row],[Lista 3 (40%)]]-Tabla1[[#This Row],[PrecioFábrica]])/Tabla1[[#This Row],[Lista 3 (40%)]]</f>
        <v>0.5524291728608598</v>
      </c>
    </row>
    <row r="510" spans="1:15">
      <c r="A510" t="s">
        <v>6</v>
      </c>
      <c r="B510" t="s">
        <v>519</v>
      </c>
      <c r="C510" t="s">
        <v>1321</v>
      </c>
      <c r="D510" t="s">
        <v>811</v>
      </c>
      <c r="E510" t="s">
        <v>5</v>
      </c>
      <c r="F510" s="3">
        <v>5.416666666666667</v>
      </c>
      <c r="G510" s="10">
        <f>VLOOKUP(Tabla1[[#This Row],[Código Unificador]],PRECIOS_COMPETENCIA!B:D,3,FALSE)</f>
        <v>26.493749999999999</v>
      </c>
      <c r="H510" s="10">
        <f>Tabla1[[#This Row],[PVP Competencia]]*0.98</f>
        <v>25.963874999999998</v>
      </c>
      <c r="I510" s="10">
        <f>Tabla1[[#This Row],[Precio Lista CDR]]*0.8</f>
        <v>20.771100000000001</v>
      </c>
      <c r="J510" s="10">
        <f>Tabla1[[#This Row],[Precio Lista CDR]]*0.7</f>
        <v>18.174712499999998</v>
      </c>
      <c r="K510" s="10">
        <f>Tabla1[[#This Row],[Precio Lista CDR]]*0.6</f>
        <v>15.578324999999998</v>
      </c>
      <c r="L510" s="12">
        <f>(Tabla1[[#This Row],[Precio Lista CDR]]-Tabla1[[#This Row],[PrecioFábrica]])/Tabla1[[#This Row],[Precio Lista CDR]]</f>
        <v>0.79137680077928785</v>
      </c>
      <c r="M510" s="12">
        <f>(Tabla1[[#This Row],[Lista 1 (20%)]]-Tabla1[[#This Row],[PrecioFábrica]])/Tabla1[[#This Row],[Lista 1 (20%)]]</f>
        <v>0.73922100097410981</v>
      </c>
      <c r="N510" s="12">
        <f>(Tabla1[[#This Row],[Lista 2 (30%)]]-Tabla1[[#This Row],[PrecioFábrica]])/Tabla1[[#This Row],[Lista 2 (30%)]]</f>
        <v>0.70196685825612548</v>
      </c>
      <c r="O510" s="12">
        <f>(Tabla1[[#This Row],[Lista 3 (40%)]]-Tabla1[[#This Row],[PrecioFábrica]])/Tabla1[[#This Row],[Lista 3 (40%)]]</f>
        <v>0.65229466796547986</v>
      </c>
    </row>
    <row r="511" spans="1:15">
      <c r="A511" t="s">
        <v>7</v>
      </c>
      <c r="B511" t="s">
        <v>520</v>
      </c>
      <c r="C511" t="s">
        <v>1322</v>
      </c>
      <c r="D511" t="s">
        <v>811</v>
      </c>
      <c r="E511" t="s">
        <v>5</v>
      </c>
      <c r="F511" s="3">
        <v>5.1583333333333341</v>
      </c>
      <c r="G511" s="10">
        <f>VLOOKUP(Tabla1[[#This Row],[Código Unificador]],PRECIOS_COMPETENCIA!B:D,3,FALSE)</f>
        <v>25.557533333333339</v>
      </c>
      <c r="H511" s="10">
        <f>Tabla1[[#This Row],[PVP Competencia]]*0.98</f>
        <v>25.046382666666673</v>
      </c>
      <c r="I511" s="10">
        <f>Tabla1[[#This Row],[Precio Lista CDR]]*0.8</f>
        <v>20.037106133333339</v>
      </c>
      <c r="J511" s="10">
        <f>Tabla1[[#This Row],[Precio Lista CDR]]*0.7</f>
        <v>17.532467866666671</v>
      </c>
      <c r="K511" s="10">
        <f>Tabla1[[#This Row],[Precio Lista CDR]]*0.6</f>
        <v>15.027829600000004</v>
      </c>
      <c r="L511" s="12">
        <f>(Tabla1[[#This Row],[Precio Lista CDR]]-Tabla1[[#This Row],[PrecioFábrica]])/Tabla1[[#This Row],[Precio Lista CDR]]</f>
        <v>0.79404876935788515</v>
      </c>
      <c r="M511" s="12">
        <f>(Tabla1[[#This Row],[Lista 1 (20%)]]-Tabla1[[#This Row],[PrecioFábrica]])/Tabla1[[#This Row],[Lista 1 (20%)]]</f>
        <v>0.74256096169735641</v>
      </c>
      <c r="N511" s="12">
        <f>(Tabla1[[#This Row],[Lista 2 (30%)]]-Tabla1[[#This Row],[PrecioFábrica]])/Tabla1[[#This Row],[Lista 2 (30%)]]</f>
        <v>0.70578395622555024</v>
      </c>
      <c r="O511" s="12">
        <f>(Tabla1[[#This Row],[Lista 3 (40%)]]-Tabla1[[#This Row],[PrecioFábrica]])/Tabla1[[#This Row],[Lista 3 (40%)]]</f>
        <v>0.65674794892980859</v>
      </c>
    </row>
    <row r="512" spans="1:15">
      <c r="A512" t="s">
        <v>7</v>
      </c>
      <c r="B512" t="s">
        <v>521</v>
      </c>
      <c r="C512" t="s">
        <v>1323</v>
      </c>
      <c r="D512" t="s">
        <v>811</v>
      </c>
      <c r="E512" t="s">
        <v>5</v>
      </c>
      <c r="F512" s="3">
        <v>5.8333333333333339</v>
      </c>
      <c r="G512" s="10">
        <f>VLOOKUP(Tabla1[[#This Row],[Código Unificador]],PRECIOS_COMPETENCIA!B:D,3,FALSE)</f>
        <v>28.270000000000003</v>
      </c>
      <c r="H512" s="10">
        <f>Tabla1[[#This Row],[PVP Competencia]]*0.98</f>
        <v>27.704600000000003</v>
      </c>
      <c r="I512" s="10">
        <f>Tabla1[[#This Row],[Precio Lista CDR]]*0.8</f>
        <v>22.163680000000003</v>
      </c>
      <c r="J512" s="10">
        <f>Tabla1[[#This Row],[Precio Lista CDR]]*0.7</f>
        <v>19.393219999999999</v>
      </c>
      <c r="K512" s="10">
        <f>Tabla1[[#This Row],[Precio Lista CDR]]*0.6</f>
        <v>16.62276</v>
      </c>
      <c r="L512" s="12">
        <f>(Tabla1[[#This Row],[Precio Lista CDR]]-Tabla1[[#This Row],[PrecioFábrica]])/Tabla1[[#This Row],[Precio Lista CDR]]</f>
        <v>0.78944531473714363</v>
      </c>
      <c r="M512" s="12">
        <f>(Tabla1[[#This Row],[Lista 1 (20%)]]-Tabla1[[#This Row],[PrecioFábrica]])/Tabla1[[#This Row],[Lista 1 (20%)]]</f>
        <v>0.73680664342142954</v>
      </c>
      <c r="N512" s="12">
        <f>(Tabla1[[#This Row],[Lista 2 (30%)]]-Tabla1[[#This Row],[PrecioFábrica]])/Tabla1[[#This Row],[Lista 2 (30%)]]</f>
        <v>0.69920759248163356</v>
      </c>
      <c r="O512" s="12">
        <f>(Tabla1[[#This Row],[Lista 3 (40%)]]-Tabla1[[#This Row],[PrecioFábrica]])/Tabla1[[#This Row],[Lista 3 (40%)]]</f>
        <v>0.64907552456190587</v>
      </c>
    </row>
    <row r="513" spans="1:15">
      <c r="A513" t="s">
        <v>9</v>
      </c>
      <c r="B513" t="s">
        <v>522</v>
      </c>
      <c r="C513" t="s">
        <v>1324</v>
      </c>
      <c r="D513" t="s">
        <v>811</v>
      </c>
      <c r="E513" t="s">
        <v>5</v>
      </c>
      <c r="F513" s="3">
        <v>7.1833333333333345</v>
      </c>
      <c r="G513" s="10">
        <f>VLOOKUP(Tabla1[[#This Row],[Código Unificador]],PRECIOS_COMPETENCIA!B:D,3,FALSE)</f>
        <v>31.456616666666669</v>
      </c>
      <c r="H513" s="10">
        <f>Tabla1[[#This Row],[PVP Competencia]]*0.98</f>
        <v>30.827484333333334</v>
      </c>
      <c r="I513" s="10">
        <f>Tabla1[[#This Row],[Precio Lista CDR]]*0.8</f>
        <v>24.66198746666667</v>
      </c>
      <c r="J513" s="10">
        <f>Tabla1[[#This Row],[Precio Lista CDR]]*0.7</f>
        <v>21.579239033333334</v>
      </c>
      <c r="K513" s="10">
        <f>Tabla1[[#This Row],[Precio Lista CDR]]*0.6</f>
        <v>18.496490600000001</v>
      </c>
      <c r="L513" s="12">
        <f>(Tabla1[[#This Row],[Precio Lista CDR]]-Tabla1[[#This Row],[PrecioFábrica]])/Tabla1[[#This Row],[Precio Lista CDR]]</f>
        <v>0.76698282429857256</v>
      </c>
      <c r="M513" s="12">
        <f>(Tabla1[[#This Row],[Lista 1 (20%)]]-Tabla1[[#This Row],[PrecioFábrica]])/Tabla1[[#This Row],[Lista 1 (20%)]]</f>
        <v>0.70872853037321581</v>
      </c>
      <c r="N513" s="12">
        <f>(Tabla1[[#This Row],[Lista 2 (30%)]]-Tabla1[[#This Row],[PrecioFábrica]])/Tabla1[[#This Row],[Lista 2 (30%)]]</f>
        <v>0.6671183204265323</v>
      </c>
      <c r="O513" s="12">
        <f>(Tabla1[[#This Row],[Lista 3 (40%)]]-Tabla1[[#This Row],[PrecioFábrica]])/Tabla1[[#This Row],[Lista 3 (40%)]]</f>
        <v>0.61163804049762105</v>
      </c>
    </row>
    <row r="514" spans="1:15">
      <c r="A514" t="s">
        <v>9</v>
      </c>
      <c r="B514" t="s">
        <v>523</v>
      </c>
      <c r="C514" t="s">
        <v>1325</v>
      </c>
      <c r="D514" t="s">
        <v>811</v>
      </c>
      <c r="E514" t="s">
        <v>5</v>
      </c>
      <c r="F514" s="3">
        <v>7.9916666666666671</v>
      </c>
      <c r="G514" s="10">
        <f>VLOOKUP(Tabla1[[#This Row],[Código Unificador]],PRECIOS_COMPETENCIA!B:D,3,FALSE)</f>
        <v>33.63935</v>
      </c>
      <c r="H514" s="10">
        <f>Tabla1[[#This Row],[PVP Competencia]]*0.98</f>
        <v>32.966563000000001</v>
      </c>
      <c r="I514" s="10">
        <f>Tabla1[[#This Row],[Precio Lista CDR]]*0.8</f>
        <v>26.373250400000003</v>
      </c>
      <c r="J514" s="10">
        <f>Tabla1[[#This Row],[Precio Lista CDR]]*0.7</f>
        <v>23.076594099999998</v>
      </c>
      <c r="K514" s="10">
        <f>Tabla1[[#This Row],[Precio Lista CDR]]*0.6</f>
        <v>19.779937799999999</v>
      </c>
      <c r="L514" s="12">
        <f>(Tabla1[[#This Row],[Precio Lista CDR]]-Tabla1[[#This Row],[PrecioFábrica]])/Tabla1[[#This Row],[Precio Lista CDR]]</f>
        <v>0.75758265529025071</v>
      </c>
      <c r="M514" s="12">
        <f>(Tabla1[[#This Row],[Lista 1 (20%)]]-Tabla1[[#This Row],[PrecioFábrica]])/Tabla1[[#This Row],[Lista 1 (20%)]]</f>
        <v>0.69697831911281338</v>
      </c>
      <c r="N514" s="12">
        <f>(Tabla1[[#This Row],[Lista 2 (30%)]]-Tabla1[[#This Row],[PrecioFábrica]])/Tabla1[[#This Row],[Lista 2 (30%)]]</f>
        <v>0.65368950755750099</v>
      </c>
      <c r="O514" s="12">
        <f>(Tabla1[[#This Row],[Lista 3 (40%)]]-Tabla1[[#This Row],[PrecioFábrica]])/Tabla1[[#This Row],[Lista 3 (40%)]]</f>
        <v>0.59597109215041777</v>
      </c>
    </row>
    <row r="515" spans="1:15">
      <c r="A515" t="s">
        <v>6</v>
      </c>
      <c r="B515" t="s">
        <v>524</v>
      </c>
      <c r="C515" t="s">
        <v>1326</v>
      </c>
      <c r="D515" t="s">
        <v>811</v>
      </c>
      <c r="E515" t="s">
        <v>5</v>
      </c>
      <c r="F515" s="3">
        <v>11.833333333333334</v>
      </c>
      <c r="G515" s="10">
        <f>VLOOKUP(Tabla1[[#This Row],[Código Unificador]],PRECIOS_COMPETENCIA!B:D,3,FALSE)</f>
        <v>46.375666666666675</v>
      </c>
      <c r="H515" s="10">
        <f>Tabla1[[#This Row],[PVP Competencia]]*0.98</f>
        <v>45.448153333333337</v>
      </c>
      <c r="I515" s="10">
        <f>Tabla1[[#This Row],[Precio Lista CDR]]*0.8</f>
        <v>36.358522666666673</v>
      </c>
      <c r="J515" s="10">
        <f>Tabla1[[#This Row],[Precio Lista CDR]]*0.7</f>
        <v>31.813707333333333</v>
      </c>
      <c r="K515" s="10">
        <f>Tabla1[[#This Row],[Precio Lista CDR]]*0.6</f>
        <v>27.268892000000001</v>
      </c>
      <c r="L515" s="12">
        <f>(Tabla1[[#This Row],[Precio Lista CDR]]-Tabla1[[#This Row],[PrecioFábrica]])/Tabla1[[#This Row],[Precio Lista CDR]]</f>
        <v>0.7396300517087383</v>
      </c>
      <c r="M515" s="12">
        <f>(Tabla1[[#This Row],[Lista 1 (20%)]]-Tabla1[[#This Row],[PrecioFábrica]])/Tabla1[[#This Row],[Lista 1 (20%)]]</f>
        <v>0.67453756463592285</v>
      </c>
      <c r="N515" s="12">
        <f>(Tabla1[[#This Row],[Lista 2 (30%)]]-Tabla1[[#This Row],[PrecioFábrica]])/Tabla1[[#This Row],[Lista 2 (30%)]]</f>
        <v>0.62804293101248321</v>
      </c>
      <c r="O515" s="12">
        <f>(Tabla1[[#This Row],[Lista 3 (40%)]]-Tabla1[[#This Row],[PrecioFábrica]])/Tabla1[[#This Row],[Lista 3 (40%)]]</f>
        <v>0.56605008618123054</v>
      </c>
    </row>
    <row r="516" spans="1:15">
      <c r="A516" t="s">
        <v>6</v>
      </c>
      <c r="B516" t="s">
        <v>525</v>
      </c>
      <c r="C516" t="s">
        <v>1327</v>
      </c>
      <c r="D516" t="s">
        <v>811</v>
      </c>
      <c r="E516" t="s">
        <v>5</v>
      </c>
      <c r="F516" s="3">
        <v>14.708333333333332</v>
      </c>
      <c r="G516" s="10">
        <f>VLOOKUP(Tabla1[[#This Row],[Código Unificador]],PRECIOS_COMPETENCIA!B:D,3,FALSE)</f>
        <v>53.933791666666664</v>
      </c>
      <c r="H516" s="10">
        <f>Tabla1[[#This Row],[PVP Competencia]]*0.98</f>
        <v>52.855115833333329</v>
      </c>
      <c r="I516" s="10">
        <f>Tabla1[[#This Row],[Precio Lista CDR]]*0.8</f>
        <v>42.284092666666666</v>
      </c>
      <c r="J516" s="10">
        <f>Tabla1[[#This Row],[Precio Lista CDR]]*0.7</f>
        <v>36.998581083333328</v>
      </c>
      <c r="K516" s="10">
        <f>Tabla1[[#This Row],[Precio Lista CDR]]*0.6</f>
        <v>31.713069499999996</v>
      </c>
      <c r="L516" s="12">
        <f>(Tabla1[[#This Row],[Precio Lista CDR]]-Tabla1[[#This Row],[PrecioFábrica]])/Tabla1[[#This Row],[Precio Lista CDR]]</f>
        <v>0.72172356258355885</v>
      </c>
      <c r="M516" s="12">
        <f>(Tabla1[[#This Row],[Lista 1 (20%)]]-Tabla1[[#This Row],[PrecioFábrica]])/Tabla1[[#This Row],[Lista 1 (20%)]]</f>
        <v>0.65215445322944854</v>
      </c>
      <c r="N516" s="12">
        <f>(Tabla1[[#This Row],[Lista 2 (30%)]]-Tabla1[[#This Row],[PrecioFábrica]])/Tabla1[[#This Row],[Lista 2 (30%)]]</f>
        <v>0.60246223226222684</v>
      </c>
      <c r="O516" s="12">
        <f>(Tabla1[[#This Row],[Lista 3 (40%)]]-Tabla1[[#This Row],[PrecioFábrica]])/Tabla1[[#This Row],[Lista 3 (40%)]]</f>
        <v>0.53620593763926461</v>
      </c>
    </row>
    <row r="517" spans="1:15">
      <c r="A517" t="s">
        <v>9</v>
      </c>
      <c r="B517" t="s">
        <v>526</v>
      </c>
      <c r="C517" t="s">
        <v>1328</v>
      </c>
      <c r="D517" t="s">
        <v>811</v>
      </c>
      <c r="E517" t="s">
        <v>5</v>
      </c>
      <c r="F517" s="3">
        <v>18.441666666666666</v>
      </c>
      <c r="G517" s="10">
        <f>VLOOKUP(Tabla1[[#This Row],[Código Unificador]],PRECIOS_COMPETENCIA!B:D,3,FALSE)</f>
        <v>67.224491666666665</v>
      </c>
      <c r="H517" s="10">
        <f>Tabla1[[#This Row],[PVP Competencia]]*0.98</f>
        <v>65.880001833333324</v>
      </c>
      <c r="I517" s="10">
        <f>Tabla1[[#This Row],[Precio Lista CDR]]*0.8</f>
        <v>52.704001466666661</v>
      </c>
      <c r="J517" s="10">
        <f>Tabla1[[#This Row],[Precio Lista CDR]]*0.7</f>
        <v>46.116001283333325</v>
      </c>
      <c r="K517" s="10">
        <f>Tabla1[[#This Row],[Precio Lista CDR]]*0.6</f>
        <v>39.52800109999999</v>
      </c>
      <c r="L517" s="12">
        <f>(Tabla1[[#This Row],[Precio Lista CDR]]-Tabla1[[#This Row],[PrecioFábrica]])/Tabla1[[#This Row],[Precio Lista CDR]]</f>
        <v>0.72007185559403364</v>
      </c>
      <c r="M517" s="12">
        <f>(Tabla1[[#This Row],[Lista 1 (20%)]]-Tabla1[[#This Row],[PrecioFábrica]])/Tabla1[[#This Row],[Lista 1 (20%)]]</f>
        <v>0.65008981949254185</v>
      </c>
      <c r="N517" s="12">
        <f>(Tabla1[[#This Row],[Lista 2 (30%)]]-Tabla1[[#This Row],[PrecioFábrica]])/Tabla1[[#This Row],[Lista 2 (30%)]]</f>
        <v>0.60010265084861936</v>
      </c>
      <c r="O517" s="12">
        <f>(Tabla1[[#This Row],[Lista 3 (40%)]]-Tabla1[[#This Row],[PrecioFábrica]])/Tabla1[[#This Row],[Lista 3 (40%)]]</f>
        <v>0.53345309265672247</v>
      </c>
    </row>
    <row r="518" spans="1:15">
      <c r="A518" t="s">
        <v>6</v>
      </c>
      <c r="B518" t="s">
        <v>527</v>
      </c>
      <c r="C518" t="s">
        <v>1329</v>
      </c>
      <c r="D518" t="s">
        <v>811</v>
      </c>
      <c r="E518" t="s">
        <v>5</v>
      </c>
      <c r="F518" s="3">
        <v>12.15</v>
      </c>
      <c r="G518" s="10">
        <f>VLOOKUP(Tabla1[[#This Row],[Código Unificador]],PRECIOS_COMPETENCIA!B:D,3,FALSE)</f>
        <v>46.996749999999999</v>
      </c>
      <c r="H518" s="10">
        <f>Tabla1[[#This Row],[PVP Competencia]]*0.98</f>
        <v>46.056815</v>
      </c>
      <c r="I518" s="10">
        <f>Tabla1[[#This Row],[Precio Lista CDR]]*0.8</f>
        <v>36.845452000000002</v>
      </c>
      <c r="J518" s="10">
        <f>Tabla1[[#This Row],[Precio Lista CDR]]*0.7</f>
        <v>32.239770499999999</v>
      </c>
      <c r="K518" s="10">
        <f>Tabla1[[#This Row],[Precio Lista CDR]]*0.6</f>
        <v>27.634088999999999</v>
      </c>
      <c r="L518" s="12">
        <f>(Tabla1[[#This Row],[Precio Lista CDR]]-Tabla1[[#This Row],[PrecioFábrica]])/Tabla1[[#This Row],[Precio Lista CDR]]</f>
        <v>0.73619539258196642</v>
      </c>
      <c r="M518" s="12">
        <f>(Tabla1[[#This Row],[Lista 1 (20%)]]-Tabla1[[#This Row],[PrecioFábrica]])/Tabla1[[#This Row],[Lista 1 (20%)]]</f>
        <v>0.67024424072745814</v>
      </c>
      <c r="N518" s="12">
        <f>(Tabla1[[#This Row],[Lista 2 (30%)]]-Tabla1[[#This Row],[PrecioFábrica]])/Tabla1[[#This Row],[Lista 2 (30%)]]</f>
        <v>0.62313627511709491</v>
      </c>
      <c r="O518" s="12">
        <f>(Tabla1[[#This Row],[Lista 3 (40%)]]-Tabla1[[#This Row],[PrecioFábrica]])/Tabla1[[#This Row],[Lista 3 (40%)]]</f>
        <v>0.56032565430327741</v>
      </c>
    </row>
    <row r="519" spans="1:15">
      <c r="A519" t="s">
        <v>6</v>
      </c>
      <c r="B519" t="s">
        <v>528</v>
      </c>
      <c r="C519" t="s">
        <v>1330</v>
      </c>
      <c r="D519" t="s">
        <v>811</v>
      </c>
      <c r="E519" t="s">
        <v>5</v>
      </c>
      <c r="F519" s="3">
        <v>27.94166666666667</v>
      </c>
      <c r="G519" s="10">
        <f>VLOOKUP(Tabla1[[#This Row],[Código Unificador]],PRECIOS_COMPETENCIA!B:D,3,FALSE)</f>
        <v>95.082374999999999</v>
      </c>
      <c r="H519" s="10">
        <f>Tabla1[[#This Row],[PVP Competencia]]*0.98</f>
        <v>93.180727500000003</v>
      </c>
      <c r="I519" s="10">
        <f>Tabla1[[#This Row],[Precio Lista CDR]]*0.8</f>
        <v>74.544582000000005</v>
      </c>
      <c r="J519" s="10">
        <f>Tabla1[[#This Row],[Precio Lista CDR]]*0.7</f>
        <v>65.226509249999992</v>
      </c>
      <c r="K519" s="10">
        <f>Tabla1[[#This Row],[Precio Lista CDR]]*0.6</f>
        <v>55.908436500000001</v>
      </c>
      <c r="L519" s="12">
        <f>(Tabla1[[#This Row],[Precio Lista CDR]]-Tabla1[[#This Row],[PrecioFábrica]])/Tabla1[[#This Row],[Precio Lista CDR]]</f>
        <v>0.70013470149536361</v>
      </c>
      <c r="M519" s="12">
        <f>(Tabla1[[#This Row],[Lista 1 (20%)]]-Tabla1[[#This Row],[PrecioFábrica]])/Tabla1[[#This Row],[Lista 1 (20%)]]</f>
        <v>0.62516837686920468</v>
      </c>
      <c r="N519" s="12">
        <f>(Tabla1[[#This Row],[Lista 2 (30%)]]-Tabla1[[#This Row],[PrecioFábrica]])/Tabla1[[#This Row],[Lista 2 (30%)]]</f>
        <v>0.57162100213623379</v>
      </c>
      <c r="O519" s="12">
        <f>(Tabla1[[#This Row],[Lista 3 (40%)]]-Tabla1[[#This Row],[PrecioFábrica]])/Tabla1[[#This Row],[Lista 3 (40%)]]</f>
        <v>0.5002245024922729</v>
      </c>
    </row>
    <row r="520" spans="1:15">
      <c r="A520" t="s">
        <v>6</v>
      </c>
      <c r="B520" t="s">
        <v>529</v>
      </c>
      <c r="C520" t="s">
        <v>1331</v>
      </c>
      <c r="D520" t="s">
        <v>811</v>
      </c>
      <c r="E520" t="s">
        <v>5</v>
      </c>
      <c r="F520" s="3">
        <v>45.774999999999999</v>
      </c>
      <c r="G520" s="10">
        <f>VLOOKUP(Tabla1[[#This Row],[Código Unificador]],PRECIOS_COMPETENCIA!B:D,3,FALSE)</f>
        <v>158.0574</v>
      </c>
      <c r="H520" s="10">
        <f>Tabla1[[#This Row],[PVP Competencia]]*0.98</f>
        <v>154.896252</v>
      </c>
      <c r="I520" s="10">
        <f>Tabla1[[#This Row],[Precio Lista CDR]]*0.8</f>
        <v>123.91700160000001</v>
      </c>
      <c r="J520" s="10">
        <f>Tabla1[[#This Row],[Precio Lista CDR]]*0.7</f>
        <v>108.4273764</v>
      </c>
      <c r="K520" s="10">
        <f>Tabla1[[#This Row],[Precio Lista CDR]]*0.6</f>
        <v>92.937751199999994</v>
      </c>
      <c r="L520" s="12">
        <f>(Tabla1[[#This Row],[Precio Lista CDR]]-Tabla1[[#This Row],[PrecioFábrica]])/Tabla1[[#This Row],[Precio Lista CDR]]</f>
        <v>0.70447961516848057</v>
      </c>
      <c r="M520" s="12">
        <f>(Tabla1[[#This Row],[Lista 1 (20%)]]-Tabla1[[#This Row],[PrecioFábrica]])/Tabla1[[#This Row],[Lista 1 (20%)]]</f>
        <v>0.63059951896060085</v>
      </c>
      <c r="N520" s="12">
        <f>(Tabla1[[#This Row],[Lista 2 (30%)]]-Tabla1[[#This Row],[PrecioFábrica]])/Tabla1[[#This Row],[Lista 2 (30%)]]</f>
        <v>0.57782802166925806</v>
      </c>
      <c r="O520" s="12">
        <f>(Tabla1[[#This Row],[Lista 3 (40%)]]-Tabla1[[#This Row],[PrecioFábrica]])/Tabla1[[#This Row],[Lista 3 (40%)]]</f>
        <v>0.50746602528080109</v>
      </c>
    </row>
    <row r="521" spans="1:15">
      <c r="A521" t="s">
        <v>7</v>
      </c>
      <c r="B521" t="s">
        <v>530</v>
      </c>
      <c r="C521" t="s">
        <v>1332</v>
      </c>
      <c r="D521" t="s">
        <v>811</v>
      </c>
      <c r="E521" t="s">
        <v>5</v>
      </c>
      <c r="F521" s="3">
        <v>2.7166666666666668</v>
      </c>
      <c r="G521" s="10">
        <f>VLOOKUP(Tabla1[[#This Row],[Código Unificador]],PRECIOS_COMPETENCIA!B:D,3,FALSE)</f>
        <v>18.035899999999998</v>
      </c>
      <c r="H521" s="10">
        <f>Tabla1[[#This Row],[PVP Competencia]]*0.98</f>
        <v>17.675182</v>
      </c>
      <c r="I521" s="10">
        <f>Tabla1[[#This Row],[Precio Lista CDR]]*0.8</f>
        <v>14.1401456</v>
      </c>
      <c r="J521" s="10">
        <f>Tabla1[[#This Row],[Precio Lista CDR]]*0.7</f>
        <v>12.372627399999999</v>
      </c>
      <c r="K521" s="10">
        <f>Tabla1[[#This Row],[Precio Lista CDR]]*0.6</f>
        <v>10.605109199999999</v>
      </c>
      <c r="L521" s="12">
        <f>(Tabla1[[#This Row],[Precio Lista CDR]]-Tabla1[[#This Row],[PrecioFábrica]])/Tabla1[[#This Row],[Precio Lista CDR]]</f>
        <v>0.84630049825418108</v>
      </c>
      <c r="M521" s="12">
        <f>(Tabla1[[#This Row],[Lista 1 (20%)]]-Tabla1[[#This Row],[PrecioFábrica]])/Tabla1[[#This Row],[Lista 1 (20%)]]</f>
        <v>0.8078756228177264</v>
      </c>
      <c r="N521" s="12">
        <f>(Tabla1[[#This Row],[Lista 2 (30%)]]-Tabla1[[#This Row],[PrecioFábrica]])/Tabla1[[#This Row],[Lista 2 (30%)]]</f>
        <v>0.78042928322025873</v>
      </c>
      <c r="O521" s="12">
        <f>(Tabla1[[#This Row],[Lista 3 (40%)]]-Tabla1[[#This Row],[PrecioFábrica]])/Tabla1[[#This Row],[Lista 3 (40%)]]</f>
        <v>0.74383416375696854</v>
      </c>
    </row>
    <row r="522" spans="1:15">
      <c r="A522" t="s">
        <v>6</v>
      </c>
      <c r="B522" t="s">
        <v>531</v>
      </c>
      <c r="C522" t="s">
        <v>1333</v>
      </c>
      <c r="D522" t="s">
        <v>811</v>
      </c>
      <c r="E522" t="s">
        <v>5</v>
      </c>
      <c r="F522" s="3">
        <v>4.7416666666666663</v>
      </c>
      <c r="G522" s="10">
        <f>VLOOKUP(Tabla1[[#This Row],[Código Unificador]],PRECIOS_COMPETENCIA!B:D,3,FALSE)</f>
        <v>24.163358333333335</v>
      </c>
      <c r="H522" s="10">
        <f>Tabla1[[#This Row],[PVP Competencia]]*0.98</f>
        <v>23.680091166666667</v>
      </c>
      <c r="I522" s="10">
        <f>Tabla1[[#This Row],[Precio Lista CDR]]*0.8</f>
        <v>18.944072933333334</v>
      </c>
      <c r="J522" s="10">
        <f>Tabla1[[#This Row],[Precio Lista CDR]]*0.7</f>
        <v>16.576063816666665</v>
      </c>
      <c r="K522" s="10">
        <f>Tabla1[[#This Row],[Precio Lista CDR]]*0.6</f>
        <v>14.2080547</v>
      </c>
      <c r="L522" s="12">
        <f>(Tabla1[[#This Row],[Precio Lista CDR]]-Tabla1[[#This Row],[PrecioFábrica]])/Tabla1[[#This Row],[Precio Lista CDR]]</f>
        <v>0.79976146910526746</v>
      </c>
      <c r="M522" s="12">
        <f>(Tabla1[[#This Row],[Lista 1 (20%)]]-Tabla1[[#This Row],[PrecioFábrica]])/Tabla1[[#This Row],[Lista 1 (20%)]]</f>
        <v>0.74970183638158427</v>
      </c>
      <c r="N522" s="12">
        <f>(Tabla1[[#This Row],[Lista 2 (30%)]]-Tabla1[[#This Row],[PrecioFábrica]])/Tabla1[[#This Row],[Lista 2 (30%)]]</f>
        <v>0.71394495586466777</v>
      </c>
      <c r="O522" s="12">
        <f>(Tabla1[[#This Row],[Lista 3 (40%)]]-Tabla1[[#This Row],[PrecioFábrica]])/Tabla1[[#This Row],[Lista 3 (40%)]]</f>
        <v>0.66626911517544585</v>
      </c>
    </row>
    <row r="523" spans="1:15">
      <c r="A523" t="s">
        <v>6</v>
      </c>
      <c r="B523" t="s">
        <v>532</v>
      </c>
      <c r="C523" t="s">
        <v>1334</v>
      </c>
      <c r="D523" t="s">
        <v>811</v>
      </c>
      <c r="E523" t="s">
        <v>5</v>
      </c>
      <c r="F523" s="3">
        <v>5.3583333333333334</v>
      </c>
      <c r="G523" s="10">
        <f>VLOOKUP(Tabla1[[#This Row],[Código Unificador]],PRECIOS_COMPETENCIA!B:D,3,FALSE)</f>
        <v>25.84995</v>
      </c>
      <c r="H523" s="10">
        <f>Tabla1[[#This Row],[PVP Competencia]]*0.98</f>
        <v>25.332950999999998</v>
      </c>
      <c r="I523" s="10">
        <f>Tabla1[[#This Row],[Precio Lista CDR]]*0.8</f>
        <v>20.266360800000001</v>
      </c>
      <c r="J523" s="10">
        <f>Tabla1[[#This Row],[Precio Lista CDR]]*0.7</f>
        <v>17.733065699999997</v>
      </c>
      <c r="K523" s="10">
        <f>Tabla1[[#This Row],[Precio Lista CDR]]*0.6</f>
        <v>15.199770599999997</v>
      </c>
      <c r="L523" s="12">
        <f>(Tabla1[[#This Row],[Precio Lista CDR]]-Tabla1[[#This Row],[PrecioFábrica]])/Tabla1[[#This Row],[Precio Lista CDR]]</f>
        <v>0.78848364987824215</v>
      </c>
      <c r="M523" s="12">
        <f>(Tabla1[[#This Row],[Lista 1 (20%)]]-Tabla1[[#This Row],[PrecioFábrica]])/Tabla1[[#This Row],[Lista 1 (20%)]]</f>
        <v>0.7356045623478028</v>
      </c>
      <c r="N523" s="12">
        <f>(Tabla1[[#This Row],[Lista 2 (30%)]]-Tabla1[[#This Row],[PrecioFábrica]])/Tabla1[[#This Row],[Lista 2 (30%)]]</f>
        <v>0.69783378554034592</v>
      </c>
      <c r="O523" s="12">
        <f>(Tabla1[[#This Row],[Lista 3 (40%)]]-Tabla1[[#This Row],[PrecioFábrica]])/Tabla1[[#This Row],[Lista 3 (40%)]]</f>
        <v>0.64747274979707026</v>
      </c>
    </row>
    <row r="524" spans="1:15">
      <c r="A524" t="s">
        <v>7</v>
      </c>
      <c r="B524" t="s">
        <v>533</v>
      </c>
      <c r="C524" t="s">
        <v>1335</v>
      </c>
      <c r="D524" t="s">
        <v>811</v>
      </c>
      <c r="E524" t="s">
        <v>5</v>
      </c>
      <c r="F524" s="3">
        <v>5.6</v>
      </c>
      <c r="G524" s="10">
        <f>VLOOKUP(Tabla1[[#This Row],[Código Unificador]],PRECIOS_COMPETENCIA!B:D,3,FALSE)</f>
        <v>26.727200000000003</v>
      </c>
      <c r="H524" s="10">
        <f>Tabla1[[#This Row],[PVP Competencia]]*0.98</f>
        <v>26.192656000000003</v>
      </c>
      <c r="I524" s="10">
        <f>Tabla1[[#This Row],[Precio Lista CDR]]*0.8</f>
        <v>20.954124800000002</v>
      </c>
      <c r="J524" s="10">
        <f>Tabla1[[#This Row],[Precio Lista CDR]]*0.7</f>
        <v>18.3348592</v>
      </c>
      <c r="K524" s="10">
        <f>Tabla1[[#This Row],[Precio Lista CDR]]*0.6</f>
        <v>15.715593600000002</v>
      </c>
      <c r="L524" s="12">
        <f>(Tabla1[[#This Row],[Precio Lista CDR]]-Tabla1[[#This Row],[PrecioFábrica]])/Tabla1[[#This Row],[Precio Lista CDR]]</f>
        <v>0.78619961259369808</v>
      </c>
      <c r="M524" s="12">
        <f>(Tabla1[[#This Row],[Lista 1 (20%)]]-Tabla1[[#This Row],[PrecioFábrica]])/Tabla1[[#This Row],[Lista 1 (20%)]]</f>
        <v>0.73274951574212255</v>
      </c>
      <c r="N524" s="12">
        <f>(Tabla1[[#This Row],[Lista 2 (30%)]]-Tabla1[[#This Row],[PrecioFábrica]])/Tabla1[[#This Row],[Lista 2 (30%)]]</f>
        <v>0.69457087513385429</v>
      </c>
      <c r="O524" s="12">
        <f>(Tabla1[[#This Row],[Lista 3 (40%)]]-Tabla1[[#This Row],[PrecioFábrica]])/Tabla1[[#This Row],[Lista 3 (40%)]]</f>
        <v>0.64366602098949677</v>
      </c>
    </row>
    <row r="525" spans="1:15">
      <c r="A525" t="s">
        <v>6</v>
      </c>
      <c r="B525" t="s">
        <v>534</v>
      </c>
      <c r="C525" t="s">
        <v>1336</v>
      </c>
      <c r="D525" t="s">
        <v>811</v>
      </c>
      <c r="E525" t="s">
        <v>5</v>
      </c>
      <c r="F525" s="3">
        <v>6.3416666666666668</v>
      </c>
      <c r="G525" s="10">
        <f>VLOOKUP(Tabla1[[#This Row],[Código Unificador]],PRECIOS_COMPETENCIA!B:D,3,FALSE)</f>
        <v>28.758649999999999</v>
      </c>
      <c r="H525" s="10">
        <f>Tabla1[[#This Row],[PVP Competencia]]*0.98</f>
        <v>28.183477</v>
      </c>
      <c r="I525" s="10">
        <f>Tabla1[[#This Row],[Precio Lista CDR]]*0.8</f>
        <v>22.546781600000003</v>
      </c>
      <c r="J525" s="10">
        <f>Tabla1[[#This Row],[Precio Lista CDR]]*0.7</f>
        <v>19.728433899999999</v>
      </c>
      <c r="K525" s="10">
        <f>Tabla1[[#This Row],[Precio Lista CDR]]*0.6</f>
        <v>16.910086199999999</v>
      </c>
      <c r="L525" s="12">
        <f>(Tabla1[[#This Row],[Precio Lista CDR]]-Tabla1[[#This Row],[PrecioFábrica]])/Tabla1[[#This Row],[Precio Lista CDR]]</f>
        <v>0.77498636287259148</v>
      </c>
      <c r="M525" s="12">
        <f>(Tabla1[[#This Row],[Lista 1 (20%)]]-Tabla1[[#This Row],[PrecioFábrica]])/Tabla1[[#This Row],[Lista 1 (20%)]]</f>
        <v>0.71873295359073919</v>
      </c>
      <c r="N525" s="12">
        <f>(Tabla1[[#This Row],[Lista 2 (30%)]]-Tabla1[[#This Row],[PrecioFábrica]])/Tabla1[[#This Row],[Lista 2 (30%)]]</f>
        <v>0.67855194696084487</v>
      </c>
      <c r="O525" s="12">
        <f>(Tabla1[[#This Row],[Lista 3 (40%)]]-Tabla1[[#This Row],[PrecioFábrica]])/Tabla1[[#This Row],[Lista 3 (40%)]]</f>
        <v>0.62497727145431892</v>
      </c>
    </row>
    <row r="526" spans="1:15">
      <c r="A526" t="s">
        <v>7</v>
      </c>
      <c r="B526" t="s">
        <v>535</v>
      </c>
      <c r="C526" t="s">
        <v>1337</v>
      </c>
      <c r="D526" t="s">
        <v>811</v>
      </c>
      <c r="E526" t="s">
        <v>5</v>
      </c>
      <c r="F526" s="3">
        <v>7.2666666666666657</v>
      </c>
      <c r="G526" s="10">
        <f>VLOOKUP(Tabla1[[#This Row],[Código Unificador]],PRECIOS_COMPETENCIA!B:D,3,FALSE)</f>
        <v>32.54846666666667</v>
      </c>
      <c r="H526" s="10">
        <f>Tabla1[[#This Row],[PVP Competencia]]*0.98</f>
        <v>31.897497333333337</v>
      </c>
      <c r="I526" s="10">
        <f>Tabla1[[#This Row],[Precio Lista CDR]]*0.8</f>
        <v>25.517997866666672</v>
      </c>
      <c r="J526" s="10">
        <f>Tabla1[[#This Row],[Precio Lista CDR]]*0.7</f>
        <v>22.328248133333336</v>
      </c>
      <c r="K526" s="10">
        <f>Tabla1[[#This Row],[Precio Lista CDR]]*0.6</f>
        <v>19.138498400000003</v>
      </c>
      <c r="L526" s="12">
        <f>(Tabla1[[#This Row],[Precio Lista CDR]]-Tabla1[[#This Row],[PrecioFábrica]])/Tabla1[[#This Row],[Precio Lista CDR]]</f>
        <v>0.77218693395506943</v>
      </c>
      <c r="M526" s="12">
        <f>(Tabla1[[#This Row],[Lista 1 (20%)]]-Tabla1[[#This Row],[PrecioFábrica]])/Tabla1[[#This Row],[Lista 1 (20%)]]</f>
        <v>0.71523366744383676</v>
      </c>
      <c r="N526" s="12">
        <f>(Tabla1[[#This Row],[Lista 2 (30%)]]-Tabla1[[#This Row],[PrecioFábrica]])/Tabla1[[#This Row],[Lista 2 (30%)]]</f>
        <v>0.67455276279295628</v>
      </c>
      <c r="O526" s="12">
        <f>(Tabla1[[#This Row],[Lista 3 (40%)]]-Tabla1[[#This Row],[PrecioFábrica]])/Tabla1[[#This Row],[Lista 3 (40%)]]</f>
        <v>0.62031155659178228</v>
      </c>
    </row>
    <row r="527" spans="1:15">
      <c r="A527" t="s">
        <v>9</v>
      </c>
      <c r="B527" t="s">
        <v>536</v>
      </c>
      <c r="C527" t="s">
        <v>1338</v>
      </c>
      <c r="D527" t="s">
        <v>811</v>
      </c>
      <c r="E527" t="s">
        <v>5</v>
      </c>
      <c r="F527" s="3">
        <v>8.7416666666666671</v>
      </c>
      <c r="G527" s="10">
        <f>VLOOKUP(Tabla1[[#This Row],[Código Unificador]],PRECIOS_COMPETENCIA!B:D,3,FALSE)</f>
        <v>37.378900000000002</v>
      </c>
      <c r="H527" s="10">
        <f>Tabla1[[#This Row],[PVP Competencia]]*0.98</f>
        <v>36.631322000000004</v>
      </c>
      <c r="I527" s="10">
        <f>Tabla1[[#This Row],[Precio Lista CDR]]*0.8</f>
        <v>29.305057600000005</v>
      </c>
      <c r="J527" s="10">
        <f>Tabla1[[#This Row],[Precio Lista CDR]]*0.7</f>
        <v>25.641925400000002</v>
      </c>
      <c r="K527" s="10">
        <f>Tabla1[[#This Row],[Precio Lista CDR]]*0.6</f>
        <v>21.978793200000002</v>
      </c>
      <c r="L527" s="12">
        <f>(Tabla1[[#This Row],[Precio Lista CDR]]-Tabla1[[#This Row],[PrecioFábrica]])/Tabla1[[#This Row],[Precio Lista CDR]]</f>
        <v>0.76136087399011521</v>
      </c>
      <c r="M527" s="12">
        <f>(Tabla1[[#This Row],[Lista 1 (20%)]]-Tabla1[[#This Row],[PrecioFábrica]])/Tabla1[[#This Row],[Lista 1 (20%)]]</f>
        <v>0.70170109248764401</v>
      </c>
      <c r="N527" s="12">
        <f>(Tabla1[[#This Row],[Lista 2 (30%)]]-Tabla1[[#This Row],[PrecioFábrica]])/Tabla1[[#This Row],[Lista 2 (30%)]]</f>
        <v>0.65908696284302171</v>
      </c>
      <c r="O527" s="12">
        <f>(Tabla1[[#This Row],[Lista 3 (40%)]]-Tabla1[[#This Row],[PrecioFábrica]])/Tabla1[[#This Row],[Lista 3 (40%)]]</f>
        <v>0.60226812331685864</v>
      </c>
    </row>
    <row r="528" spans="1:15">
      <c r="A528" t="s">
        <v>9</v>
      </c>
      <c r="B528" t="s">
        <v>537</v>
      </c>
      <c r="C528" t="s">
        <v>1339</v>
      </c>
      <c r="D528" t="s">
        <v>811</v>
      </c>
      <c r="E528" t="s">
        <v>5</v>
      </c>
      <c r="F528" s="3">
        <v>9.7083333333333339</v>
      </c>
      <c r="G528" s="10">
        <f>VLOOKUP(Tabla1[[#This Row],[Código Unificador]],PRECIOS_COMPETENCIA!B:D,3,FALSE)</f>
        <v>39.84341666666667</v>
      </c>
      <c r="H528" s="10">
        <f>Tabla1[[#This Row],[PVP Competencia]]*0.98</f>
        <v>39.046548333333334</v>
      </c>
      <c r="I528" s="10">
        <f>Tabla1[[#This Row],[Precio Lista CDR]]*0.8</f>
        <v>31.23723866666667</v>
      </c>
      <c r="J528" s="10">
        <f>Tabla1[[#This Row],[Precio Lista CDR]]*0.7</f>
        <v>27.332583833333331</v>
      </c>
      <c r="K528" s="10">
        <f>Tabla1[[#This Row],[Precio Lista CDR]]*0.6</f>
        <v>23.427928999999999</v>
      </c>
      <c r="L528" s="12">
        <f>(Tabla1[[#This Row],[Precio Lista CDR]]-Tabla1[[#This Row],[PrecioFábrica]])/Tabla1[[#This Row],[Precio Lista CDR]]</f>
        <v>0.75136513346954392</v>
      </c>
      <c r="M528" s="12">
        <f>(Tabla1[[#This Row],[Lista 1 (20%)]]-Tabla1[[#This Row],[PrecioFábrica]])/Tabla1[[#This Row],[Lista 1 (20%)]]</f>
        <v>0.68920641683692996</v>
      </c>
      <c r="N528" s="12">
        <f>(Tabla1[[#This Row],[Lista 2 (30%)]]-Tabla1[[#This Row],[PrecioFábrica]])/Tabla1[[#This Row],[Lista 2 (30%)]]</f>
        <v>0.64480733352791986</v>
      </c>
      <c r="O528" s="12">
        <f>(Tabla1[[#This Row],[Lista 3 (40%)]]-Tabla1[[#This Row],[PrecioFábrica]])/Tabla1[[#This Row],[Lista 3 (40%)]]</f>
        <v>0.5856085557825732</v>
      </c>
    </row>
    <row r="529" spans="1:15">
      <c r="A529" t="s">
        <v>7</v>
      </c>
      <c r="B529" t="s">
        <v>538</v>
      </c>
      <c r="C529" t="s">
        <v>1340</v>
      </c>
      <c r="D529" t="s">
        <v>811</v>
      </c>
      <c r="E529" t="s">
        <v>5</v>
      </c>
      <c r="F529" s="3">
        <v>4.916666666666667</v>
      </c>
      <c r="G529" s="10">
        <f>VLOOKUP(Tabla1[[#This Row],[Código Unificador]],PRECIOS_COMPETENCIA!B:D,3,FALSE)</f>
        <v>24.971249999999998</v>
      </c>
      <c r="H529" s="10">
        <f>Tabla1[[#This Row],[PVP Competencia]]*0.98</f>
        <v>24.471824999999999</v>
      </c>
      <c r="I529" s="10">
        <f>Tabla1[[#This Row],[Precio Lista CDR]]*0.8</f>
        <v>19.577460000000002</v>
      </c>
      <c r="J529" s="10">
        <f>Tabla1[[#This Row],[Precio Lista CDR]]*0.7</f>
        <v>17.130277499999998</v>
      </c>
      <c r="K529" s="10">
        <f>Tabla1[[#This Row],[Precio Lista CDR]]*0.6</f>
        <v>14.683094999999998</v>
      </c>
      <c r="L529" s="12">
        <f>(Tabla1[[#This Row],[Precio Lista CDR]]-Tabla1[[#This Row],[PrecioFábrica]])/Tabla1[[#This Row],[Precio Lista CDR]]</f>
        <v>0.79908867987301035</v>
      </c>
      <c r="M529" s="12">
        <f>(Tabla1[[#This Row],[Lista 1 (20%)]]-Tabla1[[#This Row],[PrecioFábrica]])/Tabla1[[#This Row],[Lista 1 (20%)]]</f>
        <v>0.748860849841263</v>
      </c>
      <c r="N529" s="12">
        <f>(Tabla1[[#This Row],[Lista 2 (30%)]]-Tabla1[[#This Row],[PrecioFábrica]])/Tabla1[[#This Row],[Lista 2 (30%)]]</f>
        <v>0.71298382839001484</v>
      </c>
      <c r="O529" s="12">
        <f>(Tabla1[[#This Row],[Lista 3 (40%)]]-Tabla1[[#This Row],[PrecioFábrica]])/Tabla1[[#This Row],[Lista 3 (40%)]]</f>
        <v>0.66514779978835059</v>
      </c>
    </row>
    <row r="530" spans="1:15">
      <c r="A530" t="s">
        <v>9</v>
      </c>
      <c r="B530" t="s">
        <v>539</v>
      </c>
      <c r="C530" t="s">
        <v>1341</v>
      </c>
      <c r="D530" t="s">
        <v>811</v>
      </c>
      <c r="E530" t="s">
        <v>5</v>
      </c>
      <c r="F530" s="3">
        <v>6.8416666666666677</v>
      </c>
      <c r="G530" s="10">
        <f>VLOOKUP(Tabla1[[#This Row],[Código Unificador]],PRECIOS_COMPETENCIA!B:D,3,FALSE)</f>
        <v>30.436058333333335</v>
      </c>
      <c r="H530" s="10">
        <f>Tabla1[[#This Row],[PVP Competencia]]*0.98</f>
        <v>29.827337166666666</v>
      </c>
      <c r="I530" s="10">
        <f>Tabla1[[#This Row],[Precio Lista CDR]]*0.8</f>
        <v>23.861869733333336</v>
      </c>
      <c r="J530" s="10">
        <f>Tabla1[[#This Row],[Precio Lista CDR]]*0.7</f>
        <v>20.879136016666664</v>
      </c>
      <c r="K530" s="10">
        <f>Tabla1[[#This Row],[Precio Lista CDR]]*0.6</f>
        <v>17.896402299999998</v>
      </c>
      <c r="L530" s="12">
        <f>(Tabla1[[#This Row],[Precio Lista CDR]]-Tabla1[[#This Row],[PrecioFábrica]])/Tabla1[[#This Row],[Precio Lista CDR]]</f>
        <v>0.77062428910641989</v>
      </c>
      <c r="M530" s="12">
        <f>(Tabla1[[#This Row],[Lista 1 (20%)]]-Tabla1[[#This Row],[PrecioFábrica]])/Tabla1[[#This Row],[Lista 1 (20%)]]</f>
        <v>0.71328036138302497</v>
      </c>
      <c r="N530" s="12">
        <f>(Tabla1[[#This Row],[Lista 2 (30%)]]-Tabla1[[#This Row],[PrecioFábrica]])/Tabla1[[#This Row],[Lista 2 (30%)]]</f>
        <v>0.67232041300917134</v>
      </c>
      <c r="O530" s="12">
        <f>(Tabla1[[#This Row],[Lista 3 (40%)]]-Tabla1[[#This Row],[PrecioFábrica]])/Tabla1[[#This Row],[Lista 3 (40%)]]</f>
        <v>0.61770714851069985</v>
      </c>
    </row>
    <row r="531" spans="1:15">
      <c r="A531" t="s">
        <v>7</v>
      </c>
      <c r="B531" t="s">
        <v>540</v>
      </c>
      <c r="C531" t="s">
        <v>1342</v>
      </c>
      <c r="D531" t="s">
        <v>811</v>
      </c>
      <c r="E531" t="s">
        <v>5</v>
      </c>
      <c r="F531" s="3">
        <v>14.508333333333335</v>
      </c>
      <c r="G531" s="10">
        <f>VLOOKUP(Tabla1[[#This Row],[Código Unificador]],PRECIOS_COMPETENCIA!B:D,3,FALSE)</f>
        <v>53.757133333333343</v>
      </c>
      <c r="H531" s="10">
        <f>Tabla1[[#This Row],[PVP Competencia]]*0.98</f>
        <v>52.681990666666678</v>
      </c>
      <c r="I531" s="10">
        <f>Tabla1[[#This Row],[Precio Lista CDR]]*0.8</f>
        <v>42.145592533333343</v>
      </c>
      <c r="J531" s="10">
        <f>Tabla1[[#This Row],[Precio Lista CDR]]*0.7</f>
        <v>36.877393466666675</v>
      </c>
      <c r="K531" s="10">
        <f>Tabla1[[#This Row],[Precio Lista CDR]]*0.6</f>
        <v>31.609194400000007</v>
      </c>
      <c r="L531" s="12">
        <f>(Tabla1[[#This Row],[Precio Lista CDR]]-Tabla1[[#This Row],[PrecioFábrica]])/Tabla1[[#This Row],[Precio Lista CDR]]</f>
        <v>0.72460544581294362</v>
      </c>
      <c r="M531" s="12">
        <f>(Tabla1[[#This Row],[Lista 1 (20%)]]-Tabla1[[#This Row],[PrecioFábrica]])/Tabla1[[#This Row],[Lista 1 (20%)]]</f>
        <v>0.65575680726617958</v>
      </c>
      <c r="N531" s="12">
        <f>(Tabla1[[#This Row],[Lista 2 (30%)]]-Tabla1[[#This Row],[PrecioFábrica]])/Tabla1[[#This Row],[Lista 2 (30%)]]</f>
        <v>0.6065792083042052</v>
      </c>
      <c r="O531" s="12">
        <f>(Tabla1[[#This Row],[Lista 3 (40%)]]-Tabla1[[#This Row],[PrecioFábrica]])/Tabla1[[#This Row],[Lista 3 (40%)]]</f>
        <v>0.54100907635490614</v>
      </c>
    </row>
    <row r="532" spans="1:15">
      <c r="A532" t="s">
        <v>7</v>
      </c>
      <c r="B532" t="s">
        <v>541</v>
      </c>
      <c r="C532" t="s">
        <v>1343</v>
      </c>
      <c r="D532" t="s">
        <v>811</v>
      </c>
      <c r="E532" t="s">
        <v>5</v>
      </c>
      <c r="F532" s="3">
        <v>14.3</v>
      </c>
      <c r="G532" s="10">
        <f>VLOOKUP(Tabla1[[#This Row],[Código Unificador]],PRECIOS_COMPETENCIA!B:D,3,FALSE)</f>
        <v>53.958199999999998</v>
      </c>
      <c r="H532" s="10">
        <f>Tabla1[[#This Row],[PVP Competencia]]*0.98</f>
        <v>52.879035999999999</v>
      </c>
      <c r="I532" s="10">
        <f>Tabla1[[#This Row],[Precio Lista CDR]]*0.8</f>
        <v>42.303228799999999</v>
      </c>
      <c r="J532" s="10">
        <f>Tabla1[[#This Row],[Precio Lista CDR]]*0.7</f>
        <v>37.015325199999999</v>
      </c>
      <c r="K532" s="10">
        <f>Tabla1[[#This Row],[Precio Lista CDR]]*0.6</f>
        <v>31.7274216</v>
      </c>
      <c r="L532" s="12">
        <f>(Tabla1[[#This Row],[Precio Lista CDR]]-Tabla1[[#This Row],[PrecioFábrica]])/Tabla1[[#This Row],[Precio Lista CDR]]</f>
        <v>0.72957146949501883</v>
      </c>
      <c r="M532" s="12">
        <f>(Tabla1[[#This Row],[Lista 1 (20%)]]-Tabla1[[#This Row],[PrecioFábrica]])/Tabla1[[#This Row],[Lista 1 (20%)]]</f>
        <v>0.66196433686877343</v>
      </c>
      <c r="N532" s="12">
        <f>(Tabla1[[#This Row],[Lista 2 (30%)]]-Tabla1[[#This Row],[PrecioFábrica]])/Tabla1[[#This Row],[Lista 2 (30%)]]</f>
        <v>0.61367352785002682</v>
      </c>
      <c r="O532" s="12">
        <f>(Tabla1[[#This Row],[Lista 3 (40%)]]-Tabla1[[#This Row],[PrecioFábrica]])/Tabla1[[#This Row],[Lista 3 (40%)]]</f>
        <v>0.5492857824916979</v>
      </c>
    </row>
    <row r="533" spans="1:15">
      <c r="A533" t="s">
        <v>7</v>
      </c>
      <c r="B533" t="s">
        <v>542</v>
      </c>
      <c r="C533" t="s">
        <v>1344</v>
      </c>
      <c r="D533" t="s">
        <v>811</v>
      </c>
      <c r="E533" t="s">
        <v>5</v>
      </c>
      <c r="F533" s="3">
        <v>30.983333333333334</v>
      </c>
      <c r="G533" s="10">
        <f>VLOOKUP(Tabla1[[#This Row],[Código Unificador]],PRECIOS_COMPETENCIA!B:D,3,FALSE)</f>
        <v>107.03980000000001</v>
      </c>
      <c r="H533" s="10">
        <f>Tabla1[[#This Row],[PVP Competencia]]*0.98</f>
        <v>104.89900400000001</v>
      </c>
      <c r="I533" s="10">
        <f>Tabla1[[#This Row],[Precio Lista CDR]]*0.8</f>
        <v>83.919203200000013</v>
      </c>
      <c r="J533" s="10">
        <f>Tabla1[[#This Row],[Precio Lista CDR]]*0.7</f>
        <v>73.429302800000002</v>
      </c>
      <c r="K533" s="10">
        <f>Tabla1[[#This Row],[Precio Lista CDR]]*0.6</f>
        <v>62.939402399999999</v>
      </c>
      <c r="L533" s="12">
        <f>(Tabla1[[#This Row],[Precio Lista CDR]]-Tabla1[[#This Row],[PrecioFábrica]])/Tabla1[[#This Row],[Precio Lista CDR]]</f>
        <v>0.70463653464876241</v>
      </c>
      <c r="M533" s="12">
        <f>(Tabla1[[#This Row],[Lista 1 (20%)]]-Tabla1[[#This Row],[PrecioFábrica]])/Tabla1[[#This Row],[Lista 1 (20%)]]</f>
        <v>0.63079566831095302</v>
      </c>
      <c r="N533" s="12">
        <f>(Tabla1[[#This Row],[Lista 2 (30%)]]-Tabla1[[#This Row],[PrecioFábrica]])/Tabla1[[#This Row],[Lista 2 (30%)]]</f>
        <v>0.57805219235537486</v>
      </c>
      <c r="O533" s="12">
        <f>(Tabla1[[#This Row],[Lista 3 (40%)]]-Tabla1[[#This Row],[PrecioFábrica]])/Tabla1[[#This Row],[Lista 3 (40%)]]</f>
        <v>0.50772755774793732</v>
      </c>
    </row>
    <row r="534" spans="1:15">
      <c r="A534" t="s">
        <v>6</v>
      </c>
      <c r="B534" t="s">
        <v>543</v>
      </c>
      <c r="C534" t="s">
        <v>1345</v>
      </c>
      <c r="D534" t="s">
        <v>811</v>
      </c>
      <c r="E534" t="s">
        <v>5</v>
      </c>
      <c r="F534" s="3">
        <v>9.1583333333333332</v>
      </c>
      <c r="G534" s="10">
        <f>VLOOKUP(Tabla1[[#This Row],[Código Unificador]],PRECIOS_COMPETENCIA!B:D,3,FALSE)</f>
        <v>38.683900000000001</v>
      </c>
      <c r="H534" s="10">
        <f>Tabla1[[#This Row],[PVP Competencia]]*0.98</f>
        <v>37.910221999999997</v>
      </c>
      <c r="I534" s="10">
        <f>Tabla1[[#This Row],[Precio Lista CDR]]*0.8</f>
        <v>30.3281776</v>
      </c>
      <c r="J534" s="10">
        <f>Tabla1[[#This Row],[Precio Lista CDR]]*0.7</f>
        <v>26.537155399999996</v>
      </c>
      <c r="K534" s="10">
        <f>Tabla1[[#This Row],[Precio Lista CDR]]*0.6</f>
        <v>22.746133199999999</v>
      </c>
      <c r="L534" s="12">
        <f>(Tabla1[[#This Row],[Precio Lista CDR]]-Tabla1[[#This Row],[PrecioFábrica]])/Tabla1[[#This Row],[Precio Lista CDR]]</f>
        <v>0.75842047737590845</v>
      </c>
      <c r="M534" s="12">
        <f>(Tabla1[[#This Row],[Lista 1 (20%)]]-Tabla1[[#This Row],[PrecioFábrica]])/Tabla1[[#This Row],[Lista 1 (20%)]]</f>
        <v>0.69802559671988551</v>
      </c>
      <c r="N534" s="12">
        <f>(Tabla1[[#This Row],[Lista 2 (30%)]]-Tabla1[[#This Row],[PrecioFábrica]])/Tabla1[[#This Row],[Lista 2 (30%)]]</f>
        <v>0.65488639625129785</v>
      </c>
      <c r="O534" s="12">
        <f>(Tabla1[[#This Row],[Lista 3 (40%)]]-Tabla1[[#This Row],[PrecioFábrica]])/Tabla1[[#This Row],[Lista 3 (40%)]]</f>
        <v>0.59736746229318072</v>
      </c>
    </row>
    <row r="535" spans="1:15">
      <c r="A535" t="s">
        <v>9</v>
      </c>
      <c r="B535" t="s">
        <v>544</v>
      </c>
      <c r="C535" t="s">
        <v>1346</v>
      </c>
      <c r="D535" t="s">
        <v>811</v>
      </c>
      <c r="E535" t="s">
        <v>5</v>
      </c>
      <c r="F535" s="3">
        <v>13.483333333333334</v>
      </c>
      <c r="G535" s="10">
        <f>VLOOKUP(Tabla1[[#This Row],[Código Unificador]],PRECIOS_COMPETENCIA!B:D,3,FALSE)</f>
        <v>51.056750000000001</v>
      </c>
      <c r="H535" s="10">
        <f>Tabla1[[#This Row],[PVP Competencia]]*0.98</f>
        <v>50.035615</v>
      </c>
      <c r="I535" s="10">
        <f>Tabla1[[#This Row],[Precio Lista CDR]]*0.8</f>
        <v>40.028492</v>
      </c>
      <c r="J535" s="10">
        <f>Tabla1[[#This Row],[Precio Lista CDR]]*0.7</f>
        <v>35.024930499999996</v>
      </c>
      <c r="K535" s="10">
        <f>Tabla1[[#This Row],[Precio Lista CDR]]*0.6</f>
        <v>30.021369</v>
      </c>
      <c r="L535" s="12">
        <f>(Tabla1[[#This Row],[Precio Lista CDR]]-Tabla1[[#This Row],[PrecioFábrica]])/Tabla1[[#This Row],[Precio Lista CDR]]</f>
        <v>0.73052528017626372</v>
      </c>
      <c r="M535" s="12">
        <f>(Tabla1[[#This Row],[Lista 1 (20%)]]-Tabla1[[#This Row],[PrecioFábrica]])/Tabla1[[#This Row],[Lista 1 (20%)]]</f>
        <v>0.66315660022032974</v>
      </c>
      <c r="N535" s="12">
        <f>(Tabla1[[#This Row],[Lista 2 (30%)]]-Tabla1[[#This Row],[PrecioFábrica]])/Tabla1[[#This Row],[Lista 2 (30%)]]</f>
        <v>0.61503611453751961</v>
      </c>
      <c r="O535" s="12">
        <f>(Tabla1[[#This Row],[Lista 3 (40%)]]-Tabla1[[#This Row],[PrecioFábrica]])/Tabla1[[#This Row],[Lista 3 (40%)]]</f>
        <v>0.55087546696043965</v>
      </c>
    </row>
    <row r="536" spans="1:15">
      <c r="A536" t="s">
        <v>6</v>
      </c>
      <c r="B536" t="s">
        <v>545</v>
      </c>
      <c r="C536" t="s">
        <v>1347</v>
      </c>
      <c r="D536" t="s">
        <v>811</v>
      </c>
      <c r="E536" t="s">
        <v>5</v>
      </c>
      <c r="F536" s="3">
        <v>20.791666666666668</v>
      </c>
      <c r="G536" s="10">
        <f>VLOOKUP(Tabla1[[#This Row],[Código Unificador]],PRECIOS_COMPETENCIA!B:D,3,FALSE)</f>
        <v>73.913583333333349</v>
      </c>
      <c r="H536" s="10">
        <f>Tabla1[[#This Row],[PVP Competencia]]*0.98</f>
        <v>72.435311666666678</v>
      </c>
      <c r="I536" s="10">
        <f>Tabla1[[#This Row],[Precio Lista CDR]]*0.8</f>
        <v>57.948249333333344</v>
      </c>
      <c r="J536" s="10">
        <f>Tabla1[[#This Row],[Precio Lista CDR]]*0.7</f>
        <v>50.704718166666673</v>
      </c>
      <c r="K536" s="10">
        <f>Tabla1[[#This Row],[Precio Lista CDR]]*0.6</f>
        <v>43.461187000000002</v>
      </c>
      <c r="L536" s="12">
        <f>(Tabla1[[#This Row],[Precio Lista CDR]]-Tabla1[[#This Row],[PrecioFábrica]])/Tabla1[[#This Row],[Precio Lista CDR]]</f>
        <v>0.7129622805746193</v>
      </c>
      <c r="M536" s="12">
        <f>(Tabla1[[#This Row],[Lista 1 (20%)]]-Tabla1[[#This Row],[PrecioFábrica]])/Tabla1[[#This Row],[Lista 1 (20%)]]</f>
        <v>0.64120285071827432</v>
      </c>
      <c r="N536" s="12">
        <f>(Tabla1[[#This Row],[Lista 2 (30%)]]-Tabla1[[#This Row],[PrecioFábrica]])/Tabla1[[#This Row],[Lista 2 (30%)]]</f>
        <v>0.58994611510659911</v>
      </c>
      <c r="O536" s="12">
        <f>(Tabla1[[#This Row],[Lista 3 (40%)]]-Tabla1[[#This Row],[PrecioFábrica]])/Tabla1[[#This Row],[Lista 3 (40%)]]</f>
        <v>0.52160380095769898</v>
      </c>
    </row>
    <row r="537" spans="1:15">
      <c r="A537" t="s">
        <v>9</v>
      </c>
      <c r="B537" t="s">
        <v>546</v>
      </c>
      <c r="C537" t="s">
        <v>1348</v>
      </c>
      <c r="D537" t="s">
        <v>811</v>
      </c>
      <c r="E537" t="s">
        <v>5</v>
      </c>
      <c r="F537" s="3">
        <v>16.375</v>
      </c>
      <c r="G537" s="10">
        <f>VLOOKUP(Tabla1[[#This Row],[Código Unificador]],PRECIOS_COMPETENCIA!B:D,3,FALSE)</f>
        <v>60.811624999999999</v>
      </c>
      <c r="H537" s="10">
        <f>Tabla1[[#This Row],[PVP Competencia]]*0.98</f>
        <v>59.595392499999996</v>
      </c>
      <c r="I537" s="10">
        <f>Tabla1[[#This Row],[Precio Lista CDR]]*0.8</f>
        <v>47.676313999999998</v>
      </c>
      <c r="J537" s="10">
        <f>Tabla1[[#This Row],[Precio Lista CDR]]*0.7</f>
        <v>41.716774749999992</v>
      </c>
      <c r="K537" s="10">
        <f>Tabla1[[#This Row],[Precio Lista CDR]]*0.6</f>
        <v>35.757235499999993</v>
      </c>
      <c r="L537" s="12">
        <f>(Tabla1[[#This Row],[Precio Lista CDR]]-Tabla1[[#This Row],[PrecioFábrica]])/Tabla1[[#This Row],[Precio Lista CDR]]</f>
        <v>0.72523043622877392</v>
      </c>
      <c r="M537" s="12">
        <f>(Tabla1[[#This Row],[Lista 1 (20%)]]-Tabla1[[#This Row],[PrecioFábrica]])/Tabla1[[#This Row],[Lista 1 (20%)]]</f>
        <v>0.65653804528596738</v>
      </c>
      <c r="N537" s="12">
        <f>(Tabla1[[#This Row],[Lista 2 (30%)]]-Tabla1[[#This Row],[PrecioFábrica]])/Tabla1[[#This Row],[Lista 2 (30%)]]</f>
        <v>0.60747205175539121</v>
      </c>
      <c r="O537" s="12">
        <f>(Tabla1[[#This Row],[Lista 3 (40%)]]-Tabla1[[#This Row],[PrecioFábrica]])/Tabla1[[#This Row],[Lista 3 (40%)]]</f>
        <v>0.54205072704795643</v>
      </c>
    </row>
    <row r="538" spans="1:15">
      <c r="A538" t="s">
        <v>9</v>
      </c>
      <c r="B538" t="s">
        <v>547</v>
      </c>
      <c r="C538" t="s">
        <v>1349</v>
      </c>
      <c r="D538" t="s">
        <v>811</v>
      </c>
      <c r="E538" t="s">
        <v>5</v>
      </c>
      <c r="F538" s="3">
        <v>22.324999999999999</v>
      </c>
      <c r="G538" s="10">
        <f>VLOOKUP(Tabla1[[#This Row],[Código Unificador]],PRECIOS_COMPETENCIA!B:D,3,FALSE)</f>
        <v>77.979624999999999</v>
      </c>
      <c r="H538" s="10">
        <f>Tabla1[[#This Row],[PVP Competencia]]*0.98</f>
        <v>76.420032499999991</v>
      </c>
      <c r="I538" s="10">
        <f>Tabla1[[#This Row],[Precio Lista CDR]]*0.8</f>
        <v>61.136025999999994</v>
      </c>
      <c r="J538" s="10">
        <f>Tabla1[[#This Row],[Precio Lista CDR]]*0.7</f>
        <v>53.494022749999992</v>
      </c>
      <c r="K538" s="10">
        <f>Tabla1[[#This Row],[Precio Lista CDR]]*0.6</f>
        <v>45.85201949999999</v>
      </c>
      <c r="L538" s="12">
        <f>(Tabla1[[#This Row],[Precio Lista CDR]]-Tabla1[[#This Row],[PrecioFábrica]])/Tabla1[[#This Row],[Precio Lista CDR]]</f>
        <v>0.70786455763415168</v>
      </c>
      <c r="M538" s="12">
        <f>(Tabla1[[#This Row],[Lista 1 (20%)]]-Tabla1[[#This Row],[PrecioFábrica]])/Tabla1[[#This Row],[Lista 1 (20%)]]</f>
        <v>0.63483069704268968</v>
      </c>
      <c r="N538" s="12">
        <f>(Tabla1[[#This Row],[Lista 2 (30%)]]-Tabla1[[#This Row],[PrecioFábrica]])/Tabla1[[#This Row],[Lista 2 (30%)]]</f>
        <v>0.58266365376307383</v>
      </c>
      <c r="O538" s="12">
        <f>(Tabla1[[#This Row],[Lista 3 (40%)]]-Tabla1[[#This Row],[PrecioFábrica]])/Tabla1[[#This Row],[Lista 3 (40%)]]</f>
        <v>0.51310759605691947</v>
      </c>
    </row>
    <row r="539" spans="1:15">
      <c r="A539" t="s">
        <v>9</v>
      </c>
      <c r="B539" t="s">
        <v>548</v>
      </c>
      <c r="C539" t="s">
        <v>1350</v>
      </c>
      <c r="D539" t="s">
        <v>811</v>
      </c>
      <c r="E539" t="s">
        <v>5</v>
      </c>
      <c r="F539" s="3">
        <v>24.475000000000001</v>
      </c>
      <c r="G539" s="10">
        <f>VLOOKUP(Tabla1[[#This Row],[Código Unificador]],PRECIOS_COMPETENCIA!B:D,3,FALSE)</f>
        <v>83.816600000000008</v>
      </c>
      <c r="H539" s="10">
        <f>Tabla1[[#This Row],[PVP Competencia]]*0.98</f>
        <v>82.140268000000006</v>
      </c>
      <c r="I539" s="10">
        <f>Tabla1[[#This Row],[Precio Lista CDR]]*0.8</f>
        <v>65.712214400000008</v>
      </c>
      <c r="J539" s="10">
        <f>Tabla1[[#This Row],[Precio Lista CDR]]*0.7</f>
        <v>57.498187600000001</v>
      </c>
      <c r="K539" s="10">
        <f>Tabla1[[#This Row],[Precio Lista CDR]]*0.6</f>
        <v>49.284160800000002</v>
      </c>
      <c r="L539" s="12">
        <f>(Tabla1[[#This Row],[Precio Lista CDR]]-Tabla1[[#This Row],[PrecioFábrica]])/Tabla1[[#This Row],[Precio Lista CDR]]</f>
        <v>0.70203408637527209</v>
      </c>
      <c r="M539" s="12">
        <f>(Tabla1[[#This Row],[Lista 1 (20%)]]-Tabla1[[#This Row],[PrecioFábrica]])/Tabla1[[#This Row],[Lista 1 (20%)]]</f>
        <v>0.62754260796909012</v>
      </c>
      <c r="N539" s="12">
        <f>(Tabla1[[#This Row],[Lista 2 (30%)]]-Tabla1[[#This Row],[PrecioFábrica]])/Tabla1[[#This Row],[Lista 2 (30%)]]</f>
        <v>0.57433440910753153</v>
      </c>
      <c r="O539" s="12">
        <f>(Tabla1[[#This Row],[Lista 3 (40%)]]-Tabla1[[#This Row],[PrecioFábrica]])/Tabla1[[#This Row],[Lista 3 (40%)]]</f>
        <v>0.5033901439587869</v>
      </c>
    </row>
    <row r="540" spans="1:15">
      <c r="A540" t="s">
        <v>9</v>
      </c>
      <c r="B540" t="s">
        <v>549</v>
      </c>
      <c r="C540" t="s">
        <v>1351</v>
      </c>
      <c r="D540" t="s">
        <v>811</v>
      </c>
      <c r="E540" t="s">
        <v>5</v>
      </c>
      <c r="F540" s="3">
        <v>31.483333333333334</v>
      </c>
      <c r="G540" s="10">
        <f>VLOOKUP(Tabla1[[#This Row],[Código Unificador]],PRECIOS_COMPETENCIA!B:D,3,FALSE)</f>
        <v>115.86675</v>
      </c>
      <c r="H540" s="10">
        <f>Tabla1[[#This Row],[PVP Competencia]]*0.98</f>
        <v>113.549415</v>
      </c>
      <c r="I540" s="10">
        <f>Tabla1[[#This Row],[Precio Lista CDR]]*0.8</f>
        <v>90.839532000000005</v>
      </c>
      <c r="J540" s="10">
        <f>Tabla1[[#This Row],[Precio Lista CDR]]*0.7</f>
        <v>79.484590499999996</v>
      </c>
      <c r="K540" s="10">
        <f>Tabla1[[#This Row],[Precio Lista CDR]]*0.6</f>
        <v>68.129649000000001</v>
      </c>
      <c r="L540" s="12">
        <f>(Tabla1[[#This Row],[Precio Lista CDR]]-Tabla1[[#This Row],[PrecioFábrica]])/Tabla1[[#This Row],[Precio Lista CDR]]</f>
        <v>0.72273451753729123</v>
      </c>
      <c r="M540" s="12">
        <f>(Tabla1[[#This Row],[Lista 1 (20%)]]-Tabla1[[#This Row],[PrecioFábrica]])/Tabla1[[#This Row],[Lista 1 (20%)]]</f>
        <v>0.65341814692161415</v>
      </c>
      <c r="N540" s="12">
        <f>(Tabla1[[#This Row],[Lista 2 (30%)]]-Tabla1[[#This Row],[PrecioFábrica]])/Tabla1[[#This Row],[Lista 2 (30%)]]</f>
        <v>0.60390645362470186</v>
      </c>
      <c r="O540" s="12">
        <f>(Tabla1[[#This Row],[Lista 3 (40%)]]-Tabla1[[#This Row],[PrecioFábrica]])/Tabla1[[#This Row],[Lista 3 (40%)]]</f>
        <v>0.53789086256215213</v>
      </c>
    </row>
    <row r="541" spans="1:15">
      <c r="A541" t="s">
        <v>6</v>
      </c>
      <c r="B541" t="s">
        <v>550</v>
      </c>
      <c r="C541" t="s">
        <v>1352</v>
      </c>
      <c r="D541" t="s">
        <v>811</v>
      </c>
      <c r="E541" t="s">
        <v>5</v>
      </c>
      <c r="F541" s="3">
        <v>63.19166666666667</v>
      </c>
      <c r="G541" s="10">
        <f>VLOOKUP(Tabla1[[#This Row],[Código Unificador]],PRECIOS_COMPETENCIA!B:D,3,FALSE)</f>
        <v>220.58606666666699</v>
      </c>
      <c r="H541" s="10">
        <f>Tabla1[[#This Row],[PVP Competencia]]*0.98</f>
        <v>216.17434533333366</v>
      </c>
      <c r="I541" s="10">
        <f>Tabla1[[#This Row],[Precio Lista CDR]]*0.8</f>
        <v>172.93947626666693</v>
      </c>
      <c r="J541" s="10">
        <f>Tabla1[[#This Row],[Precio Lista CDR]]*0.7</f>
        <v>151.32204173333355</v>
      </c>
      <c r="K541" s="10">
        <f>Tabla1[[#This Row],[Precio Lista CDR]]*0.6</f>
        <v>129.7046072000002</v>
      </c>
      <c r="L541" s="12">
        <f>(Tabla1[[#This Row],[Precio Lista CDR]]-Tabla1[[#This Row],[PrecioFábrica]])/Tabla1[[#This Row],[Precio Lista CDR]]</f>
        <v>0.7076819334448442</v>
      </c>
      <c r="M541" s="12">
        <f>(Tabla1[[#This Row],[Lista 1 (20%)]]-Tabla1[[#This Row],[PrecioFábrica]])/Tabla1[[#This Row],[Lista 1 (20%)]]</f>
        <v>0.63460241680605523</v>
      </c>
      <c r="N541" s="12">
        <f>(Tabla1[[#This Row],[Lista 2 (30%)]]-Tabla1[[#This Row],[PrecioFábrica]])/Tabla1[[#This Row],[Lista 2 (30%)]]</f>
        <v>0.58240276206406305</v>
      </c>
      <c r="O541" s="12">
        <f>(Tabla1[[#This Row],[Lista 3 (40%)]]-Tabla1[[#This Row],[PrecioFábrica]])/Tabla1[[#This Row],[Lista 3 (40%)]]</f>
        <v>0.51280322240807363</v>
      </c>
    </row>
    <row r="542" spans="1:15">
      <c r="A542" t="s">
        <v>6</v>
      </c>
      <c r="B542" t="s">
        <v>551</v>
      </c>
      <c r="C542" t="s">
        <v>1353</v>
      </c>
      <c r="D542" t="s">
        <v>811</v>
      </c>
      <c r="E542" t="s">
        <v>5</v>
      </c>
      <c r="F542" s="3">
        <v>2.3666666666666667</v>
      </c>
      <c r="G542" s="10">
        <f>VLOOKUP(Tabla1[[#This Row],[Código Unificador]],PRECIOS_COMPETENCIA!B:D,3,FALSE)</f>
        <v>17.275133333333333</v>
      </c>
      <c r="H542" s="10">
        <f>Tabla1[[#This Row],[PVP Competencia]]*0.98</f>
        <v>16.929630666666664</v>
      </c>
      <c r="I542" s="10">
        <f>Tabla1[[#This Row],[Precio Lista CDR]]*0.8</f>
        <v>13.543704533333333</v>
      </c>
      <c r="J542" s="10">
        <f>Tabla1[[#This Row],[Precio Lista CDR]]*0.7</f>
        <v>11.850741466666664</v>
      </c>
      <c r="K542" s="10">
        <f>Tabla1[[#This Row],[Precio Lista CDR]]*0.6</f>
        <v>10.157778399999998</v>
      </c>
      <c r="L542" s="12">
        <f>(Tabla1[[#This Row],[Precio Lista CDR]]-Tabla1[[#This Row],[PrecioFábrica]])/Tabla1[[#This Row],[Precio Lista CDR]]</f>
        <v>0.86020565284235773</v>
      </c>
      <c r="M542" s="12">
        <f>(Tabla1[[#This Row],[Lista 1 (20%)]]-Tabla1[[#This Row],[PrecioFábrica]])/Tabla1[[#This Row],[Lista 1 (20%)]]</f>
        <v>0.82525706605294713</v>
      </c>
      <c r="N542" s="12">
        <f>(Tabla1[[#This Row],[Lista 2 (30%)]]-Tabla1[[#This Row],[PrecioFábrica]])/Tabla1[[#This Row],[Lista 2 (30%)]]</f>
        <v>0.8002937897747967</v>
      </c>
      <c r="O542" s="12">
        <f>(Tabla1[[#This Row],[Lista 3 (40%)]]-Tabla1[[#This Row],[PrecioFábrica]])/Tabla1[[#This Row],[Lista 3 (40%)]]</f>
        <v>0.76700942140392947</v>
      </c>
    </row>
    <row r="543" spans="1:15">
      <c r="A543" t="s">
        <v>6</v>
      </c>
      <c r="B543" t="s">
        <v>552</v>
      </c>
      <c r="C543" t="s">
        <v>1354</v>
      </c>
      <c r="D543" t="s">
        <v>811</v>
      </c>
      <c r="E543" t="s">
        <v>5</v>
      </c>
      <c r="F543" s="3">
        <v>2.8416666666666668</v>
      </c>
      <c r="G543" s="10">
        <f>VLOOKUP(Tabla1[[#This Row],[Código Unificador]],PRECIOS_COMPETENCIA!B:D,3,FALSE)</f>
        <v>18.735283333333335</v>
      </c>
      <c r="H543" s="10">
        <f>Tabla1[[#This Row],[PVP Competencia]]*0.98</f>
        <v>18.360577666666668</v>
      </c>
      <c r="I543" s="10">
        <f>Tabla1[[#This Row],[Precio Lista CDR]]*0.8</f>
        <v>14.688462133333335</v>
      </c>
      <c r="J543" s="10">
        <f>Tabla1[[#This Row],[Precio Lista CDR]]*0.7</f>
        <v>12.852404366666667</v>
      </c>
      <c r="K543" s="10">
        <f>Tabla1[[#This Row],[Precio Lista CDR]]*0.6</f>
        <v>11.0163466</v>
      </c>
      <c r="L543" s="12">
        <f>(Tabla1[[#This Row],[Precio Lista CDR]]-Tabla1[[#This Row],[PrecioFábrica]])/Tabla1[[#This Row],[Precio Lista CDR]]</f>
        <v>0.84522999666695309</v>
      </c>
      <c r="M543" s="12">
        <f>(Tabla1[[#This Row],[Lista 1 (20%)]]-Tabla1[[#This Row],[PrecioFábrica]])/Tabla1[[#This Row],[Lista 1 (20%)]]</f>
        <v>0.80653749583369139</v>
      </c>
      <c r="N543" s="12">
        <f>(Tabla1[[#This Row],[Lista 2 (30%)]]-Tabla1[[#This Row],[PrecioFábrica]])/Tabla1[[#This Row],[Lista 2 (30%)]]</f>
        <v>0.77889999523850439</v>
      </c>
      <c r="O543" s="12">
        <f>(Tabla1[[#This Row],[Lista 3 (40%)]]-Tabla1[[#This Row],[PrecioFábrica]])/Tabla1[[#This Row],[Lista 3 (40%)]]</f>
        <v>0.74204999444492181</v>
      </c>
    </row>
    <row r="544" spans="1:15">
      <c r="A544" t="s">
        <v>6</v>
      </c>
      <c r="B544" t="s">
        <v>553</v>
      </c>
      <c r="C544" t="s">
        <v>1355</v>
      </c>
      <c r="D544" t="s">
        <v>811</v>
      </c>
      <c r="E544" t="s">
        <v>5</v>
      </c>
      <c r="F544" s="3">
        <v>4.0750000000000011</v>
      </c>
      <c r="G544" s="10">
        <f>VLOOKUP(Tabla1[[#This Row],[Código Unificador]],PRECIOS_COMPETENCIA!B:D,3,FALSE)</f>
        <v>22.526550000000007</v>
      </c>
      <c r="H544" s="10">
        <f>Tabla1[[#This Row],[PVP Competencia]]*0.98</f>
        <v>22.076019000000006</v>
      </c>
      <c r="I544" s="10">
        <f>Tabla1[[#This Row],[Precio Lista CDR]]*0.8</f>
        <v>17.660815200000005</v>
      </c>
      <c r="J544" s="10">
        <f>Tabla1[[#This Row],[Precio Lista CDR]]*0.7</f>
        <v>15.453213300000003</v>
      </c>
      <c r="K544" s="10">
        <f>Tabla1[[#This Row],[Precio Lista CDR]]*0.6</f>
        <v>13.245611400000003</v>
      </c>
      <c r="L544" s="12">
        <f>(Tabla1[[#This Row],[Precio Lista CDR]]-Tabla1[[#This Row],[PrecioFábrica]])/Tabla1[[#This Row],[Precio Lista CDR]]</f>
        <v>0.81541055930419348</v>
      </c>
      <c r="M544" s="12">
        <f>(Tabla1[[#This Row],[Lista 1 (20%)]]-Tabla1[[#This Row],[PrecioFábrica]])/Tabla1[[#This Row],[Lista 1 (20%)]]</f>
        <v>0.76926319913024177</v>
      </c>
      <c r="N544" s="12">
        <f>(Tabla1[[#This Row],[Lista 2 (30%)]]-Tabla1[[#This Row],[PrecioFábrica]])/Tabla1[[#This Row],[Lista 2 (30%)]]</f>
        <v>0.73630079900599055</v>
      </c>
      <c r="O544" s="12">
        <f>(Tabla1[[#This Row],[Lista 3 (40%)]]-Tabla1[[#This Row],[PrecioFábrica]])/Tabla1[[#This Row],[Lista 3 (40%)]]</f>
        <v>0.69235093217365562</v>
      </c>
    </row>
    <row r="545" spans="1:15">
      <c r="A545" t="s">
        <v>9</v>
      </c>
      <c r="B545" t="s">
        <v>554</v>
      </c>
      <c r="C545" t="s">
        <v>1356</v>
      </c>
      <c r="D545" t="s">
        <v>811</v>
      </c>
      <c r="E545" t="s">
        <v>5</v>
      </c>
      <c r="F545" s="3">
        <v>4.1333333333333337</v>
      </c>
      <c r="G545" s="10">
        <f>VLOOKUP(Tabla1[[#This Row],[Código Unificador]],PRECIOS_COMPETENCIA!B:D,3,FALSE)</f>
        <v>22.945600000000002</v>
      </c>
      <c r="H545" s="10">
        <f>Tabla1[[#This Row],[PVP Competencia]]*0.98</f>
        <v>22.486688000000001</v>
      </c>
      <c r="I545" s="10">
        <f>Tabla1[[#This Row],[Precio Lista CDR]]*0.8</f>
        <v>17.989350400000003</v>
      </c>
      <c r="J545" s="10">
        <f>Tabla1[[#This Row],[Precio Lista CDR]]*0.7</f>
        <v>15.7406816</v>
      </c>
      <c r="K545" s="10">
        <f>Tabla1[[#This Row],[Precio Lista CDR]]*0.6</f>
        <v>13.492012799999999</v>
      </c>
      <c r="L545" s="12">
        <f>(Tabla1[[#This Row],[Precio Lista CDR]]-Tabla1[[#This Row],[PrecioFábrica]])/Tabla1[[#This Row],[Precio Lista CDR]]</f>
        <v>0.81618754467828558</v>
      </c>
      <c r="M545" s="12">
        <f>(Tabla1[[#This Row],[Lista 1 (20%)]]-Tabla1[[#This Row],[PrecioFábrica]])/Tabla1[[#This Row],[Lista 1 (20%)]]</f>
        <v>0.77023443084785692</v>
      </c>
      <c r="N545" s="12">
        <f>(Tabla1[[#This Row],[Lista 2 (30%)]]-Tabla1[[#This Row],[PrecioFábrica]])/Tabla1[[#This Row],[Lista 2 (30%)]]</f>
        <v>0.73741077811183642</v>
      </c>
      <c r="O545" s="12">
        <f>(Tabla1[[#This Row],[Lista 3 (40%)]]-Tabla1[[#This Row],[PrecioFábrica]])/Tabla1[[#This Row],[Lista 3 (40%)]]</f>
        <v>0.69364590779714241</v>
      </c>
    </row>
    <row r="546" spans="1:15">
      <c r="A546" t="s">
        <v>9</v>
      </c>
      <c r="B546" t="s">
        <v>555</v>
      </c>
      <c r="C546" t="s">
        <v>1357</v>
      </c>
      <c r="D546" t="s">
        <v>811</v>
      </c>
      <c r="E546" t="s">
        <v>5</v>
      </c>
      <c r="F546" s="3">
        <v>4.5083333333333337</v>
      </c>
      <c r="G546" s="10">
        <f>VLOOKUP(Tabla1[[#This Row],[Código Unificador]],PRECIOS_COMPETENCIA!B:D,3,FALSE)</f>
        <v>23.727875000000001</v>
      </c>
      <c r="H546" s="10">
        <f>Tabla1[[#This Row],[PVP Competencia]]*0.98</f>
        <v>23.253317500000001</v>
      </c>
      <c r="I546" s="10">
        <f>Tabla1[[#This Row],[Precio Lista CDR]]*0.8</f>
        <v>18.602654000000001</v>
      </c>
      <c r="J546" s="10">
        <f>Tabla1[[#This Row],[Precio Lista CDR]]*0.7</f>
        <v>16.277322250000001</v>
      </c>
      <c r="K546" s="10">
        <f>Tabla1[[#This Row],[Precio Lista CDR]]*0.6</f>
        <v>13.951990500000001</v>
      </c>
      <c r="L546" s="12">
        <f>(Tabla1[[#This Row],[Precio Lista CDR]]-Tabla1[[#This Row],[PrecioFábrica]])/Tabla1[[#This Row],[Precio Lista CDR]]</f>
        <v>0.80612085422506563</v>
      </c>
      <c r="M546" s="12">
        <f>(Tabla1[[#This Row],[Lista 1 (20%)]]-Tabla1[[#This Row],[PrecioFábrica]])/Tabla1[[#This Row],[Lista 1 (20%)]]</f>
        <v>0.75765106778133207</v>
      </c>
      <c r="N546" s="12">
        <f>(Tabla1[[#This Row],[Lista 2 (30%)]]-Tabla1[[#This Row],[PrecioFábrica]])/Tabla1[[#This Row],[Lista 2 (30%)]]</f>
        <v>0.72302979175009374</v>
      </c>
      <c r="O546" s="12">
        <f>(Tabla1[[#This Row],[Lista 3 (40%)]]-Tabla1[[#This Row],[PrecioFábrica]])/Tabla1[[#This Row],[Lista 3 (40%)]]</f>
        <v>0.67686809037510942</v>
      </c>
    </row>
    <row r="547" spans="1:15">
      <c r="A547" t="s">
        <v>6</v>
      </c>
      <c r="B547" t="s">
        <v>556</v>
      </c>
      <c r="C547" t="s">
        <v>1358</v>
      </c>
      <c r="D547" t="s">
        <v>811</v>
      </c>
      <c r="E547" t="s">
        <v>5</v>
      </c>
      <c r="F547" s="3">
        <v>4.1166666666666663</v>
      </c>
      <c r="G547" s="10">
        <f>VLOOKUP(Tabla1[[#This Row],[Código Unificador]],PRECIOS_COMPETENCIA!B:D,3,FALSE)</f>
        <v>22.774016666666668</v>
      </c>
      <c r="H547" s="10">
        <f>Tabla1[[#This Row],[PVP Competencia]]*0.98</f>
        <v>22.318536333333334</v>
      </c>
      <c r="I547" s="10">
        <f>Tabla1[[#This Row],[Precio Lista CDR]]*0.8</f>
        <v>17.854829066666667</v>
      </c>
      <c r="J547" s="10">
        <f>Tabla1[[#This Row],[Precio Lista CDR]]*0.7</f>
        <v>15.622975433333332</v>
      </c>
      <c r="K547" s="10">
        <f>Tabla1[[#This Row],[Precio Lista CDR]]*0.6</f>
        <v>13.391121800000001</v>
      </c>
      <c r="L547" s="12">
        <f>(Tabla1[[#This Row],[Precio Lista CDR]]-Tabla1[[#This Row],[PrecioFábrica]])/Tabla1[[#This Row],[Precio Lista CDR]]</f>
        <v>0.81554943365536414</v>
      </c>
      <c r="M547" s="12">
        <f>(Tabla1[[#This Row],[Lista 1 (20%)]]-Tabla1[[#This Row],[PrecioFábrica]])/Tabla1[[#This Row],[Lista 1 (20%)]]</f>
        <v>0.76943679206920512</v>
      </c>
      <c r="N547" s="12">
        <f>(Tabla1[[#This Row],[Lista 2 (30%)]]-Tabla1[[#This Row],[PrecioFábrica]])/Tabla1[[#This Row],[Lista 2 (30%)]]</f>
        <v>0.7364991909362345</v>
      </c>
      <c r="O547" s="12">
        <f>(Tabla1[[#This Row],[Lista 3 (40%)]]-Tabla1[[#This Row],[PrecioFábrica]])/Tabla1[[#This Row],[Lista 3 (40%)]]</f>
        <v>0.69258238942560679</v>
      </c>
    </row>
    <row r="548" spans="1:15">
      <c r="A548" t="s">
        <v>6</v>
      </c>
      <c r="B548" t="s">
        <v>557</v>
      </c>
      <c r="C548" t="s">
        <v>1359</v>
      </c>
      <c r="D548" t="s">
        <v>811</v>
      </c>
      <c r="E548" t="s">
        <v>5</v>
      </c>
      <c r="F548" s="3">
        <v>3.8666666666666671</v>
      </c>
      <c r="G548" s="10">
        <f>VLOOKUP(Tabla1[[#This Row],[Código Unificador]],PRECIOS_COMPETENCIA!B:D,3,FALSE)</f>
        <v>21.661866666666668</v>
      </c>
      <c r="H548" s="10">
        <f>Tabla1[[#This Row],[PVP Competencia]]*0.98</f>
        <v>21.228629333333334</v>
      </c>
      <c r="I548" s="10">
        <f>Tabla1[[#This Row],[Precio Lista CDR]]*0.8</f>
        <v>16.982903466666667</v>
      </c>
      <c r="J548" s="10">
        <f>Tabla1[[#This Row],[Precio Lista CDR]]*0.7</f>
        <v>14.860040533333333</v>
      </c>
      <c r="K548" s="10">
        <f>Tabla1[[#This Row],[Precio Lista CDR]]*0.6</f>
        <v>12.737177600000001</v>
      </c>
      <c r="L548" s="12">
        <f>(Tabla1[[#This Row],[Precio Lista CDR]]-Tabla1[[#This Row],[PrecioFábrica]])/Tabla1[[#This Row],[Precio Lista CDR]]</f>
        <v>0.81785603743171487</v>
      </c>
      <c r="M548" s="12">
        <f>(Tabla1[[#This Row],[Lista 1 (20%)]]-Tabla1[[#This Row],[PrecioFábrica]])/Tabla1[[#This Row],[Lista 1 (20%)]]</f>
        <v>0.7723200467896435</v>
      </c>
      <c r="N548" s="12">
        <f>(Tabla1[[#This Row],[Lista 2 (30%)]]-Tabla1[[#This Row],[PrecioFábrica]])/Tabla1[[#This Row],[Lista 2 (30%)]]</f>
        <v>0.73979433918816406</v>
      </c>
      <c r="O548" s="12">
        <f>(Tabla1[[#This Row],[Lista 3 (40%)]]-Tabla1[[#This Row],[PrecioFábrica]])/Tabla1[[#This Row],[Lista 3 (40%)]]</f>
        <v>0.69642672905285807</v>
      </c>
    </row>
    <row r="549" spans="1:15">
      <c r="A549" t="s">
        <v>6</v>
      </c>
      <c r="B549" t="s">
        <v>558</v>
      </c>
      <c r="C549" t="s">
        <v>1360</v>
      </c>
      <c r="D549" t="s">
        <v>811</v>
      </c>
      <c r="E549" t="s">
        <v>5</v>
      </c>
      <c r="F549" s="3">
        <v>5.9750000000000005</v>
      </c>
      <c r="G549" s="10">
        <f>VLOOKUP(Tabla1[[#This Row],[Código Unificador]],PRECIOS_COMPETENCIA!B:D,3,FALSE)</f>
        <v>27.847325000000005</v>
      </c>
      <c r="H549" s="10">
        <f>Tabla1[[#This Row],[PVP Competencia]]*0.98</f>
        <v>27.290378500000003</v>
      </c>
      <c r="I549" s="10">
        <f>Tabla1[[#This Row],[Precio Lista CDR]]*0.8</f>
        <v>21.832302800000004</v>
      </c>
      <c r="J549" s="10">
        <f>Tabla1[[#This Row],[Precio Lista CDR]]*0.7</f>
        <v>19.10326495</v>
      </c>
      <c r="K549" s="10">
        <f>Tabla1[[#This Row],[Precio Lista CDR]]*0.6</f>
        <v>16.374227100000002</v>
      </c>
      <c r="L549" s="12">
        <f>(Tabla1[[#This Row],[Precio Lista CDR]]-Tabla1[[#This Row],[PrecioFábrica]])/Tabla1[[#This Row],[Precio Lista CDR]]</f>
        <v>0.78105836824505748</v>
      </c>
      <c r="M549" s="12">
        <f>(Tabla1[[#This Row],[Lista 1 (20%)]]-Tabla1[[#This Row],[PrecioFábrica]])/Tabla1[[#This Row],[Lista 1 (20%)]]</f>
        <v>0.72632296030632182</v>
      </c>
      <c r="N549" s="12">
        <f>(Tabla1[[#This Row],[Lista 2 (30%)]]-Tabla1[[#This Row],[PrecioFábrica]])/Tabla1[[#This Row],[Lista 2 (30%)]]</f>
        <v>0.68722624035008206</v>
      </c>
      <c r="O549" s="12">
        <f>(Tabla1[[#This Row],[Lista 3 (40%)]]-Tabla1[[#This Row],[PrecioFábrica]])/Tabla1[[#This Row],[Lista 3 (40%)]]</f>
        <v>0.63509728040842917</v>
      </c>
    </row>
    <row r="550" spans="1:15">
      <c r="A550" t="s">
        <v>6</v>
      </c>
      <c r="B550" t="s">
        <v>559</v>
      </c>
      <c r="C550" t="s">
        <v>1361</v>
      </c>
      <c r="D550" t="s">
        <v>811</v>
      </c>
      <c r="E550" t="s">
        <v>5</v>
      </c>
      <c r="F550" s="3">
        <v>7.4083333333333341</v>
      </c>
      <c r="G550" s="10">
        <f>VLOOKUP(Tabla1[[#This Row],[Código Unificador]],PRECIOS_COMPETENCIA!B:D,3,FALSE)</f>
        <v>32.988058333333342</v>
      </c>
      <c r="H550" s="10">
        <f>Tabla1[[#This Row],[PVP Competencia]]*0.98</f>
        <v>32.328297166666673</v>
      </c>
      <c r="I550" s="10">
        <f>Tabla1[[#This Row],[Precio Lista CDR]]*0.8</f>
        <v>25.86263773333334</v>
      </c>
      <c r="J550" s="10">
        <f>Tabla1[[#This Row],[Precio Lista CDR]]*0.7</f>
        <v>22.629808016666669</v>
      </c>
      <c r="K550" s="10">
        <f>Tabla1[[#This Row],[Precio Lista CDR]]*0.6</f>
        <v>19.396978300000004</v>
      </c>
      <c r="L550" s="12">
        <f>(Tabla1[[#This Row],[Precio Lista CDR]]-Tabla1[[#This Row],[PrecioFábrica]])/Tabla1[[#This Row],[Precio Lista CDR]]</f>
        <v>0.7708405953106624</v>
      </c>
      <c r="M550" s="12">
        <f>(Tabla1[[#This Row],[Lista 1 (20%)]]-Tabla1[[#This Row],[PrecioFábrica]])/Tabla1[[#This Row],[Lista 1 (20%)]]</f>
        <v>0.71355074413832797</v>
      </c>
      <c r="N550" s="12">
        <f>(Tabla1[[#This Row],[Lista 2 (30%)]]-Tabla1[[#This Row],[PrecioFábrica]])/Tabla1[[#This Row],[Lista 2 (30%)]]</f>
        <v>0.67262942187237473</v>
      </c>
      <c r="O550" s="12">
        <f>(Tabla1[[#This Row],[Lista 3 (40%)]]-Tabla1[[#This Row],[PrecioFábrica]])/Tabla1[[#This Row],[Lista 3 (40%)]]</f>
        <v>0.61806765885110393</v>
      </c>
    </row>
    <row r="551" spans="1:15">
      <c r="A551" t="s">
        <v>6</v>
      </c>
      <c r="B551" t="s">
        <v>560</v>
      </c>
      <c r="C551" t="s">
        <v>1362</v>
      </c>
      <c r="D551" t="s">
        <v>811</v>
      </c>
      <c r="E551" t="s">
        <v>5</v>
      </c>
      <c r="F551" s="3">
        <v>2.5583333333333336</v>
      </c>
      <c r="G551" s="10">
        <f>VLOOKUP(Tabla1[[#This Row],[Código Unificador]],PRECIOS_COMPETENCIA!B:D,3,FALSE)</f>
        <v>17.790125</v>
      </c>
      <c r="H551" s="10">
        <f>Tabla1[[#This Row],[PVP Competencia]]*0.98</f>
        <v>17.4343225</v>
      </c>
      <c r="I551" s="10">
        <f>Tabla1[[#This Row],[Precio Lista CDR]]*0.8</f>
        <v>13.947458000000001</v>
      </c>
      <c r="J551" s="10">
        <f>Tabla1[[#This Row],[Precio Lista CDR]]*0.7</f>
        <v>12.20402575</v>
      </c>
      <c r="K551" s="10">
        <f>Tabla1[[#This Row],[Precio Lista CDR]]*0.6</f>
        <v>10.4605935</v>
      </c>
      <c r="L551" s="12">
        <f>(Tabla1[[#This Row],[Precio Lista CDR]]-Tabla1[[#This Row],[PrecioFábrica]])/Tabla1[[#This Row],[Precio Lista CDR]]</f>
        <v>0.85325880410131605</v>
      </c>
      <c r="M551" s="12">
        <f>(Tabla1[[#This Row],[Lista 1 (20%)]]-Tabla1[[#This Row],[PrecioFábrica]])/Tabla1[[#This Row],[Lista 1 (20%)]]</f>
        <v>0.81657350512664506</v>
      </c>
      <c r="N551" s="12">
        <f>(Tabla1[[#This Row],[Lista 2 (30%)]]-Tabla1[[#This Row],[PrecioFábrica]])/Tabla1[[#This Row],[Lista 2 (30%)]]</f>
        <v>0.79036972014473716</v>
      </c>
      <c r="O551" s="12">
        <f>(Tabla1[[#This Row],[Lista 3 (40%)]]-Tabla1[[#This Row],[PrecioFábrica]])/Tabla1[[#This Row],[Lista 3 (40%)]]</f>
        <v>0.75543134016886004</v>
      </c>
    </row>
    <row r="552" spans="1:15">
      <c r="A552" t="s">
        <v>9</v>
      </c>
      <c r="B552" t="s">
        <v>561</v>
      </c>
      <c r="C552" t="s">
        <v>1363</v>
      </c>
      <c r="D552" t="s">
        <v>811</v>
      </c>
      <c r="E552" t="s">
        <v>5</v>
      </c>
      <c r="F552" s="3">
        <v>6.5750000000000002</v>
      </c>
      <c r="G552" s="10">
        <f>VLOOKUP(Tabla1[[#This Row],[Código Unificador]],PRECIOS_COMPETENCIA!B:D,3,FALSE)</f>
        <v>30.020875000000004</v>
      </c>
      <c r="H552" s="10">
        <f>Tabla1[[#This Row],[PVP Competencia]]*0.98</f>
        <v>29.420457500000005</v>
      </c>
      <c r="I552" s="10">
        <f>Tabla1[[#This Row],[Precio Lista CDR]]*0.8</f>
        <v>23.536366000000005</v>
      </c>
      <c r="J552" s="10">
        <f>Tabla1[[#This Row],[Precio Lista CDR]]*0.7</f>
        <v>20.594320250000003</v>
      </c>
      <c r="K552" s="10">
        <f>Tabla1[[#This Row],[Precio Lista CDR]]*0.6</f>
        <v>17.652274500000001</v>
      </c>
      <c r="L552" s="12">
        <f>(Tabla1[[#This Row],[Precio Lista CDR]]-Tabla1[[#This Row],[PrecioFábrica]])/Tabla1[[#This Row],[Precio Lista CDR]]</f>
        <v>0.77651605179831085</v>
      </c>
      <c r="M552" s="12">
        <f>(Tabla1[[#This Row],[Lista 1 (20%)]]-Tabla1[[#This Row],[PrecioFábrica]])/Tabla1[[#This Row],[Lista 1 (20%)]]</f>
        <v>0.72064506474788848</v>
      </c>
      <c r="N552" s="12">
        <f>(Tabla1[[#This Row],[Lista 2 (30%)]]-Tabla1[[#This Row],[PrecioFábrica]])/Tabla1[[#This Row],[Lista 2 (30%)]]</f>
        <v>0.68073721685472977</v>
      </c>
      <c r="O552" s="12">
        <f>(Tabla1[[#This Row],[Lista 3 (40%)]]-Tabla1[[#This Row],[PrecioFábrica]])/Tabla1[[#This Row],[Lista 3 (40%)]]</f>
        <v>0.62752675299718463</v>
      </c>
    </row>
    <row r="553" spans="1:15">
      <c r="A553" t="s">
        <v>9</v>
      </c>
      <c r="B553" t="s">
        <v>562</v>
      </c>
      <c r="C553" t="s">
        <v>1364</v>
      </c>
      <c r="D553" t="s">
        <v>811</v>
      </c>
      <c r="E553" t="s">
        <v>5</v>
      </c>
      <c r="F553" s="3">
        <v>6.416666666666667</v>
      </c>
      <c r="G553" s="10">
        <f>VLOOKUP(Tabla1[[#This Row],[Código Unificador]],PRECIOS_COMPETENCIA!B:D,3,FALSE)</f>
        <v>29.724833333333336</v>
      </c>
      <c r="H553" s="10">
        <f>Tabla1[[#This Row],[PVP Competencia]]*0.98</f>
        <v>29.130336666666668</v>
      </c>
      <c r="I553" s="10">
        <f>Tabla1[[#This Row],[Precio Lista CDR]]*0.8</f>
        <v>23.304269333333337</v>
      </c>
      <c r="J553" s="10">
        <f>Tabla1[[#This Row],[Precio Lista CDR]]*0.7</f>
        <v>20.391235666666667</v>
      </c>
      <c r="K553" s="10">
        <f>Tabla1[[#This Row],[Precio Lista CDR]]*0.6</f>
        <v>17.478202</v>
      </c>
      <c r="L553" s="12">
        <f>(Tabla1[[#This Row],[Precio Lista CDR]]-Tabla1[[#This Row],[PrecioFábrica]])/Tabla1[[#This Row],[Precio Lista CDR]]</f>
        <v>0.7797256262400446</v>
      </c>
      <c r="M553" s="12">
        <f>(Tabla1[[#This Row],[Lista 1 (20%)]]-Tabla1[[#This Row],[PrecioFábrica]])/Tabla1[[#This Row],[Lista 1 (20%)]]</f>
        <v>0.72465703280005578</v>
      </c>
      <c r="N553" s="12">
        <f>(Tabla1[[#This Row],[Lista 2 (30%)]]-Tabla1[[#This Row],[PrecioFábrica]])/Tabla1[[#This Row],[Lista 2 (30%)]]</f>
        <v>0.6853223232000637</v>
      </c>
      <c r="O553" s="12">
        <f>(Tabla1[[#This Row],[Lista 3 (40%)]]-Tabla1[[#This Row],[PrecioFábrica]])/Tabla1[[#This Row],[Lista 3 (40%)]]</f>
        <v>0.63287604373340756</v>
      </c>
    </row>
    <row r="554" spans="1:15">
      <c r="A554" t="s">
        <v>9</v>
      </c>
      <c r="B554" t="s">
        <v>563</v>
      </c>
      <c r="C554" t="s">
        <v>1365</v>
      </c>
      <c r="D554" t="s">
        <v>811</v>
      </c>
      <c r="E554" t="s">
        <v>5</v>
      </c>
      <c r="F554" s="3">
        <v>5.7833333333333341</v>
      </c>
      <c r="G554" s="10">
        <f>VLOOKUP(Tabla1[[#This Row],[Código Unificador]],PRECIOS_COMPETENCIA!B:D,3,FALSE)</f>
        <v>27.610250000000008</v>
      </c>
      <c r="H554" s="10">
        <f>Tabla1[[#This Row],[PVP Competencia]]*0.98</f>
        <v>27.058045000000007</v>
      </c>
      <c r="I554" s="10">
        <f>Tabla1[[#This Row],[Precio Lista CDR]]*0.8</f>
        <v>21.646436000000008</v>
      </c>
      <c r="J554" s="10">
        <f>Tabla1[[#This Row],[Precio Lista CDR]]*0.7</f>
        <v>18.940631500000002</v>
      </c>
      <c r="K554" s="10">
        <f>Tabla1[[#This Row],[Precio Lista CDR]]*0.6</f>
        <v>16.234827000000003</v>
      </c>
      <c r="L554" s="12">
        <f>(Tabla1[[#This Row],[Precio Lista CDR]]-Tabla1[[#This Row],[PrecioFábrica]])/Tabla1[[#This Row],[Precio Lista CDR]]</f>
        <v>0.7862619663270819</v>
      </c>
      <c r="M554" s="12">
        <f>(Tabla1[[#This Row],[Lista 1 (20%)]]-Tabla1[[#This Row],[PrecioFábrica]])/Tabla1[[#This Row],[Lista 1 (20%)]]</f>
        <v>0.7328274579088524</v>
      </c>
      <c r="N554" s="12">
        <f>(Tabla1[[#This Row],[Lista 2 (30%)]]-Tabla1[[#This Row],[PrecioFábrica]])/Tabla1[[#This Row],[Lista 2 (30%)]]</f>
        <v>0.69465995189583118</v>
      </c>
      <c r="O554" s="12">
        <f>(Tabla1[[#This Row],[Lista 3 (40%)]]-Tabla1[[#This Row],[PrecioFábrica]])/Tabla1[[#This Row],[Lista 3 (40%)]]</f>
        <v>0.64376994387846975</v>
      </c>
    </row>
    <row r="555" spans="1:15">
      <c r="A555" t="s">
        <v>9</v>
      </c>
      <c r="B555" t="s">
        <v>564</v>
      </c>
      <c r="C555" t="s">
        <v>1366</v>
      </c>
      <c r="D555" t="s">
        <v>811</v>
      </c>
      <c r="E555" t="s">
        <v>5</v>
      </c>
      <c r="F555" s="3">
        <v>8.2916666666666661</v>
      </c>
      <c r="G555" s="10">
        <f>VLOOKUP(Tabla1[[#This Row],[Código Unificador]],PRECIOS_COMPETENCIA!B:D,3,FALSE)</f>
        <v>35.248125000000002</v>
      </c>
      <c r="H555" s="10">
        <f>Tabla1[[#This Row],[PVP Competencia]]*0.98</f>
        <v>34.543162500000001</v>
      </c>
      <c r="I555" s="10">
        <f>Tabla1[[#This Row],[Precio Lista CDR]]*0.8</f>
        <v>27.634530000000002</v>
      </c>
      <c r="J555" s="10">
        <f>Tabla1[[#This Row],[Precio Lista CDR]]*0.7</f>
        <v>24.18021375</v>
      </c>
      <c r="K555" s="10">
        <f>Tabla1[[#This Row],[Precio Lista CDR]]*0.6</f>
        <v>20.725897499999999</v>
      </c>
      <c r="L555" s="12">
        <f>(Tabla1[[#This Row],[Precio Lista CDR]]-Tabla1[[#This Row],[PrecioFábrica]])/Tabla1[[#This Row],[Precio Lista CDR]]</f>
        <v>0.75996214397953099</v>
      </c>
      <c r="M555" s="12">
        <f>(Tabla1[[#This Row],[Lista 1 (20%)]]-Tabla1[[#This Row],[PrecioFábrica]])/Tabla1[[#This Row],[Lista 1 (20%)]]</f>
        <v>0.69995267997441368</v>
      </c>
      <c r="N555" s="12">
        <f>(Tabla1[[#This Row],[Lista 2 (30%)]]-Tabla1[[#This Row],[PrecioFábrica]])/Tabla1[[#This Row],[Lista 2 (30%)]]</f>
        <v>0.65708877711361557</v>
      </c>
      <c r="O555" s="12">
        <f>(Tabla1[[#This Row],[Lista 3 (40%)]]-Tabla1[[#This Row],[PrecioFábrica]])/Tabla1[[#This Row],[Lista 3 (40%)]]</f>
        <v>0.5999369066325515</v>
      </c>
    </row>
    <row r="556" spans="1:15">
      <c r="A556" t="s">
        <v>6</v>
      </c>
      <c r="B556" t="s">
        <v>565</v>
      </c>
      <c r="C556" t="s">
        <v>1367</v>
      </c>
      <c r="D556" t="s">
        <v>811</v>
      </c>
      <c r="E556" t="s">
        <v>5</v>
      </c>
      <c r="F556" s="3">
        <v>9.5416666666666661</v>
      </c>
      <c r="G556" s="10">
        <f>VLOOKUP(Tabla1[[#This Row],[Código Unificador]],PRECIOS_COMPETENCIA!B:D,3,FALSE)</f>
        <v>39.884500000000003</v>
      </c>
      <c r="H556" s="10">
        <f>Tabla1[[#This Row],[PVP Competencia]]*0.98</f>
        <v>39.08681</v>
      </c>
      <c r="I556" s="10">
        <f>Tabla1[[#This Row],[Precio Lista CDR]]*0.8</f>
        <v>31.269448000000001</v>
      </c>
      <c r="J556" s="10">
        <f>Tabla1[[#This Row],[Precio Lista CDR]]*0.7</f>
        <v>27.360766999999999</v>
      </c>
      <c r="K556" s="10">
        <f>Tabla1[[#This Row],[Precio Lista CDR]]*0.6</f>
        <v>23.452085999999998</v>
      </c>
      <c r="L556" s="12">
        <f>(Tabla1[[#This Row],[Precio Lista CDR]]-Tabla1[[#This Row],[PrecioFábrica]])/Tabla1[[#This Row],[Precio Lista CDR]]</f>
        <v>0.75588525472744739</v>
      </c>
      <c r="M556" s="12">
        <f>(Tabla1[[#This Row],[Lista 1 (20%)]]-Tabla1[[#This Row],[PrecioFábrica]])/Tabla1[[#This Row],[Lista 1 (20%)]]</f>
        <v>0.69485656840930909</v>
      </c>
      <c r="N556" s="12">
        <f>(Tabla1[[#This Row],[Lista 2 (30%)]]-Tabla1[[#This Row],[PrecioFábrica]])/Tabla1[[#This Row],[Lista 2 (30%)]]</f>
        <v>0.6512646496106389</v>
      </c>
      <c r="O556" s="12">
        <f>(Tabla1[[#This Row],[Lista 3 (40%)]]-Tabla1[[#This Row],[PrecioFábrica]])/Tabla1[[#This Row],[Lista 3 (40%)]]</f>
        <v>0.59314209121241213</v>
      </c>
    </row>
    <row r="557" spans="1:15">
      <c r="A557" t="s">
        <v>6</v>
      </c>
      <c r="B557" t="s">
        <v>566</v>
      </c>
      <c r="C557" t="s">
        <v>1368</v>
      </c>
      <c r="D557" t="s">
        <v>811</v>
      </c>
      <c r="E557" t="s">
        <v>5</v>
      </c>
      <c r="F557" s="3">
        <v>24.091666666666669</v>
      </c>
      <c r="G557" s="10">
        <f>VLOOKUP(Tabla1[[#This Row],[Código Unificador]],PRECIOS_COMPETENCIA!B:D,3,FALSE)</f>
        <v>85.455100000000016</v>
      </c>
      <c r="H557" s="10">
        <f>Tabla1[[#This Row],[PVP Competencia]]*0.98</f>
        <v>83.745998000000014</v>
      </c>
      <c r="I557" s="10">
        <f>Tabla1[[#This Row],[Precio Lista CDR]]*0.8</f>
        <v>66.996798400000017</v>
      </c>
      <c r="J557" s="10">
        <f>Tabla1[[#This Row],[Precio Lista CDR]]*0.7</f>
        <v>58.622198600000004</v>
      </c>
      <c r="K557" s="10">
        <f>Tabla1[[#This Row],[Precio Lista CDR]]*0.6</f>
        <v>50.247598800000006</v>
      </c>
      <c r="L557" s="12">
        <f>(Tabla1[[#This Row],[Precio Lista CDR]]-Tabla1[[#This Row],[PrecioFábrica]])/Tabla1[[#This Row],[Precio Lista CDR]]</f>
        <v>0.71232456186543192</v>
      </c>
      <c r="M557" s="12">
        <f>(Tabla1[[#This Row],[Lista 1 (20%)]]-Tabla1[[#This Row],[PrecioFábrica]])/Tabla1[[#This Row],[Lista 1 (20%)]]</f>
        <v>0.64040570233178995</v>
      </c>
      <c r="N557" s="12">
        <f>(Tabla1[[#This Row],[Lista 2 (30%)]]-Tabla1[[#This Row],[PrecioFábrica]])/Tabla1[[#This Row],[Lista 2 (30%)]]</f>
        <v>0.58903508837918839</v>
      </c>
      <c r="O557" s="12">
        <f>(Tabla1[[#This Row],[Lista 3 (40%)]]-Tabla1[[#This Row],[PrecioFábrica]])/Tabla1[[#This Row],[Lista 3 (40%)]]</f>
        <v>0.52054093644238641</v>
      </c>
    </row>
    <row r="558" spans="1:15">
      <c r="A558" t="s">
        <v>9</v>
      </c>
      <c r="B558" t="s">
        <v>567</v>
      </c>
      <c r="C558" t="s">
        <v>1369</v>
      </c>
      <c r="D558" t="s">
        <v>811</v>
      </c>
      <c r="E558" t="s">
        <v>5</v>
      </c>
      <c r="F558" s="3">
        <v>7.2250000000000005</v>
      </c>
      <c r="G558" s="10">
        <f>VLOOKUP(Tabla1[[#This Row],[Código Unificador]],PRECIOS_COMPETENCIA!B:D,3,FALSE)</f>
        <v>32.000125000000004</v>
      </c>
      <c r="H558" s="10">
        <f>Tabla1[[#This Row],[PVP Competencia]]*0.98</f>
        <v>31.360122500000003</v>
      </c>
      <c r="I558" s="10">
        <f>Tabla1[[#This Row],[Precio Lista CDR]]*0.8</f>
        <v>25.088098000000002</v>
      </c>
      <c r="J558" s="10">
        <f>Tabla1[[#This Row],[Precio Lista CDR]]*0.7</f>
        <v>21.952085750000002</v>
      </c>
      <c r="K558" s="10">
        <f>Tabla1[[#This Row],[Precio Lista CDR]]*0.6</f>
        <v>18.816073500000002</v>
      </c>
      <c r="L558" s="12">
        <f>(Tabla1[[#This Row],[Precio Lista CDR]]-Tabla1[[#This Row],[PrecioFábrica]])/Tabla1[[#This Row],[Precio Lista CDR]]</f>
        <v>0.76961186934139048</v>
      </c>
      <c r="M558" s="12">
        <f>(Tabla1[[#This Row],[Lista 1 (20%)]]-Tabla1[[#This Row],[PrecioFábrica]])/Tabla1[[#This Row],[Lista 1 (20%)]]</f>
        <v>0.71201483667673804</v>
      </c>
      <c r="N558" s="12">
        <f>(Tabla1[[#This Row],[Lista 2 (30%)]]-Tabla1[[#This Row],[PrecioFábrica]])/Tabla1[[#This Row],[Lista 2 (30%)]]</f>
        <v>0.6708740990591292</v>
      </c>
      <c r="O558" s="12">
        <f>(Tabla1[[#This Row],[Lista 3 (40%)]]-Tabla1[[#This Row],[PrecioFábrica]])/Tabla1[[#This Row],[Lista 3 (40%)]]</f>
        <v>0.61601978223565079</v>
      </c>
    </row>
    <row r="559" spans="1:15">
      <c r="A559" t="s">
        <v>9</v>
      </c>
      <c r="B559" t="s">
        <v>568</v>
      </c>
      <c r="C559" t="s">
        <v>1370</v>
      </c>
      <c r="D559" t="s">
        <v>811</v>
      </c>
      <c r="E559" t="s">
        <v>5</v>
      </c>
      <c r="F559" s="3">
        <v>7.2583333333333346</v>
      </c>
      <c r="G559" s="10">
        <f>VLOOKUP(Tabla1[[#This Row],[Código Unificador]],PRECIOS_COMPETENCIA!B:D,3,FALSE)</f>
        <v>32.733100000000007</v>
      </c>
      <c r="H559" s="10">
        <f>Tabla1[[#This Row],[PVP Competencia]]*0.98</f>
        <v>32.078438000000006</v>
      </c>
      <c r="I559" s="10">
        <f>Tabla1[[#This Row],[Precio Lista CDR]]*0.8</f>
        <v>25.662750400000007</v>
      </c>
      <c r="J559" s="10">
        <f>Tabla1[[#This Row],[Precio Lista CDR]]*0.7</f>
        <v>22.454906600000001</v>
      </c>
      <c r="K559" s="10">
        <f>Tabla1[[#This Row],[Precio Lista CDR]]*0.6</f>
        <v>19.247062800000002</v>
      </c>
      <c r="L559" s="12">
        <f>(Tabla1[[#This Row],[Precio Lista CDR]]-Tabla1[[#This Row],[PrecioFábrica]])/Tabla1[[#This Row],[Precio Lista CDR]]</f>
        <v>0.77373170933904789</v>
      </c>
      <c r="M559" s="12">
        <f>(Tabla1[[#This Row],[Lista 1 (20%)]]-Tabla1[[#This Row],[PrecioFábrica]])/Tabla1[[#This Row],[Lista 1 (20%)]]</f>
        <v>0.71716463667380992</v>
      </c>
      <c r="N559" s="12">
        <f>(Tabla1[[#This Row],[Lista 2 (30%)]]-Tabla1[[#This Row],[PrecioFábrica]])/Tabla1[[#This Row],[Lista 2 (30%)]]</f>
        <v>0.67675958477006826</v>
      </c>
      <c r="O559" s="12">
        <f>(Tabla1[[#This Row],[Lista 3 (40%)]]-Tabla1[[#This Row],[PrecioFábrica]])/Tabla1[[#This Row],[Lista 3 (40%)]]</f>
        <v>0.6228861822317463</v>
      </c>
    </row>
    <row r="560" spans="1:15">
      <c r="A560" t="s">
        <v>9</v>
      </c>
      <c r="B560" t="s">
        <v>569</v>
      </c>
      <c r="C560" t="s">
        <v>1371</v>
      </c>
      <c r="D560" t="s">
        <v>811</v>
      </c>
      <c r="E560" t="s">
        <v>5</v>
      </c>
      <c r="F560" s="3">
        <v>9.7083333333333339</v>
      </c>
      <c r="G560" s="10">
        <f>VLOOKUP(Tabla1[[#This Row],[Código Unificador]],PRECIOS_COMPETENCIA!B:D,3,FALSE)</f>
        <v>38.71725</v>
      </c>
      <c r="H560" s="10">
        <f>Tabla1[[#This Row],[PVP Competencia]]*0.98</f>
        <v>37.942904999999996</v>
      </c>
      <c r="I560" s="10">
        <f>Tabla1[[#This Row],[Precio Lista CDR]]*0.8</f>
        <v>30.354323999999998</v>
      </c>
      <c r="J560" s="10">
        <f>Tabla1[[#This Row],[Precio Lista CDR]]*0.7</f>
        <v>26.560033499999996</v>
      </c>
      <c r="K560" s="10">
        <f>Tabla1[[#This Row],[Precio Lista CDR]]*0.6</f>
        <v>22.765742999999997</v>
      </c>
      <c r="L560" s="12">
        <f>(Tabla1[[#This Row],[Precio Lista CDR]]-Tabla1[[#This Row],[PrecioFábrica]])/Tabla1[[#This Row],[Precio Lista CDR]]</f>
        <v>0.74413310384818088</v>
      </c>
      <c r="M560" s="12">
        <f>(Tabla1[[#This Row],[Lista 1 (20%)]]-Tabla1[[#This Row],[PrecioFábrica]])/Tabla1[[#This Row],[Lista 1 (20%)]]</f>
        <v>0.68016637981022621</v>
      </c>
      <c r="N560" s="12">
        <f>(Tabla1[[#This Row],[Lista 2 (30%)]]-Tabla1[[#This Row],[PrecioFábrica]])/Tabla1[[#This Row],[Lista 2 (30%)]]</f>
        <v>0.63447586264025846</v>
      </c>
      <c r="O560" s="12">
        <f>(Tabla1[[#This Row],[Lista 3 (40%)]]-Tabla1[[#This Row],[PrecioFábrica]])/Tabla1[[#This Row],[Lista 3 (40%)]]</f>
        <v>0.57355517308030157</v>
      </c>
    </row>
    <row r="561" spans="1:15">
      <c r="A561" t="s">
        <v>9</v>
      </c>
      <c r="B561" t="s">
        <v>570</v>
      </c>
      <c r="C561" t="s">
        <v>1372</v>
      </c>
      <c r="D561" t="s">
        <v>811</v>
      </c>
      <c r="E561" t="s">
        <v>5</v>
      </c>
      <c r="F561" s="3">
        <v>11.941666666666666</v>
      </c>
      <c r="G561" s="10">
        <f>VLOOKUP(Tabla1[[#This Row],[Código Unificador]],PRECIOS_COMPETENCIA!B:D,3,FALSE)</f>
        <v>46.362375</v>
      </c>
      <c r="H561" s="10">
        <f>Tabla1[[#This Row],[PVP Competencia]]*0.98</f>
        <v>45.4351275</v>
      </c>
      <c r="I561" s="10">
        <f>Tabla1[[#This Row],[Precio Lista CDR]]*0.8</f>
        <v>36.348102000000004</v>
      </c>
      <c r="J561" s="10">
        <f>Tabla1[[#This Row],[Precio Lista CDR]]*0.7</f>
        <v>31.804589249999999</v>
      </c>
      <c r="K561" s="10">
        <f>Tabla1[[#This Row],[Precio Lista CDR]]*0.6</f>
        <v>27.261076499999998</v>
      </c>
      <c r="L561" s="12">
        <f>(Tabla1[[#This Row],[Precio Lista CDR]]-Tabla1[[#This Row],[PrecioFábrica]])/Tabla1[[#This Row],[Precio Lista CDR]]</f>
        <v>0.73717105412179884</v>
      </c>
      <c r="M561" s="12">
        <f>(Tabla1[[#This Row],[Lista 1 (20%)]]-Tabla1[[#This Row],[PrecioFábrica]])/Tabla1[[#This Row],[Lista 1 (20%)]]</f>
        <v>0.67146381765224872</v>
      </c>
      <c r="N561" s="12">
        <f>(Tabla1[[#This Row],[Lista 2 (30%)]]-Tabla1[[#This Row],[PrecioFábrica]])/Tabla1[[#This Row],[Lista 2 (30%)]]</f>
        <v>0.62453007731685561</v>
      </c>
      <c r="O561" s="12">
        <f>(Tabla1[[#This Row],[Lista 3 (40%)]]-Tabla1[[#This Row],[PrecioFábrica]])/Tabla1[[#This Row],[Lista 3 (40%)]]</f>
        <v>0.56195175686966481</v>
      </c>
    </row>
    <row r="562" spans="1:15">
      <c r="A562" t="s">
        <v>6</v>
      </c>
      <c r="B562" t="s">
        <v>571</v>
      </c>
      <c r="C562" t="s">
        <v>1373</v>
      </c>
      <c r="D562" t="s">
        <v>811</v>
      </c>
      <c r="E562" t="s">
        <v>5</v>
      </c>
      <c r="F562" s="3">
        <v>13.549999999999999</v>
      </c>
      <c r="G562" s="10">
        <f>VLOOKUP(Tabla1[[#This Row],[Código Unificador]],PRECIOS_COMPETENCIA!B:D,3,FALSE)</f>
        <v>51.259749999999997</v>
      </c>
      <c r="H562" s="10">
        <f>Tabla1[[#This Row],[PVP Competencia]]*0.98</f>
        <v>50.234554999999993</v>
      </c>
      <c r="I562" s="10">
        <f>Tabla1[[#This Row],[Precio Lista CDR]]*0.8</f>
        <v>40.187643999999999</v>
      </c>
      <c r="J562" s="10">
        <f>Tabla1[[#This Row],[Precio Lista CDR]]*0.7</f>
        <v>35.164188499999995</v>
      </c>
      <c r="K562" s="10">
        <f>Tabla1[[#This Row],[Precio Lista CDR]]*0.6</f>
        <v>30.140732999999994</v>
      </c>
      <c r="L562" s="12">
        <f>(Tabla1[[#This Row],[Precio Lista CDR]]-Tabla1[[#This Row],[PrecioFábrica]])/Tabla1[[#This Row],[Precio Lista CDR]]</f>
        <v>0.73026535220626521</v>
      </c>
      <c r="M562" s="12">
        <f>(Tabla1[[#This Row],[Lista 1 (20%)]]-Tabla1[[#This Row],[PrecioFábrica]])/Tabla1[[#This Row],[Lista 1 (20%)]]</f>
        <v>0.66283169025783151</v>
      </c>
      <c r="N562" s="12">
        <f>(Tabla1[[#This Row],[Lista 2 (30%)]]-Tabla1[[#This Row],[PrecioFábrica]])/Tabla1[[#This Row],[Lista 2 (30%)]]</f>
        <v>0.6146647888660931</v>
      </c>
      <c r="O562" s="12">
        <f>(Tabla1[[#This Row],[Lista 3 (40%)]]-Tabla1[[#This Row],[PrecioFábrica]])/Tabla1[[#This Row],[Lista 3 (40%)]]</f>
        <v>0.55044225367710853</v>
      </c>
    </row>
    <row r="563" spans="1:15">
      <c r="A563" t="s">
        <v>9</v>
      </c>
      <c r="B563" t="s">
        <v>572</v>
      </c>
      <c r="C563" t="s">
        <v>1374</v>
      </c>
      <c r="D563" t="s">
        <v>811</v>
      </c>
      <c r="E563" t="s">
        <v>5</v>
      </c>
      <c r="F563" s="3">
        <v>17.966666666666665</v>
      </c>
      <c r="G563" s="10">
        <f>VLOOKUP(Tabla1[[#This Row],[Código Unificador]],PRECIOS_COMPETENCIA!B:D,3,FALSE)</f>
        <v>65.750566666666671</v>
      </c>
      <c r="H563" s="10">
        <f>Tabla1[[#This Row],[PVP Competencia]]*0.98</f>
        <v>64.43555533333334</v>
      </c>
      <c r="I563" s="10">
        <f>Tabla1[[#This Row],[Precio Lista CDR]]*0.8</f>
        <v>51.548444266666678</v>
      </c>
      <c r="J563" s="10">
        <f>Tabla1[[#This Row],[Precio Lista CDR]]*0.7</f>
        <v>45.104888733333333</v>
      </c>
      <c r="K563" s="10">
        <f>Tabla1[[#This Row],[Precio Lista CDR]]*0.6</f>
        <v>38.661333200000001</v>
      </c>
      <c r="L563" s="12">
        <f>(Tabla1[[#This Row],[Precio Lista CDR]]-Tabla1[[#This Row],[PrecioFábrica]])/Tabla1[[#This Row],[Precio Lista CDR]]</f>
        <v>0.72116843606417591</v>
      </c>
      <c r="M563" s="12">
        <f>(Tabla1[[#This Row],[Lista 1 (20%)]]-Tabla1[[#This Row],[PrecioFábrica]])/Tabla1[[#This Row],[Lista 1 (20%)]]</f>
        <v>0.65146054508021989</v>
      </c>
      <c r="N563" s="12">
        <f>(Tabla1[[#This Row],[Lista 2 (30%)]]-Tabla1[[#This Row],[PrecioFábrica]])/Tabla1[[#This Row],[Lista 2 (30%)]]</f>
        <v>0.60166919437739408</v>
      </c>
      <c r="O563" s="12">
        <f>(Tabla1[[#This Row],[Lista 3 (40%)]]-Tabla1[[#This Row],[PrecioFábrica]])/Tabla1[[#This Row],[Lista 3 (40%)]]</f>
        <v>0.53528072677362648</v>
      </c>
    </row>
    <row r="564" spans="1:15">
      <c r="A564" t="s">
        <v>9</v>
      </c>
      <c r="B564" t="s">
        <v>573</v>
      </c>
      <c r="C564" t="s">
        <v>1375</v>
      </c>
      <c r="D564" t="s">
        <v>811</v>
      </c>
      <c r="E564" t="s">
        <v>5</v>
      </c>
      <c r="F564" s="3">
        <v>9.0750000000000011</v>
      </c>
      <c r="G564" s="10">
        <f>VLOOKUP(Tabla1[[#This Row],[Código Unificador]],PRECIOS_COMPETENCIA!B:D,3,FALSE)</f>
        <v>37.107025</v>
      </c>
      <c r="H564" s="10">
        <f>Tabla1[[#This Row],[PVP Competencia]]*0.98</f>
        <v>36.364884500000002</v>
      </c>
      <c r="I564" s="10">
        <f>Tabla1[[#This Row],[Precio Lista CDR]]*0.8</f>
        <v>29.091907600000003</v>
      </c>
      <c r="J564" s="10">
        <f>Tabla1[[#This Row],[Precio Lista CDR]]*0.7</f>
        <v>25.455419150000001</v>
      </c>
      <c r="K564" s="10">
        <f>Tabla1[[#This Row],[Precio Lista CDR]]*0.6</f>
        <v>21.818930699999999</v>
      </c>
      <c r="L564" s="12">
        <f>(Tabla1[[#This Row],[Precio Lista CDR]]-Tabla1[[#This Row],[PrecioFábrica]])/Tabla1[[#This Row],[Precio Lista CDR]]</f>
        <v>0.7504460656268549</v>
      </c>
      <c r="M564" s="12">
        <f>(Tabla1[[#This Row],[Lista 1 (20%)]]-Tabla1[[#This Row],[PrecioFábrica]])/Tabla1[[#This Row],[Lista 1 (20%)]]</f>
        <v>0.6880575820335687</v>
      </c>
      <c r="N564" s="12">
        <f>(Tabla1[[#This Row],[Lista 2 (30%)]]-Tabla1[[#This Row],[PrecioFábrica]])/Tabla1[[#This Row],[Lista 2 (30%)]]</f>
        <v>0.64349437946693566</v>
      </c>
      <c r="O564" s="12">
        <f>(Tabla1[[#This Row],[Lista 3 (40%)]]-Tabla1[[#This Row],[PrecioFábrica]])/Tabla1[[#This Row],[Lista 3 (40%)]]</f>
        <v>0.58407677604475816</v>
      </c>
    </row>
    <row r="565" spans="1:15">
      <c r="A565" t="s">
        <v>6</v>
      </c>
      <c r="B565" t="s">
        <v>574</v>
      </c>
      <c r="C565" t="s">
        <v>1376</v>
      </c>
      <c r="D565" t="s">
        <v>811</v>
      </c>
      <c r="E565" t="s">
        <v>5</v>
      </c>
      <c r="F565" s="3">
        <v>9.0083333333333346</v>
      </c>
      <c r="G565" s="10">
        <f>VLOOKUP(Tabla1[[#This Row],[Código Unificador]],PRECIOS_COMPETENCIA!B:D,3,FALSE)</f>
        <v>38.214100000000009</v>
      </c>
      <c r="H565" s="10">
        <f>Tabla1[[#This Row],[PVP Competencia]]*0.98</f>
        <v>37.449818000000008</v>
      </c>
      <c r="I565" s="10">
        <f>Tabla1[[#This Row],[Precio Lista CDR]]*0.8</f>
        <v>29.959854400000008</v>
      </c>
      <c r="J565" s="10">
        <f>Tabla1[[#This Row],[Precio Lista CDR]]*0.7</f>
        <v>26.214872600000003</v>
      </c>
      <c r="K565" s="10">
        <f>Tabla1[[#This Row],[Precio Lista CDR]]*0.6</f>
        <v>22.469890800000005</v>
      </c>
      <c r="L565" s="12">
        <f>(Tabla1[[#This Row],[Precio Lista CDR]]-Tabla1[[#This Row],[PrecioFábrica]])/Tabla1[[#This Row],[Precio Lista CDR]]</f>
        <v>0.75945588485013915</v>
      </c>
      <c r="M565" s="12">
        <f>(Tabla1[[#This Row],[Lista 1 (20%)]]-Tabla1[[#This Row],[PrecioFábrica]])/Tabla1[[#This Row],[Lista 1 (20%)]]</f>
        <v>0.69931985606267388</v>
      </c>
      <c r="N565" s="12">
        <f>(Tabla1[[#This Row],[Lista 2 (30%)]]-Tabla1[[#This Row],[PrecioFábrica]])/Tabla1[[#This Row],[Lista 2 (30%)]]</f>
        <v>0.65636554978591288</v>
      </c>
      <c r="O565" s="12">
        <f>(Tabla1[[#This Row],[Lista 3 (40%)]]-Tabla1[[#This Row],[PrecioFábrica]])/Tabla1[[#This Row],[Lista 3 (40%)]]</f>
        <v>0.59909314141689851</v>
      </c>
    </row>
    <row r="566" spans="1:15">
      <c r="A566" t="s">
        <v>9</v>
      </c>
      <c r="B566" t="s">
        <v>575</v>
      </c>
      <c r="C566" t="s">
        <v>1377</v>
      </c>
      <c r="D566" t="s">
        <v>811</v>
      </c>
      <c r="E566" t="s">
        <v>5</v>
      </c>
      <c r="F566" s="3">
        <v>10.375</v>
      </c>
      <c r="G566" s="10">
        <f>VLOOKUP(Tabla1[[#This Row],[Código Unificador]],PRECIOS_COMPETENCIA!B:D,3,FALSE)</f>
        <v>42.494500000000002</v>
      </c>
      <c r="H566" s="10">
        <f>Tabla1[[#This Row],[PVP Competencia]]*0.98</f>
        <v>41.64461</v>
      </c>
      <c r="I566" s="10">
        <f>Tabla1[[#This Row],[Precio Lista CDR]]*0.8</f>
        <v>33.315688000000002</v>
      </c>
      <c r="J566" s="10">
        <f>Tabla1[[#This Row],[Precio Lista CDR]]*0.7</f>
        <v>29.151226999999999</v>
      </c>
      <c r="K566" s="10">
        <f>Tabla1[[#This Row],[Precio Lista CDR]]*0.6</f>
        <v>24.986765999999999</v>
      </c>
      <c r="L566" s="12">
        <f>(Tabla1[[#This Row],[Precio Lista CDR]]-Tabla1[[#This Row],[PrecioFábrica]])/Tabla1[[#This Row],[Precio Lista CDR]]</f>
        <v>0.75086811954776378</v>
      </c>
      <c r="M566" s="12">
        <f>(Tabla1[[#This Row],[Lista 1 (20%)]]-Tabla1[[#This Row],[PrecioFábrica]])/Tabla1[[#This Row],[Lista 1 (20%)]]</f>
        <v>0.68858514943470472</v>
      </c>
      <c r="N566" s="12">
        <f>(Tabla1[[#This Row],[Lista 2 (30%)]]-Tabla1[[#This Row],[PrecioFábrica]])/Tabla1[[#This Row],[Lista 2 (30%)]]</f>
        <v>0.64409731363966261</v>
      </c>
      <c r="O566" s="12">
        <f>(Tabla1[[#This Row],[Lista 3 (40%)]]-Tabla1[[#This Row],[PrecioFábrica]])/Tabla1[[#This Row],[Lista 3 (40%)]]</f>
        <v>0.584780199246273</v>
      </c>
    </row>
    <row r="567" spans="1:15">
      <c r="A567" t="s">
        <v>9</v>
      </c>
      <c r="B567" t="s">
        <v>576</v>
      </c>
      <c r="C567" t="s">
        <v>1378</v>
      </c>
      <c r="D567" t="s">
        <v>811</v>
      </c>
      <c r="E567" t="s">
        <v>5</v>
      </c>
      <c r="F567" s="3">
        <v>10.933333333333334</v>
      </c>
      <c r="G567" s="10">
        <f>VLOOKUP(Tabla1[[#This Row],[Código Unificador]],PRECIOS_COMPETENCIA!B:D,3,FALSE)</f>
        <v>42.97493333333334</v>
      </c>
      <c r="H567" s="10">
        <f>Tabla1[[#This Row],[PVP Competencia]]*0.98</f>
        <v>42.115434666666673</v>
      </c>
      <c r="I567" s="10">
        <f>Tabla1[[#This Row],[Precio Lista CDR]]*0.8</f>
        <v>33.692347733333342</v>
      </c>
      <c r="J567" s="10">
        <f>Tabla1[[#This Row],[Precio Lista CDR]]*0.7</f>
        <v>29.48080426666667</v>
      </c>
      <c r="K567" s="10">
        <f>Tabla1[[#This Row],[Precio Lista CDR]]*0.6</f>
        <v>25.269260800000001</v>
      </c>
      <c r="L567" s="12">
        <f>(Tabla1[[#This Row],[Precio Lista CDR]]-Tabla1[[#This Row],[PrecioFábrica]])/Tabla1[[#This Row],[Precio Lista CDR]]</f>
        <v>0.74039604672567239</v>
      </c>
      <c r="M567" s="12">
        <f>(Tabla1[[#This Row],[Lista 1 (20%)]]-Tabla1[[#This Row],[PrecioFábrica]])/Tabla1[[#This Row],[Lista 1 (20%)]]</f>
        <v>0.67549505840709045</v>
      </c>
      <c r="N567" s="12">
        <f>(Tabla1[[#This Row],[Lista 2 (30%)]]-Tabla1[[#This Row],[PrecioFábrica]])/Tabla1[[#This Row],[Lista 2 (30%)]]</f>
        <v>0.62913720960810338</v>
      </c>
      <c r="O567" s="12">
        <f>(Tabla1[[#This Row],[Lista 3 (40%)]]-Tabla1[[#This Row],[PrecioFábrica]])/Tabla1[[#This Row],[Lista 3 (40%)]]</f>
        <v>0.5673267445427872</v>
      </c>
    </row>
    <row r="568" spans="1:15">
      <c r="A568" t="s">
        <v>6</v>
      </c>
      <c r="B568" t="s">
        <v>577</v>
      </c>
      <c r="C568" t="s">
        <v>1379</v>
      </c>
      <c r="D568" t="s">
        <v>811</v>
      </c>
      <c r="E568" t="s">
        <v>5</v>
      </c>
      <c r="F568" s="3">
        <v>13.841666666666667</v>
      </c>
      <c r="G568" s="10">
        <f>VLOOKUP(Tabla1[[#This Row],[Código Unificador]],PRECIOS_COMPETENCIA!B:D,3,FALSE)</f>
        <v>51.74646666666667</v>
      </c>
      <c r="H568" s="10">
        <f>Tabla1[[#This Row],[PVP Competencia]]*0.98</f>
        <v>50.711537333333332</v>
      </c>
      <c r="I568" s="10">
        <f>Tabla1[[#This Row],[Precio Lista CDR]]*0.8</f>
        <v>40.569229866666667</v>
      </c>
      <c r="J568" s="10">
        <f>Tabla1[[#This Row],[Precio Lista CDR]]*0.7</f>
        <v>35.498076133333328</v>
      </c>
      <c r="K568" s="10">
        <f>Tabla1[[#This Row],[Precio Lista CDR]]*0.6</f>
        <v>30.426922399999999</v>
      </c>
      <c r="L568" s="12">
        <f>(Tabla1[[#This Row],[Precio Lista CDR]]-Tabla1[[#This Row],[PrecioFábrica]])/Tabla1[[#This Row],[Precio Lista CDR]]</f>
        <v>0.72705093565427437</v>
      </c>
      <c r="M568" s="12">
        <f>(Tabla1[[#This Row],[Lista 1 (20%)]]-Tabla1[[#This Row],[PrecioFábrica]])/Tabla1[[#This Row],[Lista 1 (20%)]]</f>
        <v>0.65881366956784293</v>
      </c>
      <c r="N568" s="12">
        <f>(Tabla1[[#This Row],[Lista 2 (30%)]]-Tabla1[[#This Row],[PrecioFábrica]])/Tabla1[[#This Row],[Lista 2 (30%)]]</f>
        <v>0.61007276522039189</v>
      </c>
      <c r="O568" s="12">
        <f>(Tabla1[[#This Row],[Lista 3 (40%)]]-Tabla1[[#This Row],[PrecioFábrica]])/Tabla1[[#This Row],[Lista 3 (40%)]]</f>
        <v>0.54508489275712402</v>
      </c>
    </row>
    <row r="569" spans="1:15">
      <c r="A569" t="s">
        <v>6</v>
      </c>
      <c r="B569" t="s">
        <v>578</v>
      </c>
      <c r="C569" t="s">
        <v>1380</v>
      </c>
      <c r="D569" t="s">
        <v>811</v>
      </c>
      <c r="E569" t="s">
        <v>5</v>
      </c>
      <c r="F569" s="3">
        <v>16.033333333333331</v>
      </c>
      <c r="G569" s="10">
        <f>VLOOKUP(Tabla1[[#This Row],[Código Unificador]],PRECIOS_COMPETENCIA!B:D,3,FALSE)</f>
        <v>60.2164</v>
      </c>
      <c r="H569" s="10">
        <f>Tabla1[[#This Row],[PVP Competencia]]*0.98</f>
        <v>59.012071999999996</v>
      </c>
      <c r="I569" s="10">
        <f>Tabla1[[#This Row],[Precio Lista CDR]]*0.8</f>
        <v>47.2096576</v>
      </c>
      <c r="J569" s="10">
        <f>Tabla1[[#This Row],[Precio Lista CDR]]*0.7</f>
        <v>41.308450399999998</v>
      </c>
      <c r="K569" s="10">
        <f>Tabla1[[#This Row],[Precio Lista CDR]]*0.6</f>
        <v>35.407243199999996</v>
      </c>
      <c r="L569" s="12">
        <f>(Tabla1[[#This Row],[Precio Lista CDR]]-Tabla1[[#This Row],[PrecioFábrica]])/Tabla1[[#This Row],[Precio Lista CDR]]</f>
        <v>0.7283041792985453</v>
      </c>
      <c r="M569" s="12">
        <f>(Tabla1[[#This Row],[Lista 1 (20%)]]-Tabla1[[#This Row],[PrecioFábrica]])/Tabla1[[#This Row],[Lista 1 (20%)]]</f>
        <v>0.66038022412318176</v>
      </c>
      <c r="N569" s="12">
        <f>(Tabla1[[#This Row],[Lista 2 (30%)]]-Tabla1[[#This Row],[PrecioFábrica]])/Tabla1[[#This Row],[Lista 2 (30%)]]</f>
        <v>0.61186311328363618</v>
      </c>
      <c r="O569" s="12">
        <f>(Tabla1[[#This Row],[Lista 3 (40%)]]-Tabla1[[#This Row],[PrecioFábrica]])/Tabla1[[#This Row],[Lista 3 (40%)]]</f>
        <v>0.5471736321642422</v>
      </c>
    </row>
    <row r="570" spans="1:15">
      <c r="A570" t="s">
        <v>9</v>
      </c>
      <c r="B570" t="s">
        <v>579</v>
      </c>
      <c r="C570" t="s">
        <v>1381</v>
      </c>
      <c r="D570" t="s">
        <v>811</v>
      </c>
      <c r="E570" t="s">
        <v>5</v>
      </c>
      <c r="F570" s="3">
        <v>17.816666666666666</v>
      </c>
      <c r="G570" s="10">
        <f>VLOOKUP(Tabla1[[#This Row],[Código Unificador]],PRECIOS_COMPETENCIA!B:D,3,FALSE)</f>
        <v>65.8018</v>
      </c>
      <c r="H570" s="10">
        <f>Tabla1[[#This Row],[PVP Competencia]]*0.98</f>
        <v>64.485764000000003</v>
      </c>
      <c r="I570" s="10">
        <f>Tabla1[[#This Row],[Precio Lista CDR]]*0.8</f>
        <v>51.588611200000003</v>
      </c>
      <c r="J570" s="10">
        <f>Tabla1[[#This Row],[Precio Lista CDR]]*0.7</f>
        <v>45.140034800000002</v>
      </c>
      <c r="K570" s="10">
        <f>Tabla1[[#This Row],[Precio Lista CDR]]*0.6</f>
        <v>38.691458400000002</v>
      </c>
      <c r="L570" s="12">
        <f>(Tabla1[[#This Row],[Precio Lista CDR]]-Tabla1[[#This Row],[PrecioFábrica]])/Tabla1[[#This Row],[Precio Lista CDR]]</f>
        <v>0.72371162933470612</v>
      </c>
      <c r="M570" s="12">
        <f>(Tabla1[[#This Row],[Lista 1 (20%)]]-Tabla1[[#This Row],[PrecioFábrica]])/Tabla1[[#This Row],[Lista 1 (20%)]]</f>
        <v>0.6546395366683827</v>
      </c>
      <c r="N570" s="12">
        <f>(Tabla1[[#This Row],[Lista 2 (30%)]]-Tabla1[[#This Row],[PrecioFábrica]])/Tabla1[[#This Row],[Lista 2 (30%)]]</f>
        <v>0.60530232762100866</v>
      </c>
      <c r="O570" s="12">
        <f>(Tabla1[[#This Row],[Lista 3 (40%)]]-Tabla1[[#This Row],[PrecioFábrica]])/Tabla1[[#This Row],[Lista 3 (40%)]]</f>
        <v>0.53951938222451012</v>
      </c>
    </row>
    <row r="571" spans="1:15">
      <c r="A571" t="s">
        <v>6</v>
      </c>
      <c r="B571" t="s">
        <v>580</v>
      </c>
      <c r="C571" t="s">
        <v>1382</v>
      </c>
      <c r="D571" t="s">
        <v>811</v>
      </c>
      <c r="E571" t="s">
        <v>5</v>
      </c>
      <c r="F571" s="3">
        <v>11.508333333333335</v>
      </c>
      <c r="G571" s="10">
        <f>VLOOKUP(Tabla1[[#This Row],[Código Unificador]],PRECIOS_COMPETENCIA!B:D,3,FALSE)</f>
        <v>46.044100000000007</v>
      </c>
      <c r="H571" s="10">
        <f>Tabla1[[#This Row],[PVP Competencia]]*0.98</f>
        <v>45.123218000000008</v>
      </c>
      <c r="I571" s="10">
        <f>Tabla1[[#This Row],[Precio Lista CDR]]*0.8</f>
        <v>36.098574400000011</v>
      </c>
      <c r="J571" s="10">
        <f>Tabla1[[#This Row],[Precio Lista CDR]]*0.7</f>
        <v>31.586252600000005</v>
      </c>
      <c r="K571" s="10">
        <f>Tabla1[[#This Row],[Precio Lista CDR]]*0.6</f>
        <v>27.073930800000003</v>
      </c>
      <c r="L571" s="12">
        <f>(Tabla1[[#This Row],[Precio Lista CDR]]-Tabla1[[#This Row],[PrecioFábrica]])/Tabla1[[#This Row],[Precio Lista CDR]]</f>
        <v>0.74495761066213562</v>
      </c>
      <c r="M571" s="12">
        <f>(Tabla1[[#This Row],[Lista 1 (20%)]]-Tabla1[[#This Row],[PrecioFábrica]])/Tabla1[[#This Row],[Lista 1 (20%)]]</f>
        <v>0.68119701332766958</v>
      </c>
      <c r="N571" s="12">
        <f>(Tabla1[[#This Row],[Lista 2 (30%)]]-Tabla1[[#This Row],[PrecioFábrica]])/Tabla1[[#This Row],[Lista 2 (30%)]]</f>
        <v>0.63565372951733645</v>
      </c>
      <c r="O571" s="12">
        <f>(Tabla1[[#This Row],[Lista 3 (40%)]]-Tabla1[[#This Row],[PrecioFábrica]])/Tabla1[[#This Row],[Lista 3 (40%)]]</f>
        <v>0.57492935110355925</v>
      </c>
    </row>
    <row r="572" spans="1:15">
      <c r="A572" t="s">
        <v>6</v>
      </c>
      <c r="B572" t="s">
        <v>581</v>
      </c>
      <c r="C572" t="s">
        <v>1383</v>
      </c>
      <c r="D572" t="s">
        <v>811</v>
      </c>
      <c r="E572" t="s">
        <v>5</v>
      </c>
      <c r="F572" s="3">
        <v>12.191666666666668</v>
      </c>
      <c r="G572" s="10">
        <f>VLOOKUP(Tabla1[[#This Row],[Código Unificador]],PRECIOS_COMPETENCIA!B:D,3,FALSE)</f>
        <v>47.123625000000011</v>
      </c>
      <c r="H572" s="10">
        <f>Tabla1[[#This Row],[PVP Competencia]]*0.98</f>
        <v>46.18115250000001</v>
      </c>
      <c r="I572" s="10">
        <f>Tabla1[[#This Row],[Precio Lista CDR]]*0.8</f>
        <v>36.944922000000012</v>
      </c>
      <c r="J572" s="10">
        <f>Tabla1[[#This Row],[Precio Lista CDR]]*0.7</f>
        <v>32.326806750000003</v>
      </c>
      <c r="K572" s="10">
        <f>Tabla1[[#This Row],[Precio Lista CDR]]*0.6</f>
        <v>27.708691500000004</v>
      </c>
      <c r="L572" s="12">
        <f>(Tabla1[[#This Row],[Precio Lista CDR]]-Tabla1[[#This Row],[PrecioFábrica]])/Tabla1[[#This Row],[Precio Lista CDR]]</f>
        <v>0.73600341250325729</v>
      </c>
      <c r="M572" s="12">
        <f>(Tabla1[[#This Row],[Lista 1 (20%)]]-Tabla1[[#This Row],[PrecioFábrica]])/Tabla1[[#This Row],[Lista 1 (20%)]]</f>
        <v>0.67000426562907167</v>
      </c>
      <c r="N572" s="12">
        <f>(Tabla1[[#This Row],[Lista 2 (30%)]]-Tabla1[[#This Row],[PrecioFábrica]])/Tabla1[[#This Row],[Lista 2 (30%)]]</f>
        <v>0.62286201786179607</v>
      </c>
      <c r="O572" s="12">
        <f>(Tabla1[[#This Row],[Lista 3 (40%)]]-Tabla1[[#This Row],[PrecioFábrica]])/Tabla1[[#This Row],[Lista 3 (40%)]]</f>
        <v>0.5600056875054289</v>
      </c>
    </row>
    <row r="573" spans="1:15">
      <c r="A573" t="s">
        <v>9</v>
      </c>
      <c r="B573" t="s">
        <v>582</v>
      </c>
      <c r="C573" t="s">
        <v>1384</v>
      </c>
      <c r="D573" t="s">
        <v>811</v>
      </c>
      <c r="E573" t="s">
        <v>5</v>
      </c>
      <c r="F573" s="3">
        <v>16.600000000000001</v>
      </c>
      <c r="G573" s="10">
        <f>VLOOKUP(Tabla1[[#This Row],[Código Unificador]],PRECIOS_COMPETENCIA!B:D,3,FALSE)</f>
        <v>61.509800000000006</v>
      </c>
      <c r="H573" s="10">
        <f>Tabla1[[#This Row],[PVP Competencia]]*0.98</f>
        <v>60.279604000000006</v>
      </c>
      <c r="I573" s="10">
        <f>Tabla1[[#This Row],[Precio Lista CDR]]*0.8</f>
        <v>48.223683200000011</v>
      </c>
      <c r="J573" s="10">
        <f>Tabla1[[#This Row],[Precio Lista CDR]]*0.7</f>
        <v>42.195722799999999</v>
      </c>
      <c r="K573" s="10">
        <f>Tabla1[[#This Row],[Precio Lista CDR]]*0.6</f>
        <v>36.167762400000001</v>
      </c>
      <c r="L573" s="12">
        <f>(Tabla1[[#This Row],[Precio Lista CDR]]-Tabla1[[#This Row],[PrecioFábrica]])/Tabla1[[#This Row],[Precio Lista CDR]]</f>
        <v>0.72461663815840593</v>
      </c>
      <c r="M573" s="12">
        <f>(Tabla1[[#This Row],[Lista 1 (20%)]]-Tabla1[[#This Row],[PrecioFábrica]])/Tabla1[[#This Row],[Lista 1 (20%)]]</f>
        <v>0.6557707976980075</v>
      </c>
      <c r="N573" s="12">
        <f>(Tabla1[[#This Row],[Lista 2 (30%)]]-Tabla1[[#This Row],[PrecioFábrica]])/Tabla1[[#This Row],[Lista 2 (30%)]]</f>
        <v>0.60659519736915135</v>
      </c>
      <c r="O573" s="12">
        <f>(Tabla1[[#This Row],[Lista 3 (40%)]]-Tabla1[[#This Row],[PrecioFábrica]])/Tabla1[[#This Row],[Lista 3 (40%)]]</f>
        <v>0.54102773026400985</v>
      </c>
    </row>
    <row r="574" spans="1:15">
      <c r="A574" t="s">
        <v>9</v>
      </c>
      <c r="B574" t="s">
        <v>583</v>
      </c>
      <c r="C574" t="s">
        <v>1385</v>
      </c>
      <c r="D574" t="s">
        <v>811</v>
      </c>
      <c r="E574" t="s">
        <v>5</v>
      </c>
      <c r="F574" s="3">
        <v>26.25</v>
      </c>
      <c r="G574" s="10">
        <f>VLOOKUP(Tabla1[[#This Row],[Código Unificador]],PRECIOS_COMPETENCIA!B:D,3,FALSE)</f>
        <v>97.647500000000008</v>
      </c>
      <c r="H574" s="10">
        <f>Tabla1[[#This Row],[PVP Competencia]]*0.98</f>
        <v>95.694550000000007</v>
      </c>
      <c r="I574" s="10">
        <f>Tabla1[[#This Row],[Precio Lista CDR]]*0.8</f>
        <v>76.555640000000011</v>
      </c>
      <c r="J574" s="10">
        <f>Tabla1[[#This Row],[Precio Lista CDR]]*0.7</f>
        <v>66.986185000000006</v>
      </c>
      <c r="K574" s="10">
        <f>Tabla1[[#This Row],[Precio Lista CDR]]*0.6</f>
        <v>57.416730000000001</v>
      </c>
      <c r="L574" s="12">
        <f>(Tabla1[[#This Row],[Precio Lista CDR]]-Tabla1[[#This Row],[PrecioFábrica]])/Tabla1[[#This Row],[Precio Lista CDR]]</f>
        <v>0.72568970751207884</v>
      </c>
      <c r="M574" s="12">
        <f>(Tabla1[[#This Row],[Lista 1 (20%)]]-Tabla1[[#This Row],[PrecioFábrica]])/Tabla1[[#This Row],[Lista 1 (20%)]]</f>
        <v>0.65711213439009852</v>
      </c>
      <c r="N574" s="12">
        <f>(Tabla1[[#This Row],[Lista 2 (30%)]]-Tabla1[[#This Row],[PrecioFábrica]])/Tabla1[[#This Row],[Lista 2 (30%)]]</f>
        <v>0.608128153588684</v>
      </c>
      <c r="O574" s="12">
        <f>(Tabla1[[#This Row],[Lista 3 (40%)]]-Tabla1[[#This Row],[PrecioFábrica]])/Tabla1[[#This Row],[Lista 3 (40%)]]</f>
        <v>0.54281617918679803</v>
      </c>
    </row>
    <row r="575" spans="1:15">
      <c r="A575" t="s">
        <v>7</v>
      </c>
      <c r="B575" t="s">
        <v>584</v>
      </c>
      <c r="C575" t="s">
        <v>1386</v>
      </c>
      <c r="D575" t="s">
        <v>811</v>
      </c>
      <c r="E575" t="s">
        <v>5</v>
      </c>
      <c r="F575" s="3">
        <v>9.6750000000000007</v>
      </c>
      <c r="G575" s="10">
        <f>VLOOKUP(Tabla1[[#This Row],[Código Unificador]],PRECIOS_COMPETENCIA!B:D,3,FALSE)</f>
        <v>40.30210000000001</v>
      </c>
      <c r="H575" s="10">
        <f>Tabla1[[#This Row],[PVP Competencia]]*0.98</f>
        <v>39.496058000000012</v>
      </c>
      <c r="I575" s="10">
        <f>Tabla1[[#This Row],[Precio Lista CDR]]*0.8</f>
        <v>31.596846400000011</v>
      </c>
      <c r="J575" s="10">
        <f>Tabla1[[#This Row],[Precio Lista CDR]]*0.7</f>
        <v>27.647240600000007</v>
      </c>
      <c r="K575" s="10">
        <f>Tabla1[[#This Row],[Precio Lista CDR]]*0.6</f>
        <v>23.697634800000007</v>
      </c>
      <c r="L575" s="12">
        <f>(Tabla1[[#This Row],[Precio Lista CDR]]-Tabla1[[#This Row],[PrecioFábrica]])/Tabla1[[#This Row],[Precio Lista CDR]]</f>
        <v>0.75503884463609006</v>
      </c>
      <c r="M575" s="12">
        <f>(Tabla1[[#This Row],[Lista 1 (20%)]]-Tabla1[[#This Row],[PrecioFábrica]])/Tabla1[[#This Row],[Lista 1 (20%)]]</f>
        <v>0.69379855579511263</v>
      </c>
      <c r="N575" s="12">
        <f>(Tabla1[[#This Row],[Lista 2 (30%)]]-Tabla1[[#This Row],[PrecioFábrica]])/Tabla1[[#This Row],[Lista 2 (30%)]]</f>
        <v>0.65005549233727156</v>
      </c>
      <c r="O575" s="12">
        <f>(Tabla1[[#This Row],[Lista 3 (40%)]]-Tabla1[[#This Row],[PrecioFábrica]])/Tabla1[[#This Row],[Lista 3 (40%)]]</f>
        <v>0.59173140772681676</v>
      </c>
    </row>
    <row r="576" spans="1:15">
      <c r="A576" t="s">
        <v>9</v>
      </c>
      <c r="B576" t="s">
        <v>585</v>
      </c>
      <c r="C576" t="s">
        <v>1387</v>
      </c>
      <c r="D576" t="s">
        <v>811</v>
      </c>
      <c r="E576" t="s">
        <v>5</v>
      </c>
      <c r="F576" s="3">
        <v>12.733333333333333</v>
      </c>
      <c r="G576" s="10">
        <f>VLOOKUP(Tabla1[[#This Row],[Código Unificador]],PRECIOS_COMPETENCIA!B:D,3,FALSE)</f>
        <v>49.51153333333334</v>
      </c>
      <c r="H576" s="10">
        <f>Tabla1[[#This Row],[PVP Competencia]]*0.98</f>
        <v>48.521302666666671</v>
      </c>
      <c r="I576" s="10">
        <f>Tabla1[[#This Row],[Precio Lista CDR]]*0.8</f>
        <v>38.817042133333338</v>
      </c>
      <c r="J576" s="10">
        <f>Tabla1[[#This Row],[Precio Lista CDR]]*0.7</f>
        <v>33.964911866666668</v>
      </c>
      <c r="K576" s="10">
        <f>Tabla1[[#This Row],[Precio Lista CDR]]*0.6</f>
        <v>29.112781600000002</v>
      </c>
      <c r="L576" s="12">
        <f>(Tabla1[[#This Row],[Precio Lista CDR]]-Tabla1[[#This Row],[PrecioFábrica]])/Tabla1[[#This Row],[Precio Lista CDR]]</f>
        <v>0.73757231085057151</v>
      </c>
      <c r="M576" s="12">
        <f>(Tabla1[[#This Row],[Lista 1 (20%)]]-Tabla1[[#This Row],[PrecioFábrica]])/Tabla1[[#This Row],[Lista 1 (20%)]]</f>
        <v>0.67196538856321442</v>
      </c>
      <c r="N576" s="12">
        <f>(Tabla1[[#This Row],[Lista 2 (30%)]]-Tabla1[[#This Row],[PrecioFábrica]])/Tabla1[[#This Row],[Lista 2 (30%)]]</f>
        <v>0.62510330121510216</v>
      </c>
      <c r="O576" s="12">
        <f>(Tabla1[[#This Row],[Lista 3 (40%)]]-Tabla1[[#This Row],[PrecioFábrica]])/Tabla1[[#This Row],[Lista 3 (40%)]]</f>
        <v>0.56262051808428604</v>
      </c>
    </row>
    <row r="577" spans="1:15">
      <c r="A577" t="s">
        <v>6</v>
      </c>
      <c r="B577" t="s">
        <v>586</v>
      </c>
      <c r="C577" t="s">
        <v>1388</v>
      </c>
      <c r="D577" t="s">
        <v>811</v>
      </c>
      <c r="E577" t="s">
        <v>5</v>
      </c>
      <c r="F577" s="3">
        <v>7.9416666666666682</v>
      </c>
      <c r="G577" s="10">
        <f>VLOOKUP(Tabla1[[#This Row],[Código Unificador]],PRECIOS_COMPETENCIA!B:D,3,FALSE)</f>
        <v>34.873300000000008</v>
      </c>
      <c r="H577" s="10">
        <f>Tabla1[[#This Row],[PVP Competencia]]*0.98</f>
        <v>34.175834000000009</v>
      </c>
      <c r="I577" s="10">
        <f>Tabla1[[#This Row],[Precio Lista CDR]]*0.8</f>
        <v>27.340667200000009</v>
      </c>
      <c r="J577" s="10">
        <f>Tabla1[[#This Row],[Precio Lista CDR]]*0.7</f>
        <v>23.923083800000004</v>
      </c>
      <c r="K577" s="10">
        <f>Tabla1[[#This Row],[Precio Lista CDR]]*0.6</f>
        <v>20.505500400000006</v>
      </c>
      <c r="L577" s="12">
        <f>(Tabla1[[#This Row],[Precio Lista CDR]]-Tabla1[[#This Row],[PrecioFábrica]])/Tabla1[[#This Row],[Precio Lista CDR]]</f>
        <v>0.76762332510549214</v>
      </c>
      <c r="M577" s="12">
        <f>(Tabla1[[#This Row],[Lista 1 (20%)]]-Tabla1[[#This Row],[PrecioFábrica]])/Tabla1[[#This Row],[Lista 1 (20%)]]</f>
        <v>0.70952915638186531</v>
      </c>
      <c r="N577" s="12">
        <f>(Tabla1[[#This Row],[Lista 2 (30%)]]-Tabla1[[#This Row],[PrecioFábrica]])/Tabla1[[#This Row],[Lista 2 (30%)]]</f>
        <v>0.66803332157927453</v>
      </c>
      <c r="O577" s="12">
        <f>(Tabla1[[#This Row],[Lista 3 (40%)]]-Tabla1[[#This Row],[PrecioFábrica]])/Tabla1[[#This Row],[Lista 3 (40%)]]</f>
        <v>0.61270554184248704</v>
      </c>
    </row>
    <row r="578" spans="1:15">
      <c r="A578" t="s">
        <v>6</v>
      </c>
      <c r="B578" t="s">
        <v>587</v>
      </c>
      <c r="C578" t="s">
        <v>1389</v>
      </c>
      <c r="D578" t="s">
        <v>811</v>
      </c>
      <c r="E578" t="s">
        <v>5</v>
      </c>
      <c r="F578" s="3">
        <v>4.1333333333333337</v>
      </c>
      <c r="G578" s="10">
        <f>VLOOKUP(Tabla1[[#This Row],[Código Unificador]],PRECIOS_COMPETENCIA!B:D,3,FALSE)</f>
        <v>22.466133333333335</v>
      </c>
      <c r="H578" s="10">
        <f>Tabla1[[#This Row],[PVP Competencia]]*0.98</f>
        <v>22.016810666666668</v>
      </c>
      <c r="I578" s="10">
        <f>Tabla1[[#This Row],[Precio Lista CDR]]*0.8</f>
        <v>17.613448533333337</v>
      </c>
      <c r="J578" s="10">
        <f>Tabla1[[#This Row],[Precio Lista CDR]]*0.7</f>
        <v>15.411767466666667</v>
      </c>
      <c r="K578" s="10">
        <f>Tabla1[[#This Row],[Precio Lista CDR]]*0.6</f>
        <v>13.2100864</v>
      </c>
      <c r="L578" s="12">
        <f>(Tabla1[[#This Row],[Precio Lista CDR]]-Tabla1[[#This Row],[PrecioFábrica]])/Tabla1[[#This Row],[Precio Lista CDR]]</f>
        <v>0.81226466467320002</v>
      </c>
      <c r="M578" s="12">
        <f>(Tabla1[[#This Row],[Lista 1 (20%)]]-Tabla1[[#This Row],[PrecioFábrica]])/Tabla1[[#This Row],[Lista 1 (20%)]]</f>
        <v>0.76533083084150011</v>
      </c>
      <c r="N578" s="12">
        <f>(Tabla1[[#This Row],[Lista 2 (30%)]]-Tabla1[[#This Row],[PrecioFábrica]])/Tabla1[[#This Row],[Lista 2 (30%)]]</f>
        <v>0.73180666381885717</v>
      </c>
      <c r="O578" s="12">
        <f>(Tabla1[[#This Row],[Lista 3 (40%)]]-Tabla1[[#This Row],[PrecioFábrica]])/Tabla1[[#This Row],[Lista 3 (40%)]]</f>
        <v>0.68710777445533322</v>
      </c>
    </row>
    <row r="579" spans="1:15">
      <c r="A579" t="s">
        <v>6</v>
      </c>
      <c r="B579" t="s">
        <v>588</v>
      </c>
      <c r="C579" t="s">
        <v>1390</v>
      </c>
      <c r="D579" t="s">
        <v>811</v>
      </c>
      <c r="E579" t="s">
        <v>5</v>
      </c>
      <c r="F579" s="3">
        <v>23.233333333333334</v>
      </c>
      <c r="G579" s="10">
        <f>VLOOKUP(Tabla1[[#This Row],[Código Unificador]],PRECIOS_COMPETENCIA!B:D,3,FALSE)</f>
        <v>88.72420000000001</v>
      </c>
      <c r="H579" s="10">
        <f>Tabla1[[#This Row],[PVP Competencia]]*0.98</f>
        <v>86.949716000000009</v>
      </c>
      <c r="I579" s="10">
        <f>Tabla1[[#This Row],[Precio Lista CDR]]*0.8</f>
        <v>69.559772800000005</v>
      </c>
      <c r="J579" s="10">
        <f>Tabla1[[#This Row],[Precio Lista CDR]]*0.7</f>
        <v>60.864801200000002</v>
      </c>
      <c r="K579" s="10">
        <f>Tabla1[[#This Row],[Precio Lista CDR]]*0.6</f>
        <v>52.169829600000007</v>
      </c>
      <c r="L579" s="12">
        <f>(Tabla1[[#This Row],[Precio Lista CDR]]-Tabla1[[#This Row],[PrecioFábrica]])/Tabla1[[#This Row],[Precio Lista CDR]]</f>
        <v>0.73279575365912253</v>
      </c>
      <c r="M579" s="12">
        <f>(Tabla1[[#This Row],[Lista 1 (20%)]]-Tabla1[[#This Row],[PrecioFábrica]])/Tabla1[[#This Row],[Lista 1 (20%)]]</f>
        <v>0.66599469207390316</v>
      </c>
      <c r="N579" s="12">
        <f>(Tabla1[[#This Row],[Lista 2 (30%)]]-Tabla1[[#This Row],[PrecioFábrica]])/Tabla1[[#This Row],[Lista 2 (30%)]]</f>
        <v>0.61827964808446079</v>
      </c>
      <c r="O579" s="12">
        <f>(Tabla1[[#This Row],[Lista 3 (40%)]]-Tabla1[[#This Row],[PrecioFábrica]])/Tabla1[[#This Row],[Lista 3 (40%)]]</f>
        <v>0.55465958943187099</v>
      </c>
    </row>
    <row r="580" spans="1:15">
      <c r="A580" t="s">
        <v>6</v>
      </c>
      <c r="B580" t="s">
        <v>589</v>
      </c>
      <c r="C580" t="s">
        <v>1391</v>
      </c>
      <c r="D580" t="s">
        <v>811</v>
      </c>
      <c r="E580" t="s">
        <v>5</v>
      </c>
      <c r="F580" s="3">
        <v>4.5250000000000004</v>
      </c>
      <c r="G580" s="10">
        <f>VLOOKUP(Tabla1[[#This Row],[Código Unificador]],PRECIOS_COMPETENCIA!B:D,3,FALSE)</f>
        <v>23.909850000000002</v>
      </c>
      <c r="H580" s="10">
        <f>Tabla1[[#This Row],[PVP Competencia]]*0.98</f>
        <v>23.431653000000001</v>
      </c>
      <c r="I580" s="10">
        <f>Tabla1[[#This Row],[Precio Lista CDR]]*0.8</f>
        <v>18.745322400000003</v>
      </c>
      <c r="J580" s="10">
        <f>Tabla1[[#This Row],[Precio Lista CDR]]*0.7</f>
        <v>16.4021571</v>
      </c>
      <c r="K580" s="10">
        <f>Tabla1[[#This Row],[Precio Lista CDR]]*0.6</f>
        <v>14.058991799999999</v>
      </c>
      <c r="L580" s="12">
        <f>(Tabla1[[#This Row],[Precio Lista CDR]]-Tabla1[[#This Row],[PrecioFábrica]])/Tabla1[[#This Row],[Precio Lista CDR]]</f>
        <v>0.80688515658711735</v>
      </c>
      <c r="M580" s="12">
        <f>(Tabla1[[#This Row],[Lista 1 (20%)]]-Tabla1[[#This Row],[PrecioFábrica]])/Tabla1[[#This Row],[Lista 1 (20%)]]</f>
        <v>0.75860644573389679</v>
      </c>
      <c r="N580" s="12">
        <f>(Tabla1[[#This Row],[Lista 2 (30%)]]-Tabla1[[#This Row],[PrecioFábrica]])/Tabla1[[#This Row],[Lista 2 (30%)]]</f>
        <v>0.72412165226731062</v>
      </c>
      <c r="O580" s="12">
        <f>(Tabla1[[#This Row],[Lista 3 (40%)]]-Tabla1[[#This Row],[PrecioFábrica]])/Tabla1[[#This Row],[Lista 3 (40%)]]</f>
        <v>0.67814192764519565</v>
      </c>
    </row>
    <row r="581" spans="1:15">
      <c r="A581" t="s">
        <v>7</v>
      </c>
      <c r="B581" t="s">
        <v>590</v>
      </c>
      <c r="C581" t="s">
        <v>1392</v>
      </c>
      <c r="D581" t="s">
        <v>811</v>
      </c>
      <c r="E581" t="s">
        <v>5</v>
      </c>
      <c r="F581" s="3">
        <v>17.466666666666669</v>
      </c>
      <c r="G581" s="10">
        <f>VLOOKUP(Tabla1[[#This Row],[Código Unificador]],PRECIOS_COMPETENCIA!B:D,3,FALSE)</f>
        <v>62.17293333333334</v>
      </c>
      <c r="H581" s="10">
        <f>Tabla1[[#This Row],[PVP Competencia]]*0.98</f>
        <v>60.929474666666671</v>
      </c>
      <c r="I581" s="10">
        <f>Tabla1[[#This Row],[Precio Lista CDR]]*0.8</f>
        <v>48.743579733333341</v>
      </c>
      <c r="J581" s="10">
        <f>Tabla1[[#This Row],[Precio Lista CDR]]*0.7</f>
        <v>42.650632266666669</v>
      </c>
      <c r="K581" s="10">
        <f>Tabla1[[#This Row],[Precio Lista CDR]]*0.6</f>
        <v>36.557684800000004</v>
      </c>
      <c r="L581" s="12">
        <f>(Tabla1[[#This Row],[Precio Lista CDR]]-Tabla1[[#This Row],[PrecioFábrica]])/Tabla1[[#This Row],[Precio Lista CDR]]</f>
        <v>0.7133297675349507</v>
      </c>
      <c r="M581" s="12">
        <f>(Tabla1[[#This Row],[Lista 1 (20%)]]-Tabla1[[#This Row],[PrecioFábrica]])/Tabla1[[#This Row],[Lista 1 (20%)]]</f>
        <v>0.64166220941868835</v>
      </c>
      <c r="N581" s="12">
        <f>(Tabla1[[#This Row],[Lista 2 (30%)]]-Tabla1[[#This Row],[PrecioFábrica]])/Tabla1[[#This Row],[Lista 2 (30%)]]</f>
        <v>0.59047109647850093</v>
      </c>
      <c r="O581" s="12">
        <f>(Tabla1[[#This Row],[Lista 3 (40%)]]-Tabla1[[#This Row],[PrecioFábrica]])/Tabla1[[#This Row],[Lista 3 (40%)]]</f>
        <v>0.52221627922491776</v>
      </c>
    </row>
    <row r="582" spans="1:15">
      <c r="A582" t="s">
        <v>6</v>
      </c>
      <c r="B582" t="s">
        <v>591</v>
      </c>
      <c r="C582" t="s">
        <v>1393</v>
      </c>
      <c r="D582" t="s">
        <v>811</v>
      </c>
      <c r="E582" t="s">
        <v>5</v>
      </c>
      <c r="F582" s="3">
        <v>5.7416666666666663</v>
      </c>
      <c r="G582" s="10">
        <f>VLOOKUP(Tabla1[[#This Row],[Código Unificador]],PRECIOS_COMPETENCIA!B:D,3,FALSE)</f>
        <v>27.150358333333333</v>
      </c>
      <c r="H582" s="10">
        <f>Tabla1[[#This Row],[PVP Competencia]]*0.98</f>
        <v>26.607351166666668</v>
      </c>
      <c r="I582" s="10">
        <f>Tabla1[[#This Row],[Precio Lista CDR]]*0.8</f>
        <v>21.285880933333335</v>
      </c>
      <c r="J582" s="10">
        <f>Tabla1[[#This Row],[Precio Lista CDR]]*0.7</f>
        <v>18.625145816666667</v>
      </c>
      <c r="K582" s="10">
        <f>Tabla1[[#This Row],[Precio Lista CDR]]*0.6</f>
        <v>15.9644107</v>
      </c>
      <c r="L582" s="12">
        <f>(Tabla1[[#This Row],[Precio Lista CDR]]-Tabla1[[#This Row],[PrecioFábrica]])/Tabla1[[#This Row],[Precio Lista CDR]]</f>
        <v>0.78420750601210731</v>
      </c>
      <c r="M582" s="12">
        <f>(Tabla1[[#This Row],[Lista 1 (20%)]]-Tabla1[[#This Row],[PrecioFábrica]])/Tabla1[[#This Row],[Lista 1 (20%)]]</f>
        <v>0.73025938251513411</v>
      </c>
      <c r="N582" s="12">
        <f>(Tabla1[[#This Row],[Lista 2 (30%)]]-Tabla1[[#This Row],[PrecioFábrica]])/Tabla1[[#This Row],[Lista 2 (30%)]]</f>
        <v>0.69172500858872465</v>
      </c>
      <c r="O582" s="12">
        <f>(Tabla1[[#This Row],[Lista 3 (40%)]]-Tabla1[[#This Row],[PrecioFábrica]])/Tabla1[[#This Row],[Lista 3 (40%)]]</f>
        <v>0.64034584335351219</v>
      </c>
    </row>
    <row r="583" spans="1:15">
      <c r="A583" t="s">
        <v>6</v>
      </c>
      <c r="B583" t="s">
        <v>592</v>
      </c>
      <c r="C583" t="s">
        <v>1394</v>
      </c>
      <c r="D583" t="s">
        <v>811</v>
      </c>
      <c r="E583" t="s">
        <v>5</v>
      </c>
      <c r="F583" s="3">
        <v>5.7416666666666663</v>
      </c>
      <c r="G583" s="10">
        <f>VLOOKUP(Tabla1[[#This Row],[Código Unificador]],PRECIOS_COMPETENCIA!B:D,3,FALSE)</f>
        <v>26.983849999999997</v>
      </c>
      <c r="H583" s="10">
        <f>Tabla1[[#This Row],[PVP Competencia]]*0.98</f>
        <v>26.444172999999996</v>
      </c>
      <c r="I583" s="10">
        <f>Tabla1[[#This Row],[Precio Lista CDR]]*0.8</f>
        <v>21.155338399999998</v>
      </c>
      <c r="J583" s="10">
        <f>Tabla1[[#This Row],[Precio Lista CDR]]*0.7</f>
        <v>18.510921099999997</v>
      </c>
      <c r="K583" s="10">
        <f>Tabla1[[#This Row],[Precio Lista CDR]]*0.6</f>
        <v>15.866503799999997</v>
      </c>
      <c r="L583" s="12">
        <f>(Tabla1[[#This Row],[Precio Lista CDR]]-Tabla1[[#This Row],[PrecioFábrica]])/Tabla1[[#This Row],[Precio Lista CDR]]</f>
        <v>0.78287592254570915</v>
      </c>
      <c r="M583" s="12">
        <f>(Tabla1[[#This Row],[Lista 1 (20%)]]-Tabla1[[#This Row],[PrecioFábrica]])/Tabla1[[#This Row],[Lista 1 (20%)]]</f>
        <v>0.72859490318213638</v>
      </c>
      <c r="N583" s="12">
        <f>(Tabla1[[#This Row],[Lista 2 (30%)]]-Tabla1[[#This Row],[PrecioFábrica]])/Tabla1[[#This Row],[Lista 2 (30%)]]</f>
        <v>0.6898227464938701</v>
      </c>
      <c r="O583" s="12">
        <f>(Tabla1[[#This Row],[Lista 3 (40%)]]-Tabla1[[#This Row],[PrecioFábrica]])/Tabla1[[#This Row],[Lista 3 (40%)]]</f>
        <v>0.63812653757618187</v>
      </c>
    </row>
    <row r="584" spans="1:15">
      <c r="A584" t="s">
        <v>6</v>
      </c>
      <c r="B584" t="s">
        <v>593</v>
      </c>
      <c r="C584" t="s">
        <v>1395</v>
      </c>
      <c r="D584" t="s">
        <v>811</v>
      </c>
      <c r="E584" t="s">
        <v>5</v>
      </c>
      <c r="F584" s="3">
        <v>5.7416666666666663</v>
      </c>
      <c r="G584" s="10">
        <f>VLOOKUP(Tabla1[[#This Row],[Código Unificador]],PRECIOS_COMPETENCIA!B:D,3,FALSE)</f>
        <v>26.983849999999997</v>
      </c>
      <c r="H584" s="10">
        <f>Tabla1[[#This Row],[PVP Competencia]]*0.98</f>
        <v>26.444172999999996</v>
      </c>
      <c r="I584" s="10">
        <f>Tabla1[[#This Row],[Precio Lista CDR]]*0.8</f>
        <v>21.155338399999998</v>
      </c>
      <c r="J584" s="10">
        <f>Tabla1[[#This Row],[Precio Lista CDR]]*0.7</f>
        <v>18.510921099999997</v>
      </c>
      <c r="K584" s="10">
        <f>Tabla1[[#This Row],[Precio Lista CDR]]*0.6</f>
        <v>15.866503799999997</v>
      </c>
      <c r="L584" s="12">
        <f>(Tabla1[[#This Row],[Precio Lista CDR]]-Tabla1[[#This Row],[PrecioFábrica]])/Tabla1[[#This Row],[Precio Lista CDR]]</f>
        <v>0.78287592254570915</v>
      </c>
      <c r="M584" s="12">
        <f>(Tabla1[[#This Row],[Lista 1 (20%)]]-Tabla1[[#This Row],[PrecioFábrica]])/Tabla1[[#This Row],[Lista 1 (20%)]]</f>
        <v>0.72859490318213638</v>
      </c>
      <c r="N584" s="12">
        <f>(Tabla1[[#This Row],[Lista 2 (30%)]]-Tabla1[[#This Row],[PrecioFábrica]])/Tabla1[[#This Row],[Lista 2 (30%)]]</f>
        <v>0.6898227464938701</v>
      </c>
      <c r="O584" s="12">
        <f>(Tabla1[[#This Row],[Lista 3 (40%)]]-Tabla1[[#This Row],[PrecioFábrica]])/Tabla1[[#This Row],[Lista 3 (40%)]]</f>
        <v>0.63812653757618187</v>
      </c>
    </row>
    <row r="585" spans="1:15">
      <c r="A585" t="s">
        <v>6</v>
      </c>
      <c r="B585" t="s">
        <v>594</v>
      </c>
      <c r="C585" t="s">
        <v>1396</v>
      </c>
      <c r="D585" t="s">
        <v>811</v>
      </c>
      <c r="E585" t="s">
        <v>8</v>
      </c>
      <c r="F585" s="3">
        <v>5.7416666666666663</v>
      </c>
      <c r="G585" s="10">
        <f>VLOOKUP(Tabla1[[#This Row],[Código Unificador]],PRECIOS_COMPETENCIA!B:D,3,FALSE)</f>
        <v>27.150358333333333</v>
      </c>
      <c r="H585" s="10">
        <f>Tabla1[[#This Row],[PVP Competencia]]*0.98</f>
        <v>26.607351166666668</v>
      </c>
      <c r="I585" s="10">
        <f>Tabla1[[#This Row],[Precio Lista CDR]]*0.8</f>
        <v>21.285880933333335</v>
      </c>
      <c r="J585" s="10">
        <f>Tabla1[[#This Row],[Precio Lista CDR]]*0.7</f>
        <v>18.625145816666667</v>
      </c>
      <c r="K585" s="10">
        <f>Tabla1[[#This Row],[Precio Lista CDR]]*0.6</f>
        <v>15.9644107</v>
      </c>
      <c r="L585" s="12">
        <f>(Tabla1[[#This Row],[Precio Lista CDR]]-Tabla1[[#This Row],[PrecioFábrica]])/Tabla1[[#This Row],[Precio Lista CDR]]</f>
        <v>0.78420750601210731</v>
      </c>
      <c r="M585" s="12">
        <f>(Tabla1[[#This Row],[Lista 1 (20%)]]-Tabla1[[#This Row],[PrecioFábrica]])/Tabla1[[#This Row],[Lista 1 (20%)]]</f>
        <v>0.73025938251513411</v>
      </c>
      <c r="N585" s="12">
        <f>(Tabla1[[#This Row],[Lista 2 (30%)]]-Tabla1[[#This Row],[PrecioFábrica]])/Tabla1[[#This Row],[Lista 2 (30%)]]</f>
        <v>0.69172500858872465</v>
      </c>
      <c r="O585" s="12">
        <f>(Tabla1[[#This Row],[Lista 3 (40%)]]-Tabla1[[#This Row],[PrecioFábrica]])/Tabla1[[#This Row],[Lista 3 (40%)]]</f>
        <v>0.64034584335351219</v>
      </c>
    </row>
    <row r="586" spans="1:15">
      <c r="A586" t="s">
        <v>7</v>
      </c>
      <c r="B586" t="s">
        <v>595</v>
      </c>
      <c r="C586" t="s">
        <v>1397</v>
      </c>
      <c r="D586" t="s">
        <v>811</v>
      </c>
      <c r="E586" t="s">
        <v>5</v>
      </c>
      <c r="F586" s="3">
        <v>4.875</v>
      </c>
      <c r="G586" s="10">
        <f>VLOOKUP(Tabla1[[#This Row],[Código Unificador]],PRECIOS_COMPETENCIA!B:D,3,FALSE)</f>
        <v>24.561624999999999</v>
      </c>
      <c r="H586" s="10">
        <f>Tabla1[[#This Row],[PVP Competencia]]*0.98</f>
        <v>24.070392500000001</v>
      </c>
      <c r="I586" s="10">
        <f>Tabla1[[#This Row],[Precio Lista CDR]]*0.8</f>
        <v>19.256314000000003</v>
      </c>
      <c r="J586" s="10">
        <f>Tabla1[[#This Row],[Precio Lista CDR]]*0.7</f>
        <v>16.849274749999999</v>
      </c>
      <c r="K586" s="10">
        <f>Tabla1[[#This Row],[Precio Lista CDR]]*0.6</f>
        <v>14.442235499999999</v>
      </c>
      <c r="L586" s="12">
        <f>(Tabla1[[#This Row],[Precio Lista CDR]]-Tabla1[[#This Row],[PrecioFábrica]])/Tabla1[[#This Row],[Precio Lista CDR]]</f>
        <v>0.79746902756155724</v>
      </c>
      <c r="M586" s="12">
        <f>(Tabla1[[#This Row],[Lista 1 (20%)]]-Tabla1[[#This Row],[PrecioFábrica]])/Tabla1[[#This Row],[Lista 1 (20%)]]</f>
        <v>0.74683628445194661</v>
      </c>
      <c r="N586" s="12">
        <f>(Tabla1[[#This Row],[Lista 2 (30%)]]-Tabla1[[#This Row],[PrecioFábrica]])/Tabla1[[#This Row],[Lista 2 (30%)]]</f>
        <v>0.71067003937365314</v>
      </c>
      <c r="O586" s="12">
        <f>(Tabla1[[#This Row],[Lista 3 (40%)]]-Tabla1[[#This Row],[PrecioFábrica]])/Tabla1[[#This Row],[Lista 3 (40%)]]</f>
        <v>0.66244837926926203</v>
      </c>
    </row>
    <row r="587" spans="1:15">
      <c r="A587" t="s">
        <v>9</v>
      </c>
      <c r="B587" t="s">
        <v>596</v>
      </c>
      <c r="C587" t="s">
        <v>1398</v>
      </c>
      <c r="D587" t="s">
        <v>811</v>
      </c>
      <c r="E587" t="s">
        <v>5</v>
      </c>
      <c r="F587" s="3">
        <v>5.0166666666666666</v>
      </c>
      <c r="G587" s="10">
        <f>VLOOKUP(Tabla1[[#This Row],[Código Unificador]],PRECIOS_COMPETENCIA!B:D,3,FALSE)</f>
        <v>25.421233333333333</v>
      </c>
      <c r="H587" s="10">
        <f>Tabla1[[#This Row],[PVP Competencia]]*0.98</f>
        <v>24.912808666666667</v>
      </c>
      <c r="I587" s="10">
        <f>Tabla1[[#This Row],[Precio Lista CDR]]*0.8</f>
        <v>19.930246933333336</v>
      </c>
      <c r="J587" s="10">
        <f>Tabla1[[#This Row],[Precio Lista CDR]]*0.7</f>
        <v>17.438966066666666</v>
      </c>
      <c r="K587" s="10">
        <f>Tabla1[[#This Row],[Precio Lista CDR]]*0.6</f>
        <v>14.947685199999999</v>
      </c>
      <c r="L587" s="12">
        <f>(Tabla1[[#This Row],[Precio Lista CDR]]-Tabla1[[#This Row],[PrecioFábrica]])/Tabla1[[#This Row],[Precio Lista CDR]]</f>
        <v>0.79863102816749187</v>
      </c>
      <c r="M587" s="12">
        <f>(Tabla1[[#This Row],[Lista 1 (20%)]]-Tabla1[[#This Row],[PrecioFábrica]])/Tabla1[[#This Row],[Lista 1 (20%)]]</f>
        <v>0.74828878520936482</v>
      </c>
      <c r="N587" s="12">
        <f>(Tabla1[[#This Row],[Lista 2 (30%)]]-Tabla1[[#This Row],[PrecioFábrica]])/Tabla1[[#This Row],[Lista 2 (30%)]]</f>
        <v>0.71233004023927404</v>
      </c>
      <c r="O587" s="12">
        <f>(Tabla1[[#This Row],[Lista 3 (40%)]]-Tabla1[[#This Row],[PrecioFábrica]])/Tabla1[[#This Row],[Lista 3 (40%)]]</f>
        <v>0.66438504694581968</v>
      </c>
    </row>
    <row r="588" spans="1:15">
      <c r="A588" t="s">
        <v>7</v>
      </c>
      <c r="B588" t="s">
        <v>597</v>
      </c>
      <c r="C588" t="s">
        <v>1399</v>
      </c>
      <c r="D588" t="s">
        <v>811</v>
      </c>
      <c r="E588" t="s">
        <v>5</v>
      </c>
      <c r="F588" s="3">
        <v>6.0750000000000002</v>
      </c>
      <c r="G588" s="10">
        <f>VLOOKUP(Tabla1[[#This Row],[Código Unificador]],PRECIOS_COMPETENCIA!B:D,3,FALSE)</f>
        <v>28.498374999999999</v>
      </c>
      <c r="H588" s="10">
        <f>Tabla1[[#This Row],[PVP Competencia]]*0.98</f>
        <v>27.928407499999999</v>
      </c>
      <c r="I588" s="10">
        <f>Tabla1[[#This Row],[Precio Lista CDR]]*0.8</f>
        <v>22.342725999999999</v>
      </c>
      <c r="J588" s="10">
        <f>Tabla1[[#This Row],[Precio Lista CDR]]*0.7</f>
        <v>19.549885249999999</v>
      </c>
      <c r="K588" s="10">
        <f>Tabla1[[#This Row],[Precio Lista CDR]]*0.6</f>
        <v>16.757044499999999</v>
      </c>
      <c r="L588" s="12">
        <f>(Tabla1[[#This Row],[Precio Lista CDR]]-Tabla1[[#This Row],[PrecioFábrica]])/Tabla1[[#This Row],[Precio Lista CDR]]</f>
        <v>0.78247954166380596</v>
      </c>
      <c r="M588" s="12">
        <f>(Tabla1[[#This Row],[Lista 1 (20%)]]-Tabla1[[#This Row],[PrecioFábrica]])/Tabla1[[#This Row],[Lista 1 (20%)]]</f>
        <v>0.72809942707975739</v>
      </c>
      <c r="N588" s="12">
        <f>(Tabla1[[#This Row],[Lista 2 (30%)]]-Tabla1[[#This Row],[PrecioFábrica]])/Tabla1[[#This Row],[Lista 2 (30%)]]</f>
        <v>0.68925648809115136</v>
      </c>
      <c r="O588" s="12">
        <f>(Tabla1[[#This Row],[Lista 3 (40%)]]-Tabla1[[#This Row],[PrecioFábrica]])/Tabla1[[#This Row],[Lista 3 (40%)]]</f>
        <v>0.63746590277300996</v>
      </c>
    </row>
    <row r="589" spans="1:15">
      <c r="A589" t="s">
        <v>6</v>
      </c>
      <c r="B589" t="s">
        <v>598</v>
      </c>
      <c r="C589" t="s">
        <v>1400</v>
      </c>
      <c r="D589" t="s">
        <v>811</v>
      </c>
      <c r="E589" t="s">
        <v>5</v>
      </c>
      <c r="F589" s="3">
        <v>9.3416666666666686</v>
      </c>
      <c r="G589" s="10">
        <f>VLOOKUP(Tabla1[[#This Row],[Código Unificador]],PRECIOS_COMPETENCIA!B:D,3,FALSE)</f>
        <v>38.174466666666675</v>
      </c>
      <c r="H589" s="10">
        <f>Tabla1[[#This Row],[PVP Competencia]]*0.98</f>
        <v>37.410977333333342</v>
      </c>
      <c r="I589" s="10">
        <f>Tabla1[[#This Row],[Precio Lista CDR]]*0.8</f>
        <v>29.928781866666675</v>
      </c>
      <c r="J589" s="10">
        <f>Tabla1[[#This Row],[Precio Lista CDR]]*0.7</f>
        <v>26.187684133333338</v>
      </c>
      <c r="K589" s="10">
        <f>Tabla1[[#This Row],[Precio Lista CDR]]*0.6</f>
        <v>22.446586400000005</v>
      </c>
      <c r="L589" s="12">
        <f>(Tabla1[[#This Row],[Precio Lista CDR]]-Tabla1[[#This Row],[PrecioFábrica]])/Tabla1[[#This Row],[Precio Lista CDR]]</f>
        <v>0.75029610738495189</v>
      </c>
      <c r="M589" s="12">
        <f>(Tabla1[[#This Row],[Lista 1 (20%)]]-Tabla1[[#This Row],[PrecioFábrica]])/Tabla1[[#This Row],[Lista 1 (20%)]]</f>
        <v>0.68787013423118981</v>
      </c>
      <c r="N589" s="12">
        <f>(Tabla1[[#This Row],[Lista 2 (30%)]]-Tabla1[[#This Row],[PrecioFábrica]])/Tabla1[[#This Row],[Lista 2 (30%)]]</f>
        <v>0.64328015340707412</v>
      </c>
      <c r="O589" s="12">
        <f>(Tabla1[[#This Row],[Lista 3 (40%)]]-Tabla1[[#This Row],[PrecioFábrica]])/Tabla1[[#This Row],[Lista 3 (40%)]]</f>
        <v>0.58382684564158649</v>
      </c>
    </row>
    <row r="590" spans="1:15">
      <c r="A590" t="s">
        <v>6</v>
      </c>
      <c r="B590" t="s">
        <v>599</v>
      </c>
      <c r="C590" t="s">
        <v>1401</v>
      </c>
      <c r="D590" t="s">
        <v>811</v>
      </c>
      <c r="E590" t="s">
        <v>5</v>
      </c>
      <c r="F590" s="3">
        <v>18.425000000000001</v>
      </c>
      <c r="G590" s="10">
        <f>VLOOKUP(Tabla1[[#This Row],[Código Unificador]],PRECIOS_COMPETENCIA!B:D,3,FALSE)</f>
        <v>67.172775000000001</v>
      </c>
      <c r="H590" s="10">
        <f>Tabla1[[#This Row],[PVP Competencia]]*0.98</f>
        <v>65.829319499999997</v>
      </c>
      <c r="I590" s="10">
        <f>Tabla1[[#This Row],[Precio Lista CDR]]*0.8</f>
        <v>52.663455599999999</v>
      </c>
      <c r="J590" s="10">
        <f>Tabla1[[#This Row],[Precio Lista CDR]]*0.7</f>
        <v>46.080523649999996</v>
      </c>
      <c r="K590" s="10">
        <f>Tabla1[[#This Row],[Precio Lista CDR]]*0.6</f>
        <v>39.497591699999994</v>
      </c>
      <c r="L590" s="12">
        <f>(Tabla1[[#This Row],[Precio Lista CDR]]-Tabla1[[#This Row],[PrecioFábrica]])/Tabla1[[#This Row],[Precio Lista CDR]]</f>
        <v>0.72010951746204821</v>
      </c>
      <c r="M590" s="12">
        <f>(Tabla1[[#This Row],[Lista 1 (20%)]]-Tabla1[[#This Row],[PrecioFábrica]])/Tabla1[[#This Row],[Lista 1 (20%)]]</f>
        <v>0.65013689682756015</v>
      </c>
      <c r="N590" s="12">
        <f>(Tabla1[[#This Row],[Lista 2 (30%)]]-Tabla1[[#This Row],[PrecioFábrica]])/Tabla1[[#This Row],[Lista 2 (30%)]]</f>
        <v>0.6001564535172117</v>
      </c>
      <c r="O590" s="12">
        <f>(Tabla1[[#This Row],[Lista 3 (40%)]]-Tabla1[[#This Row],[PrecioFábrica]])/Tabla1[[#This Row],[Lista 3 (40%)]]</f>
        <v>0.53351586243674687</v>
      </c>
    </row>
    <row r="591" spans="1:15">
      <c r="A591" t="s">
        <v>9</v>
      </c>
      <c r="B591" t="s">
        <v>600</v>
      </c>
      <c r="C591" t="s">
        <v>1402</v>
      </c>
      <c r="D591" t="s">
        <v>811</v>
      </c>
      <c r="E591" t="s">
        <v>5</v>
      </c>
      <c r="F591" s="3">
        <v>21.783333333333335</v>
      </c>
      <c r="G591" s="10">
        <f>VLOOKUP(Tabla1[[#This Row],[Código Unificador]],PRECIOS_COMPETENCIA!B:D,3,FALSE)</f>
        <v>75.69853333333333</v>
      </c>
      <c r="H591" s="10">
        <f>Tabla1[[#This Row],[PVP Competencia]]*0.98</f>
        <v>74.184562666666665</v>
      </c>
      <c r="I591" s="10">
        <f>Tabla1[[#This Row],[Precio Lista CDR]]*0.8</f>
        <v>59.347650133333332</v>
      </c>
      <c r="J591" s="10">
        <f>Tabla1[[#This Row],[Precio Lista CDR]]*0.7</f>
        <v>51.929193866666665</v>
      </c>
      <c r="K591" s="10">
        <f>Tabla1[[#This Row],[Precio Lista CDR]]*0.6</f>
        <v>44.510737599999999</v>
      </c>
      <c r="L591" s="12">
        <f>(Tabla1[[#This Row],[Precio Lista CDR]]-Tabla1[[#This Row],[PrecioFábrica]])/Tabla1[[#This Row],[Precio Lista CDR]]</f>
        <v>0.70636298779286011</v>
      </c>
      <c r="M591" s="12">
        <f>(Tabla1[[#This Row],[Lista 1 (20%)]]-Tabla1[[#This Row],[PrecioFábrica]])/Tabla1[[#This Row],[Lista 1 (20%)]]</f>
        <v>0.63295373474107519</v>
      </c>
      <c r="N591" s="12">
        <f>(Tabla1[[#This Row],[Lista 2 (30%)]]-Tabla1[[#This Row],[PrecioFábrica]])/Tabla1[[#This Row],[Lista 2 (30%)]]</f>
        <v>0.58051855398980012</v>
      </c>
      <c r="O591" s="12">
        <f>(Tabla1[[#This Row],[Lista 3 (40%)]]-Tabla1[[#This Row],[PrecioFábrica]])/Tabla1[[#This Row],[Lista 3 (40%)]]</f>
        <v>0.51060497965476681</v>
      </c>
    </row>
    <row r="592" spans="1:15">
      <c r="A592" t="s">
        <v>9</v>
      </c>
      <c r="B592" t="s">
        <v>601</v>
      </c>
      <c r="C592" t="s">
        <v>1403</v>
      </c>
      <c r="D592" t="s">
        <v>811</v>
      </c>
      <c r="E592" t="s">
        <v>5</v>
      </c>
      <c r="F592" s="3">
        <v>22.05</v>
      </c>
      <c r="G592" s="10">
        <f>VLOOKUP(Tabla1[[#This Row],[Código Unificador]],PRECIOS_COMPETENCIA!B:D,3,FALSE)</f>
        <v>75.2239</v>
      </c>
      <c r="H592" s="10">
        <f>Tabla1[[#This Row],[PVP Competencia]]*0.98</f>
        <v>73.719421999999994</v>
      </c>
      <c r="I592" s="10">
        <f>Tabla1[[#This Row],[Precio Lista CDR]]*0.8</f>
        <v>58.975537599999996</v>
      </c>
      <c r="J592" s="10">
        <f>Tabla1[[#This Row],[Precio Lista CDR]]*0.7</f>
        <v>51.603595399999996</v>
      </c>
      <c r="K592" s="10">
        <f>Tabla1[[#This Row],[Precio Lista CDR]]*0.6</f>
        <v>44.231653199999997</v>
      </c>
      <c r="L592" s="12">
        <f>(Tabla1[[#This Row],[Precio Lista CDR]]-Tabla1[[#This Row],[PrecioFábrica]])/Tabla1[[#This Row],[Precio Lista CDR]]</f>
        <v>0.7008929342934892</v>
      </c>
      <c r="M592" s="12">
        <f>(Tabla1[[#This Row],[Lista 1 (20%)]]-Tabla1[[#This Row],[PrecioFábrica]])/Tabla1[[#This Row],[Lista 1 (20%)]]</f>
        <v>0.62611616786686153</v>
      </c>
      <c r="N592" s="12">
        <f>(Tabla1[[#This Row],[Lista 2 (30%)]]-Tabla1[[#This Row],[PrecioFábrica]])/Tabla1[[#This Row],[Lista 2 (30%)]]</f>
        <v>0.5727041918478416</v>
      </c>
      <c r="O592" s="12">
        <f>(Tabla1[[#This Row],[Lista 3 (40%)]]-Tabla1[[#This Row],[PrecioFábrica]])/Tabla1[[#This Row],[Lista 3 (40%)]]</f>
        <v>0.50148822382248193</v>
      </c>
    </row>
    <row r="593" spans="1:15">
      <c r="A593" t="s">
        <v>6</v>
      </c>
      <c r="B593" t="s">
        <v>602</v>
      </c>
      <c r="C593" t="s">
        <v>1404</v>
      </c>
      <c r="D593" t="s">
        <v>811</v>
      </c>
      <c r="E593" t="s">
        <v>5</v>
      </c>
      <c r="F593" s="3">
        <v>5.1916666666666673</v>
      </c>
      <c r="G593" s="10">
        <f>VLOOKUP(Tabla1[[#This Row],[Código Unificador]],PRECIOS_COMPETENCIA!B:D,3,FALSE)</f>
        <v>25.356950000000001</v>
      </c>
      <c r="H593" s="10">
        <f>Tabla1[[#This Row],[PVP Competencia]]*0.98</f>
        <v>24.849810999999999</v>
      </c>
      <c r="I593" s="10">
        <f>Tabla1[[#This Row],[Precio Lista CDR]]*0.8</f>
        <v>19.879848800000001</v>
      </c>
      <c r="J593" s="10">
        <f>Tabla1[[#This Row],[Precio Lista CDR]]*0.7</f>
        <v>17.394867699999999</v>
      </c>
      <c r="K593" s="10">
        <f>Tabla1[[#This Row],[Precio Lista CDR]]*0.6</f>
        <v>14.909886599999998</v>
      </c>
      <c r="L593" s="12">
        <f>(Tabla1[[#This Row],[Precio Lista CDR]]-Tabla1[[#This Row],[PrecioFábrica]])/Tabla1[[#This Row],[Precio Lista CDR]]</f>
        <v>0.7910782232240452</v>
      </c>
      <c r="M593" s="12">
        <f>(Tabla1[[#This Row],[Lista 1 (20%)]]-Tabla1[[#This Row],[PrecioFábrica]])/Tabla1[[#This Row],[Lista 1 (20%)]]</f>
        <v>0.7388477790300565</v>
      </c>
      <c r="N593" s="12">
        <f>(Tabla1[[#This Row],[Lista 2 (30%)]]-Tabla1[[#This Row],[PrecioFábrica]])/Tabla1[[#This Row],[Lista 2 (30%)]]</f>
        <v>0.70154031889149315</v>
      </c>
      <c r="O593" s="12">
        <f>(Tabla1[[#This Row],[Lista 3 (40%)]]-Tabla1[[#This Row],[PrecioFábrica]])/Tabla1[[#This Row],[Lista 3 (40%)]]</f>
        <v>0.65179703870674177</v>
      </c>
    </row>
    <row r="594" spans="1:15">
      <c r="A594" t="s">
        <v>9</v>
      </c>
      <c r="B594" t="s">
        <v>603</v>
      </c>
      <c r="C594" t="s">
        <v>1405</v>
      </c>
      <c r="D594" t="s">
        <v>811</v>
      </c>
      <c r="E594" t="s">
        <v>5</v>
      </c>
      <c r="F594" s="3">
        <v>7.1083333333333343</v>
      </c>
      <c r="G594" s="10">
        <f>VLOOKUP(Tabla1[[#This Row],[Código Unificador]],PRECIOS_COMPETENCIA!B:D,3,FALSE)</f>
        <v>31.438733333333335</v>
      </c>
      <c r="H594" s="10">
        <f>Tabla1[[#This Row],[PVP Competencia]]*0.98</f>
        <v>30.809958666666667</v>
      </c>
      <c r="I594" s="10">
        <f>Tabla1[[#This Row],[Precio Lista CDR]]*0.8</f>
        <v>24.647966933333336</v>
      </c>
      <c r="J594" s="10">
        <f>Tabla1[[#This Row],[Precio Lista CDR]]*0.7</f>
        <v>21.566971066666664</v>
      </c>
      <c r="K594" s="10">
        <f>Tabla1[[#This Row],[Precio Lista CDR]]*0.6</f>
        <v>18.485975199999999</v>
      </c>
      <c r="L594" s="12">
        <f>(Tabla1[[#This Row],[Precio Lista CDR]]-Tabla1[[#This Row],[PrecioFábrica]])/Tabla1[[#This Row],[Precio Lista CDR]]</f>
        <v>0.76928455470393575</v>
      </c>
      <c r="M594" s="12">
        <f>(Tabla1[[#This Row],[Lista 1 (20%)]]-Tabla1[[#This Row],[PrecioFábrica]])/Tabla1[[#This Row],[Lista 1 (20%)]]</f>
        <v>0.71160569337991975</v>
      </c>
      <c r="N594" s="12">
        <f>(Tabla1[[#This Row],[Lista 2 (30%)]]-Tabla1[[#This Row],[PrecioFábrica]])/Tabla1[[#This Row],[Lista 2 (30%)]]</f>
        <v>0.6704065067199082</v>
      </c>
      <c r="O594" s="12">
        <f>(Tabla1[[#This Row],[Lista 3 (40%)]]-Tabla1[[#This Row],[PrecioFábrica]])/Tabla1[[#This Row],[Lista 3 (40%)]]</f>
        <v>0.61547425783989285</v>
      </c>
    </row>
    <row r="595" spans="1:15">
      <c r="A595" t="s">
        <v>9</v>
      </c>
      <c r="B595" t="s">
        <v>604</v>
      </c>
      <c r="C595" t="s">
        <v>1406</v>
      </c>
      <c r="D595" t="s">
        <v>811</v>
      </c>
      <c r="E595" t="s">
        <v>5</v>
      </c>
      <c r="F595" s="3">
        <v>12.45</v>
      </c>
      <c r="G595" s="10">
        <f>VLOOKUP(Tabla1[[#This Row],[Código Unificador]],PRECIOS_COMPETENCIA!B:D,3,FALSE)</f>
        <v>48.63235000000001</v>
      </c>
      <c r="H595" s="10">
        <f>Tabla1[[#This Row],[PVP Competencia]]*0.98</f>
        <v>47.659703000000007</v>
      </c>
      <c r="I595" s="10">
        <f>Tabla1[[#This Row],[Precio Lista CDR]]*0.8</f>
        <v>38.127762400000009</v>
      </c>
      <c r="J595" s="10">
        <f>Tabla1[[#This Row],[Precio Lista CDR]]*0.7</f>
        <v>33.361792100000002</v>
      </c>
      <c r="K595" s="10">
        <f>Tabla1[[#This Row],[Precio Lista CDR]]*0.6</f>
        <v>28.595821800000003</v>
      </c>
      <c r="L595" s="12">
        <f>(Tabla1[[#This Row],[Precio Lista CDR]]-Tabla1[[#This Row],[PrecioFábrica]])/Tabla1[[#This Row],[Precio Lista CDR]]</f>
        <v>0.73877302592506711</v>
      </c>
      <c r="M595" s="12">
        <f>(Tabla1[[#This Row],[Lista 1 (20%)]]-Tabla1[[#This Row],[PrecioFábrica]])/Tabla1[[#This Row],[Lista 1 (20%)]]</f>
        <v>0.67346628240633399</v>
      </c>
      <c r="N595" s="12">
        <f>(Tabla1[[#This Row],[Lista 2 (30%)]]-Tabla1[[#This Row],[PrecioFábrica]])/Tabla1[[#This Row],[Lista 2 (30%)]]</f>
        <v>0.62681860846438164</v>
      </c>
      <c r="O595" s="12">
        <f>(Tabla1[[#This Row],[Lista 3 (40%)]]-Tabla1[[#This Row],[PrecioFábrica]])/Tabla1[[#This Row],[Lista 3 (40%)]]</f>
        <v>0.56462170987511195</v>
      </c>
    </row>
    <row r="596" spans="1:15">
      <c r="A596" t="s">
        <v>9</v>
      </c>
      <c r="B596" t="s">
        <v>605</v>
      </c>
      <c r="C596" t="s">
        <v>1407</v>
      </c>
      <c r="D596" t="s">
        <v>811</v>
      </c>
      <c r="E596" t="s">
        <v>5</v>
      </c>
      <c r="F596" s="3">
        <v>14.516666666666669</v>
      </c>
      <c r="G596" s="10">
        <f>VLOOKUP(Tabla1[[#This Row],[Código Unificador]],PRECIOS_COMPETENCIA!B:D,3,FALSE)</f>
        <v>55.045216666666676</v>
      </c>
      <c r="H596" s="10">
        <f>Tabla1[[#This Row],[PVP Competencia]]*0.98</f>
        <v>53.944312333333343</v>
      </c>
      <c r="I596" s="10">
        <f>Tabla1[[#This Row],[Precio Lista CDR]]*0.8</f>
        <v>43.155449866666679</v>
      </c>
      <c r="J596" s="10">
        <f>Tabla1[[#This Row],[Precio Lista CDR]]*0.7</f>
        <v>37.761018633333336</v>
      </c>
      <c r="K596" s="10">
        <f>Tabla1[[#This Row],[Precio Lista CDR]]*0.6</f>
        <v>32.366587400000007</v>
      </c>
      <c r="L596" s="12">
        <f>(Tabla1[[#This Row],[Precio Lista CDR]]-Tabla1[[#This Row],[PrecioFábrica]])/Tabla1[[#This Row],[Precio Lista CDR]]</f>
        <v>0.73089532447897188</v>
      </c>
      <c r="M596" s="12">
        <f>(Tabla1[[#This Row],[Lista 1 (20%)]]-Tabla1[[#This Row],[PrecioFábrica]])/Tabla1[[#This Row],[Lista 1 (20%)]]</f>
        <v>0.66361915559871476</v>
      </c>
      <c r="N596" s="12">
        <f>(Tabla1[[#This Row],[Lista 2 (30%)]]-Tabla1[[#This Row],[PrecioFábrica]])/Tabla1[[#This Row],[Lista 2 (30%)]]</f>
        <v>0.61556474925567395</v>
      </c>
      <c r="O596" s="12">
        <f>(Tabla1[[#This Row],[Lista 3 (40%)]]-Tabla1[[#This Row],[PrecioFábrica]])/Tabla1[[#This Row],[Lista 3 (40%)]]</f>
        <v>0.55149220746495298</v>
      </c>
    </row>
    <row r="597" spans="1:15">
      <c r="A597" t="s">
        <v>6</v>
      </c>
      <c r="B597" t="s">
        <v>606</v>
      </c>
      <c r="C597" t="s">
        <v>1408</v>
      </c>
      <c r="D597" t="s">
        <v>811</v>
      </c>
      <c r="E597" t="s">
        <v>5</v>
      </c>
      <c r="F597" s="3">
        <v>9.4749999999999996</v>
      </c>
      <c r="G597" s="10">
        <f>VLOOKUP(Tabla1[[#This Row],[Código Unificador]],PRECIOS_COMPETENCIA!B:D,3,FALSE)</f>
        <v>38.027050000000003</v>
      </c>
      <c r="H597" s="10">
        <f>Tabla1[[#This Row],[PVP Competencia]]*0.98</f>
        <v>37.266508999999999</v>
      </c>
      <c r="I597" s="10">
        <f>Tabla1[[#This Row],[Precio Lista CDR]]*0.8</f>
        <v>29.813207200000001</v>
      </c>
      <c r="J597" s="10">
        <f>Tabla1[[#This Row],[Precio Lista CDR]]*0.7</f>
        <v>26.086556299999998</v>
      </c>
      <c r="K597" s="10">
        <f>Tabla1[[#This Row],[Precio Lista CDR]]*0.6</f>
        <v>22.359905399999999</v>
      </c>
      <c r="L597" s="12">
        <f>(Tabla1[[#This Row],[Precio Lista CDR]]-Tabla1[[#This Row],[PrecioFábrica]])/Tabla1[[#This Row],[Precio Lista CDR]]</f>
        <v>0.74575026600962269</v>
      </c>
      <c r="M597" s="12">
        <f>(Tabla1[[#This Row],[Lista 1 (20%)]]-Tabla1[[#This Row],[PrecioFábrica]])/Tabla1[[#This Row],[Lista 1 (20%)]]</f>
        <v>0.68218783251202841</v>
      </c>
      <c r="N597" s="12">
        <f>(Tabla1[[#This Row],[Lista 2 (30%)]]-Tabla1[[#This Row],[PrecioFábrica]])/Tabla1[[#This Row],[Lista 2 (30%)]]</f>
        <v>0.63678609429946098</v>
      </c>
      <c r="O597" s="12">
        <f>(Tabla1[[#This Row],[Lista 3 (40%)]]-Tabla1[[#This Row],[PrecioFábrica]])/Tabla1[[#This Row],[Lista 3 (40%)]]</f>
        <v>0.57625044334937126</v>
      </c>
    </row>
    <row r="598" spans="1:15">
      <c r="A598" t="s">
        <v>6</v>
      </c>
      <c r="B598" t="s">
        <v>607</v>
      </c>
      <c r="C598" t="s">
        <v>1409</v>
      </c>
      <c r="D598" t="s">
        <v>811</v>
      </c>
      <c r="E598" t="s">
        <v>5</v>
      </c>
      <c r="F598" s="3">
        <v>29.600000000000005</v>
      </c>
      <c r="G598" s="10">
        <f>VLOOKUP(Tabla1[[#This Row],[Código Unificador]],PRECIOS_COMPETENCIA!B:D,3,FALSE)</f>
        <v>108.41520000000003</v>
      </c>
      <c r="H598" s="10">
        <f>Tabla1[[#This Row],[PVP Competencia]]*0.98</f>
        <v>106.24689600000002</v>
      </c>
      <c r="I598" s="10">
        <f>Tabla1[[#This Row],[Precio Lista CDR]]*0.8</f>
        <v>84.997516800000028</v>
      </c>
      <c r="J598" s="10">
        <f>Tabla1[[#This Row],[Precio Lista CDR]]*0.7</f>
        <v>74.372827200000003</v>
      </c>
      <c r="K598" s="10">
        <f>Tabla1[[#This Row],[Precio Lista CDR]]*0.6</f>
        <v>63.748137600000007</v>
      </c>
      <c r="L598" s="12">
        <f>(Tabla1[[#This Row],[Precio Lista CDR]]-Tabla1[[#This Row],[PrecioFábrica]])/Tabla1[[#This Row],[Precio Lista CDR]]</f>
        <v>0.72140362575862915</v>
      </c>
      <c r="M598" s="12">
        <f>(Tabla1[[#This Row],[Lista 1 (20%)]]-Tabla1[[#This Row],[PrecioFábrica]])/Tabla1[[#This Row],[Lista 1 (20%)]]</f>
        <v>0.6517545321982865</v>
      </c>
      <c r="N598" s="12">
        <f>(Tabla1[[#This Row],[Lista 2 (30%)]]-Tabla1[[#This Row],[PrecioFábrica]])/Tabla1[[#This Row],[Lista 2 (30%)]]</f>
        <v>0.60200517965518452</v>
      </c>
      <c r="O598" s="12">
        <f>(Tabla1[[#This Row],[Lista 3 (40%)]]-Tabla1[[#This Row],[PrecioFábrica]])/Tabla1[[#This Row],[Lista 3 (40%)]]</f>
        <v>0.53567270959771529</v>
      </c>
    </row>
    <row r="599" spans="1:15">
      <c r="A599" t="s">
        <v>6</v>
      </c>
      <c r="B599" t="s">
        <v>608</v>
      </c>
      <c r="C599" t="s">
        <v>1410</v>
      </c>
      <c r="D599" t="s">
        <v>811</v>
      </c>
      <c r="E599" t="s">
        <v>5</v>
      </c>
      <c r="F599" s="3">
        <v>31.5</v>
      </c>
      <c r="G599" s="10">
        <f>VLOOKUP(Tabla1[[#This Row],[Código Unificador]],PRECIOS_COMPETENCIA!B:D,3,FALSE)</f>
        <v>107.7445</v>
      </c>
      <c r="H599" s="10">
        <f>Tabla1[[#This Row],[PVP Competencia]]*0.98</f>
        <v>105.58960999999999</v>
      </c>
      <c r="I599" s="10">
        <f>Tabla1[[#This Row],[Precio Lista CDR]]*0.8</f>
        <v>84.471688</v>
      </c>
      <c r="J599" s="10">
        <f>Tabla1[[#This Row],[Precio Lista CDR]]*0.7</f>
        <v>73.91272699999999</v>
      </c>
      <c r="K599" s="10">
        <f>Tabla1[[#This Row],[Precio Lista CDR]]*0.6</f>
        <v>63.353765999999993</v>
      </c>
      <c r="L599" s="12">
        <f>(Tabla1[[#This Row],[Precio Lista CDR]]-Tabla1[[#This Row],[PrecioFábrica]])/Tabla1[[#This Row],[Precio Lista CDR]]</f>
        <v>0.70167519323160676</v>
      </c>
      <c r="M599" s="12">
        <f>(Tabla1[[#This Row],[Lista 1 (20%)]]-Tabla1[[#This Row],[PrecioFábrica]])/Tabla1[[#This Row],[Lista 1 (20%)]]</f>
        <v>0.62709399153950851</v>
      </c>
      <c r="N599" s="12">
        <f>(Tabla1[[#This Row],[Lista 2 (30%)]]-Tabla1[[#This Row],[PrecioFábrica]])/Tabla1[[#This Row],[Lista 2 (30%)]]</f>
        <v>0.57382170461658111</v>
      </c>
      <c r="O599" s="12">
        <f>(Tabla1[[#This Row],[Lista 3 (40%)]]-Tabla1[[#This Row],[PrecioFábrica]])/Tabla1[[#This Row],[Lista 3 (40%)]]</f>
        <v>0.50279198871934461</v>
      </c>
    </row>
    <row r="600" spans="1:15">
      <c r="A600" t="s">
        <v>9</v>
      </c>
      <c r="B600" t="s">
        <v>609</v>
      </c>
      <c r="C600" t="s">
        <v>1411</v>
      </c>
      <c r="D600" t="s">
        <v>811</v>
      </c>
      <c r="E600" t="s">
        <v>5</v>
      </c>
      <c r="F600" s="3">
        <v>33.483333333333334</v>
      </c>
      <c r="G600" s="10">
        <f>VLOOKUP(Tabla1[[#This Row],[Código Unificador]],PRECIOS_COMPETENCIA!B:D,3,FALSE)</f>
        <v>122.92776666666667</v>
      </c>
      <c r="H600" s="10">
        <f>Tabla1[[#This Row],[PVP Competencia]]*0.98</f>
        <v>120.46921133333333</v>
      </c>
      <c r="I600" s="10">
        <f>Tabla1[[#This Row],[Precio Lista CDR]]*0.8</f>
        <v>96.375369066666678</v>
      </c>
      <c r="J600" s="10">
        <f>Tabla1[[#This Row],[Precio Lista CDR]]*0.7</f>
        <v>84.328447933333322</v>
      </c>
      <c r="K600" s="10">
        <f>Tabla1[[#This Row],[Precio Lista CDR]]*0.6</f>
        <v>72.281526799999995</v>
      </c>
      <c r="L600" s="12">
        <f>(Tabla1[[#This Row],[Precio Lista CDR]]-Tabla1[[#This Row],[PrecioFábrica]])/Tabla1[[#This Row],[Precio Lista CDR]]</f>
        <v>0.72205899779084359</v>
      </c>
      <c r="M600" s="12">
        <f>(Tabla1[[#This Row],[Lista 1 (20%)]]-Tabla1[[#This Row],[PrecioFábrica]])/Tabla1[[#This Row],[Lista 1 (20%)]]</f>
        <v>0.65257374723855444</v>
      </c>
      <c r="N600" s="12">
        <f>(Tabla1[[#This Row],[Lista 2 (30%)]]-Tabla1[[#This Row],[PrecioFábrica]])/Tabla1[[#This Row],[Lista 2 (30%)]]</f>
        <v>0.60294142541549078</v>
      </c>
      <c r="O600" s="12">
        <f>(Tabla1[[#This Row],[Lista 3 (40%)]]-Tabla1[[#This Row],[PrecioFábrica]])/Tabla1[[#This Row],[Lista 3 (40%)]]</f>
        <v>0.53676499631807251</v>
      </c>
    </row>
    <row r="601" spans="1:15">
      <c r="A601" t="s">
        <v>9</v>
      </c>
      <c r="B601" t="s">
        <v>610</v>
      </c>
      <c r="C601" t="s">
        <v>1412</v>
      </c>
      <c r="D601" t="s">
        <v>811</v>
      </c>
      <c r="E601" t="s">
        <v>5</v>
      </c>
      <c r="F601" s="3">
        <v>38.941666666666663</v>
      </c>
      <c r="G601" s="10">
        <f>VLOOKUP(Tabla1[[#This Row],[Código Unificador]],PRECIOS_COMPETENCIA!B:D,3,FALSE)</f>
        <v>140.8359916666667</v>
      </c>
      <c r="H601" s="10">
        <f>Tabla1[[#This Row],[PVP Competencia]]*0.98</f>
        <v>138.01927183333336</v>
      </c>
      <c r="I601" s="10">
        <f>Tabla1[[#This Row],[Precio Lista CDR]]*0.8</f>
        <v>110.4154174666667</v>
      </c>
      <c r="J601" s="10">
        <f>Tabla1[[#This Row],[Precio Lista CDR]]*0.7</f>
        <v>96.613490283333348</v>
      </c>
      <c r="K601" s="10">
        <f>Tabla1[[#This Row],[Precio Lista CDR]]*0.6</f>
        <v>82.811563100000015</v>
      </c>
      <c r="L601" s="12">
        <f>(Tabla1[[#This Row],[Precio Lista CDR]]-Tabla1[[#This Row],[PrecioFábrica]])/Tabla1[[#This Row],[Precio Lista CDR]]</f>
        <v>0.71785341170549655</v>
      </c>
      <c r="M601" s="12">
        <f>(Tabla1[[#This Row],[Lista 1 (20%)]]-Tabla1[[#This Row],[PrecioFábrica]])/Tabla1[[#This Row],[Lista 1 (20%)]]</f>
        <v>0.64731676463187071</v>
      </c>
      <c r="N601" s="12">
        <f>(Tabla1[[#This Row],[Lista 2 (30%)]]-Tabla1[[#This Row],[PrecioFábrica]])/Tabla1[[#This Row],[Lista 2 (30%)]]</f>
        <v>0.59693344529356651</v>
      </c>
      <c r="O601" s="12">
        <f>(Tabla1[[#This Row],[Lista 3 (40%)]]-Tabla1[[#This Row],[PrecioFábrica]])/Tabla1[[#This Row],[Lista 3 (40%)]]</f>
        <v>0.52975568617582758</v>
      </c>
    </row>
    <row r="602" spans="1:15">
      <c r="A602" t="s">
        <v>6</v>
      </c>
      <c r="B602" t="s">
        <v>611</v>
      </c>
      <c r="C602" t="s">
        <v>1413</v>
      </c>
      <c r="D602" t="s">
        <v>811</v>
      </c>
      <c r="E602" t="s">
        <v>5</v>
      </c>
      <c r="F602" s="3">
        <v>3.85</v>
      </c>
      <c r="G602" s="10">
        <f>VLOOKUP(Tabla1[[#This Row],[Código Unificador]],PRECIOS_COMPETENCIA!B:D,3,FALSE)</f>
        <v>21.72325</v>
      </c>
      <c r="H602" s="10">
        <f>Tabla1[[#This Row],[PVP Competencia]]*0.98</f>
        <v>21.288785000000001</v>
      </c>
      <c r="I602" s="10">
        <f>Tabla1[[#This Row],[Precio Lista CDR]]*0.8</f>
        <v>17.031028000000003</v>
      </c>
      <c r="J602" s="10">
        <f>Tabla1[[#This Row],[Precio Lista CDR]]*0.7</f>
        <v>14.9021495</v>
      </c>
      <c r="K602" s="10">
        <f>Tabla1[[#This Row],[Precio Lista CDR]]*0.6</f>
        <v>12.773270999999999</v>
      </c>
      <c r="L602" s="12">
        <f>(Tabla1[[#This Row],[Precio Lista CDR]]-Tabla1[[#This Row],[PrecioFábrica]])/Tabla1[[#This Row],[Precio Lista CDR]]</f>
        <v>0.81915360599489351</v>
      </c>
      <c r="M602" s="12">
        <f>(Tabla1[[#This Row],[Lista 1 (20%)]]-Tabla1[[#This Row],[PrecioFábrica]])/Tabla1[[#This Row],[Lista 1 (20%)]]</f>
        <v>0.77394200749361697</v>
      </c>
      <c r="N602" s="12">
        <f>(Tabla1[[#This Row],[Lista 2 (30%)]]-Tabla1[[#This Row],[PrecioFábrica]])/Tabla1[[#This Row],[Lista 2 (30%)]]</f>
        <v>0.74164800856413371</v>
      </c>
      <c r="O602" s="12">
        <f>(Tabla1[[#This Row],[Lista 3 (40%)]]-Tabla1[[#This Row],[PrecioFábrica]])/Tabla1[[#This Row],[Lista 3 (40%)]]</f>
        <v>0.69858934332482259</v>
      </c>
    </row>
    <row r="603" spans="1:15">
      <c r="A603" t="s">
        <v>6</v>
      </c>
      <c r="B603" t="s">
        <v>612</v>
      </c>
      <c r="C603" t="s">
        <v>1414</v>
      </c>
      <c r="D603" t="s">
        <v>811</v>
      </c>
      <c r="E603" t="s">
        <v>5</v>
      </c>
      <c r="F603" s="3">
        <v>3.0333333333333332</v>
      </c>
      <c r="G603" s="10">
        <f>VLOOKUP(Tabla1[[#This Row],[Código Unificador]],PRECIOS_COMPETENCIA!B:D,3,FALSE)</f>
        <v>19.500399999999999</v>
      </c>
      <c r="H603" s="10">
        <f>Tabla1[[#This Row],[PVP Competencia]]*0.98</f>
        <v>19.110391999999997</v>
      </c>
      <c r="I603" s="10">
        <f>Tabla1[[#This Row],[Precio Lista CDR]]*0.8</f>
        <v>15.288313599999999</v>
      </c>
      <c r="J603" s="10">
        <f>Tabla1[[#This Row],[Precio Lista CDR]]*0.7</f>
        <v>13.377274399999997</v>
      </c>
      <c r="K603" s="10">
        <f>Tabla1[[#This Row],[Precio Lista CDR]]*0.6</f>
        <v>11.466235199999998</v>
      </c>
      <c r="L603" s="12">
        <f>(Tabla1[[#This Row],[Precio Lista CDR]]-Tabla1[[#This Row],[PrecioFábrica]])/Tabla1[[#This Row],[Precio Lista CDR]]</f>
        <v>0.84127309720630894</v>
      </c>
      <c r="M603" s="12">
        <f>(Tabla1[[#This Row],[Lista 1 (20%)]]-Tabla1[[#This Row],[PrecioFábrica]])/Tabla1[[#This Row],[Lista 1 (20%)]]</f>
        <v>0.80159137150788606</v>
      </c>
      <c r="N603" s="12">
        <f>(Tabla1[[#This Row],[Lista 2 (30%)]]-Tabla1[[#This Row],[PrecioFábrica]])/Tabla1[[#This Row],[Lista 2 (30%)]]</f>
        <v>0.77324728172329826</v>
      </c>
      <c r="O603" s="12">
        <f>(Tabla1[[#This Row],[Lista 3 (40%)]]-Tabla1[[#This Row],[PrecioFábrica]])/Tabla1[[#This Row],[Lista 3 (40%)]]</f>
        <v>0.73545516201051464</v>
      </c>
    </row>
    <row r="604" spans="1:15">
      <c r="A604" t="s">
        <v>6</v>
      </c>
      <c r="B604" t="s">
        <v>613</v>
      </c>
      <c r="C604" t="s">
        <v>1415</v>
      </c>
      <c r="D604" t="s">
        <v>811</v>
      </c>
      <c r="E604" t="s">
        <v>5</v>
      </c>
      <c r="F604" s="3">
        <v>3.25</v>
      </c>
      <c r="G604" s="10">
        <f>VLOOKUP(Tabla1[[#This Row],[Código Unificador]],PRECIOS_COMPETENCIA!B:D,3,FALSE)</f>
        <v>20.08475</v>
      </c>
      <c r="H604" s="10">
        <f>Tabla1[[#This Row],[PVP Competencia]]*0.98</f>
        <v>19.683055</v>
      </c>
      <c r="I604" s="10">
        <f>Tabla1[[#This Row],[Precio Lista CDR]]*0.8</f>
        <v>15.746444</v>
      </c>
      <c r="J604" s="10">
        <f>Tabla1[[#This Row],[Precio Lista CDR]]*0.7</f>
        <v>13.778138499999999</v>
      </c>
      <c r="K604" s="10">
        <f>Tabla1[[#This Row],[Precio Lista CDR]]*0.6</f>
        <v>11.809832999999999</v>
      </c>
      <c r="L604" s="12">
        <f>(Tabla1[[#This Row],[Precio Lista CDR]]-Tabla1[[#This Row],[PrecioFábrica]])/Tabla1[[#This Row],[Precio Lista CDR]]</f>
        <v>0.83488335525150947</v>
      </c>
      <c r="M604" s="12">
        <f>(Tabla1[[#This Row],[Lista 1 (20%)]]-Tabla1[[#This Row],[PrecioFábrica]])/Tabla1[[#This Row],[Lista 1 (20%)]]</f>
        <v>0.79360419406438687</v>
      </c>
      <c r="N604" s="12">
        <f>(Tabla1[[#This Row],[Lista 2 (30%)]]-Tabla1[[#This Row],[PrecioFábrica]])/Tabla1[[#This Row],[Lista 2 (30%)]]</f>
        <v>0.76411907893072784</v>
      </c>
      <c r="O604" s="12">
        <f>(Tabla1[[#This Row],[Lista 3 (40%)]]-Tabla1[[#This Row],[PrecioFábrica]])/Tabla1[[#This Row],[Lista 3 (40%)]]</f>
        <v>0.72480559208584916</v>
      </c>
    </row>
    <row r="605" spans="1:15">
      <c r="A605" t="s">
        <v>6</v>
      </c>
      <c r="B605" t="s">
        <v>614</v>
      </c>
      <c r="C605" t="s">
        <v>1416</v>
      </c>
      <c r="D605" t="s">
        <v>811</v>
      </c>
      <c r="E605" t="s">
        <v>5</v>
      </c>
      <c r="F605" s="3">
        <v>5.3000000000000007</v>
      </c>
      <c r="G605" s="10">
        <f>VLOOKUP(Tabla1[[#This Row],[Código Unificador]],PRECIOS_COMPETENCIA!B:D,3,FALSE)</f>
        <v>25.831100000000003</v>
      </c>
      <c r="H605" s="10">
        <f>Tabla1[[#This Row],[PVP Competencia]]*0.98</f>
        <v>25.314478000000001</v>
      </c>
      <c r="I605" s="10">
        <f>Tabla1[[#This Row],[Precio Lista CDR]]*0.8</f>
        <v>20.251582400000004</v>
      </c>
      <c r="J605" s="10">
        <f>Tabla1[[#This Row],[Precio Lista CDR]]*0.7</f>
        <v>17.720134599999998</v>
      </c>
      <c r="K605" s="10">
        <f>Tabla1[[#This Row],[Precio Lista CDR]]*0.6</f>
        <v>15.188686799999999</v>
      </c>
      <c r="L605" s="12">
        <f>(Tabla1[[#This Row],[Precio Lista CDR]]-Tabla1[[#This Row],[PrecioFábrica]])/Tabla1[[#This Row],[Precio Lista CDR]]</f>
        <v>0.79063364450967544</v>
      </c>
      <c r="M605" s="12">
        <f>(Tabla1[[#This Row],[Lista 1 (20%)]]-Tabla1[[#This Row],[PrecioFábrica]])/Tabla1[[#This Row],[Lista 1 (20%)]]</f>
        <v>0.73829205563709432</v>
      </c>
      <c r="N605" s="12">
        <f>(Tabla1[[#This Row],[Lista 2 (30%)]]-Tabla1[[#This Row],[PrecioFábrica]])/Tabla1[[#This Row],[Lista 2 (30%)]]</f>
        <v>0.7009052064423934</v>
      </c>
      <c r="O605" s="12">
        <f>(Tabla1[[#This Row],[Lista 3 (40%)]]-Tabla1[[#This Row],[PrecioFábrica]])/Tabla1[[#This Row],[Lista 3 (40%)]]</f>
        <v>0.65105607418279232</v>
      </c>
    </row>
    <row r="606" spans="1:15">
      <c r="A606" t="s">
        <v>6</v>
      </c>
      <c r="B606" t="s">
        <v>615</v>
      </c>
      <c r="C606" t="s">
        <v>1417</v>
      </c>
      <c r="D606" t="s">
        <v>811</v>
      </c>
      <c r="E606" t="s">
        <v>5</v>
      </c>
      <c r="F606" s="3">
        <v>5.2416666666666671</v>
      </c>
      <c r="G606" s="10">
        <f>VLOOKUP(Tabla1[[#This Row],[Código Unificador]],PRECIOS_COMPETENCIA!B:D,3,FALSE)</f>
        <v>25.80886666666667</v>
      </c>
      <c r="H606" s="10">
        <f>Tabla1[[#This Row],[PVP Competencia]]*0.98</f>
        <v>25.292689333333335</v>
      </c>
      <c r="I606" s="10">
        <f>Tabla1[[#This Row],[Precio Lista CDR]]*0.8</f>
        <v>20.23415146666667</v>
      </c>
      <c r="J606" s="10">
        <f>Tabla1[[#This Row],[Precio Lista CDR]]*0.7</f>
        <v>17.704882533333333</v>
      </c>
      <c r="K606" s="10">
        <f>Tabla1[[#This Row],[Precio Lista CDR]]*0.6</f>
        <v>15.1756136</v>
      </c>
      <c r="L606" s="12">
        <f>(Tabla1[[#This Row],[Precio Lista CDR]]-Tabla1[[#This Row],[PrecioFábrica]])/Tabla1[[#This Row],[Precio Lista CDR]]</f>
        <v>0.79275961533443362</v>
      </c>
      <c r="M606" s="12">
        <f>(Tabla1[[#This Row],[Lista 1 (20%)]]-Tabla1[[#This Row],[PrecioFábrica]])/Tabla1[[#This Row],[Lista 1 (20%)]]</f>
        <v>0.74094951916804208</v>
      </c>
      <c r="N606" s="12">
        <f>(Tabla1[[#This Row],[Lista 2 (30%)]]-Tabla1[[#This Row],[PrecioFábrica]])/Tabla1[[#This Row],[Lista 2 (30%)]]</f>
        <v>0.70394230762061949</v>
      </c>
      <c r="O606" s="12">
        <f>(Tabla1[[#This Row],[Lista 3 (40%)]]-Tabla1[[#This Row],[PrecioFábrica]])/Tabla1[[#This Row],[Lista 3 (40%)]]</f>
        <v>0.65459935889072274</v>
      </c>
    </row>
    <row r="607" spans="1:15">
      <c r="A607" t="s">
        <v>6</v>
      </c>
      <c r="B607" t="s">
        <v>616</v>
      </c>
      <c r="C607" t="s">
        <v>1418</v>
      </c>
      <c r="D607" t="s">
        <v>811</v>
      </c>
      <c r="E607" t="s">
        <v>5</v>
      </c>
      <c r="F607" s="3">
        <v>4.75</v>
      </c>
      <c r="G607" s="10">
        <f>VLOOKUP(Tabla1[[#This Row],[Código Unificador]],PRECIOS_COMPETENCIA!B:D,3,FALSE)</f>
        <v>24.326000000000001</v>
      </c>
      <c r="H607" s="10">
        <f>Tabla1[[#This Row],[PVP Competencia]]*0.98</f>
        <v>23.839480000000002</v>
      </c>
      <c r="I607" s="10">
        <f>Tabla1[[#This Row],[Precio Lista CDR]]*0.8</f>
        <v>19.071584000000001</v>
      </c>
      <c r="J607" s="10">
        <f>Tabla1[[#This Row],[Precio Lista CDR]]*0.7</f>
        <v>16.687636000000001</v>
      </c>
      <c r="K607" s="10">
        <f>Tabla1[[#This Row],[Precio Lista CDR]]*0.6</f>
        <v>14.303688000000001</v>
      </c>
      <c r="L607" s="12">
        <f>(Tabla1[[#This Row],[Precio Lista CDR]]-Tabla1[[#This Row],[PrecioFábrica]])/Tabla1[[#This Row],[Precio Lista CDR]]</f>
        <v>0.80075068751499612</v>
      </c>
      <c r="M607" s="12">
        <f>(Tabla1[[#This Row],[Lista 1 (20%)]]-Tabla1[[#This Row],[PrecioFábrica]])/Tabla1[[#This Row],[Lista 1 (20%)]]</f>
        <v>0.7509383593937452</v>
      </c>
      <c r="N607" s="12">
        <f>(Tabla1[[#This Row],[Lista 2 (30%)]]-Tabla1[[#This Row],[PrecioFábrica]])/Tabla1[[#This Row],[Lista 2 (30%)]]</f>
        <v>0.71535812502142304</v>
      </c>
      <c r="O607" s="12">
        <f>(Tabla1[[#This Row],[Lista 3 (40%)]]-Tabla1[[#This Row],[PrecioFábrica]])/Tabla1[[#This Row],[Lista 3 (40%)]]</f>
        <v>0.6679178125249936</v>
      </c>
    </row>
    <row r="608" spans="1:15">
      <c r="A608" t="s">
        <v>9</v>
      </c>
      <c r="B608" t="s">
        <v>617</v>
      </c>
      <c r="C608" t="s">
        <v>1419</v>
      </c>
      <c r="D608" t="s">
        <v>811</v>
      </c>
      <c r="E608" t="s">
        <v>5</v>
      </c>
      <c r="F608" s="3">
        <v>14.958333333333334</v>
      </c>
      <c r="G608" s="10">
        <f>VLOOKUP(Tabla1[[#This Row],[Código Unificador]],PRECIOS_COMPETENCIA!B:D,3,FALSE)</f>
        <v>56.849500000000013</v>
      </c>
      <c r="H608" s="10">
        <f>Tabla1[[#This Row],[PVP Competencia]]*0.98</f>
        <v>55.712510000000009</v>
      </c>
      <c r="I608" s="10">
        <f>Tabla1[[#This Row],[Precio Lista CDR]]*0.8</f>
        <v>44.570008000000009</v>
      </c>
      <c r="J608" s="10">
        <f>Tabla1[[#This Row],[Precio Lista CDR]]*0.7</f>
        <v>38.998757000000005</v>
      </c>
      <c r="K608" s="10">
        <f>Tabla1[[#This Row],[Precio Lista CDR]]*0.6</f>
        <v>33.427506000000001</v>
      </c>
      <c r="L608" s="12">
        <f>(Tabla1[[#This Row],[Precio Lista CDR]]-Tabla1[[#This Row],[PrecioFábrica]])/Tabla1[[#This Row],[Precio Lista CDR]]</f>
        <v>0.73150853671225124</v>
      </c>
      <c r="M608" s="12">
        <f>(Tabla1[[#This Row],[Lista 1 (20%)]]-Tabla1[[#This Row],[PrecioFábrica]])/Tabla1[[#This Row],[Lista 1 (20%)]]</f>
        <v>0.66438567089031408</v>
      </c>
      <c r="N608" s="12">
        <f>(Tabla1[[#This Row],[Lista 2 (30%)]]-Tabla1[[#This Row],[PrecioFábrica]])/Tabla1[[#This Row],[Lista 2 (30%)]]</f>
        <v>0.61644076673178749</v>
      </c>
      <c r="O608" s="12">
        <f>(Tabla1[[#This Row],[Lista 3 (40%)]]-Tabla1[[#This Row],[PrecioFábrica]])/Tabla1[[#This Row],[Lista 3 (40%)]]</f>
        <v>0.55251422785375204</v>
      </c>
    </row>
    <row r="609" spans="1:15">
      <c r="A609" t="s">
        <v>7</v>
      </c>
      <c r="B609" t="s">
        <v>618</v>
      </c>
      <c r="C609" t="s">
        <v>1420</v>
      </c>
      <c r="D609" t="s">
        <v>811</v>
      </c>
      <c r="E609" t="s">
        <v>5</v>
      </c>
      <c r="F609" s="3">
        <v>5.541666666666667</v>
      </c>
      <c r="G609" s="10">
        <f>VLOOKUP(Tabla1[[#This Row],[Código Unificador]],PRECIOS_COMPETENCIA!B:D,3,FALSE)</f>
        <v>27.035083333333333</v>
      </c>
      <c r="H609" s="10">
        <f>Tabla1[[#This Row],[PVP Competencia]]*0.98</f>
        <v>26.494381666666666</v>
      </c>
      <c r="I609" s="10">
        <f>Tabla1[[#This Row],[Precio Lista CDR]]*0.8</f>
        <v>21.195505333333333</v>
      </c>
      <c r="J609" s="10">
        <f>Tabla1[[#This Row],[Precio Lista CDR]]*0.7</f>
        <v>18.546067166666663</v>
      </c>
      <c r="K609" s="10">
        <f>Tabla1[[#This Row],[Precio Lista CDR]]*0.6</f>
        <v>15.896628999999999</v>
      </c>
      <c r="L609" s="12">
        <f>(Tabla1[[#This Row],[Precio Lista CDR]]-Tabla1[[#This Row],[PrecioFábrica]])/Tabla1[[#This Row],[Precio Lista CDR]]</f>
        <v>0.79083615777911143</v>
      </c>
      <c r="M609" s="12">
        <f>(Tabla1[[#This Row],[Lista 1 (20%)]]-Tabla1[[#This Row],[PrecioFábrica]])/Tabla1[[#This Row],[Lista 1 (20%)]]</f>
        <v>0.73854519722388934</v>
      </c>
      <c r="N609" s="12">
        <f>(Tabla1[[#This Row],[Lista 2 (30%)]]-Tabla1[[#This Row],[PrecioFábrica]])/Tabla1[[#This Row],[Lista 2 (30%)]]</f>
        <v>0.70119451111301634</v>
      </c>
      <c r="O609" s="12">
        <f>(Tabla1[[#This Row],[Lista 3 (40%)]]-Tabla1[[#This Row],[PrecioFábrica]])/Tabla1[[#This Row],[Lista 3 (40%)]]</f>
        <v>0.65139359629851923</v>
      </c>
    </row>
    <row r="610" spans="1:15">
      <c r="A610" t="s">
        <v>6</v>
      </c>
      <c r="B610" t="s">
        <v>619</v>
      </c>
      <c r="C610" t="s">
        <v>1421</v>
      </c>
      <c r="D610" t="s">
        <v>811</v>
      </c>
      <c r="E610" t="s">
        <v>5</v>
      </c>
      <c r="F610" s="3">
        <v>4.541666666666667</v>
      </c>
      <c r="G610" s="10">
        <f>VLOOKUP(Tabla1[[#This Row],[Código Unificador]],PRECIOS_COMPETENCIA!B:D,3,FALSE)</f>
        <v>23.565958333333334</v>
      </c>
      <c r="H610" s="10">
        <f>Tabla1[[#This Row],[PVP Competencia]]*0.98</f>
        <v>23.094639166666667</v>
      </c>
      <c r="I610" s="10">
        <f>Tabla1[[#This Row],[Precio Lista CDR]]*0.8</f>
        <v>18.475711333333333</v>
      </c>
      <c r="J610" s="10">
        <f>Tabla1[[#This Row],[Precio Lista CDR]]*0.7</f>
        <v>16.166247416666668</v>
      </c>
      <c r="K610" s="10">
        <f>Tabla1[[#This Row],[Precio Lista CDR]]*0.6</f>
        <v>13.856783500000001</v>
      </c>
      <c r="L610" s="12">
        <f>(Tabla1[[#This Row],[Precio Lista CDR]]-Tabla1[[#This Row],[PrecioFábrica]])/Tabla1[[#This Row],[Precio Lista CDR]]</f>
        <v>0.80334541562260819</v>
      </c>
      <c r="M610" s="12">
        <f>(Tabla1[[#This Row],[Lista 1 (20%)]]-Tabla1[[#This Row],[PrecioFábrica]])/Tabla1[[#This Row],[Lista 1 (20%)]]</f>
        <v>0.75418176952826022</v>
      </c>
      <c r="N610" s="12">
        <f>(Tabla1[[#This Row],[Lista 2 (30%)]]-Tabla1[[#This Row],[PrecioFábrica]])/Tabla1[[#This Row],[Lista 2 (30%)]]</f>
        <v>0.71906487946086883</v>
      </c>
      <c r="O610" s="12">
        <f>(Tabla1[[#This Row],[Lista 3 (40%)]]-Tabla1[[#This Row],[PrecioFábrica]])/Tabla1[[#This Row],[Lista 3 (40%)]]</f>
        <v>0.67224235937101373</v>
      </c>
    </row>
    <row r="611" spans="1:15">
      <c r="A611" t="s">
        <v>7</v>
      </c>
      <c r="B611" t="s">
        <v>620</v>
      </c>
      <c r="C611" t="s">
        <v>1422</v>
      </c>
      <c r="D611" t="s">
        <v>811</v>
      </c>
      <c r="E611" t="s">
        <v>5</v>
      </c>
      <c r="F611" s="3">
        <v>5.8166666666666673</v>
      </c>
      <c r="G611" s="10">
        <f>VLOOKUP(Tabla1[[#This Row],[Código Unificador]],PRECIOS_COMPETENCIA!B:D,3,FALSE)</f>
        <v>27.205700000000004</v>
      </c>
      <c r="H611" s="10">
        <f>Tabla1[[#This Row],[PVP Competencia]]*0.98</f>
        <v>26.661586000000003</v>
      </c>
      <c r="I611" s="10">
        <f>Tabla1[[#This Row],[Precio Lista CDR]]*0.8</f>
        <v>21.329268800000005</v>
      </c>
      <c r="J611" s="10">
        <f>Tabla1[[#This Row],[Precio Lista CDR]]*0.7</f>
        <v>18.663110200000002</v>
      </c>
      <c r="K611" s="10">
        <f>Tabla1[[#This Row],[Precio Lista CDR]]*0.6</f>
        <v>15.996951600000001</v>
      </c>
      <c r="L611" s="12">
        <f>(Tabla1[[#This Row],[Precio Lista CDR]]-Tabla1[[#This Row],[PrecioFábrica]])/Tabla1[[#This Row],[Precio Lista CDR]]</f>
        <v>0.78183343381497761</v>
      </c>
      <c r="M611" s="12">
        <f>(Tabla1[[#This Row],[Lista 1 (20%)]]-Tabla1[[#This Row],[PrecioFábrica]])/Tabla1[[#This Row],[Lista 1 (20%)]]</f>
        <v>0.72729179226872209</v>
      </c>
      <c r="N611" s="12">
        <f>(Tabla1[[#This Row],[Lista 2 (30%)]]-Tabla1[[#This Row],[PrecioFábrica]])/Tabla1[[#This Row],[Lista 2 (30%)]]</f>
        <v>0.68833347687853952</v>
      </c>
      <c r="O611" s="12">
        <f>(Tabla1[[#This Row],[Lista 3 (40%)]]-Tabla1[[#This Row],[PrecioFábrica]])/Tabla1[[#This Row],[Lista 3 (40%)]]</f>
        <v>0.6363890563582959</v>
      </c>
    </row>
    <row r="612" spans="1:15">
      <c r="A612" t="s">
        <v>9</v>
      </c>
      <c r="B612" t="s">
        <v>621</v>
      </c>
      <c r="C612" t="s">
        <v>1423</v>
      </c>
      <c r="D612" t="s">
        <v>811</v>
      </c>
      <c r="E612" t="s">
        <v>5</v>
      </c>
      <c r="F612" s="3">
        <v>5.8833333333333329</v>
      </c>
      <c r="G612" s="10">
        <f>VLOOKUP(Tabla1[[#This Row],[Código Unificador]],PRECIOS_COMPETENCIA!B:D,3,FALSE)</f>
        <v>27.74413333333333</v>
      </c>
      <c r="H612" s="10">
        <f>Tabla1[[#This Row],[PVP Competencia]]*0.98</f>
        <v>27.189250666666663</v>
      </c>
      <c r="I612" s="10">
        <f>Tabla1[[#This Row],[Precio Lista CDR]]*0.8</f>
        <v>21.751400533333332</v>
      </c>
      <c r="J612" s="10">
        <f>Tabla1[[#This Row],[Precio Lista CDR]]*0.7</f>
        <v>19.032475466666664</v>
      </c>
      <c r="K612" s="10">
        <f>Tabla1[[#This Row],[Precio Lista CDR]]*0.6</f>
        <v>16.313550399999997</v>
      </c>
      <c r="L612" s="12">
        <f>(Tabla1[[#This Row],[Precio Lista CDR]]-Tabla1[[#This Row],[PrecioFábrica]])/Tabla1[[#This Row],[Precio Lista CDR]]</f>
        <v>0.78361546607291566</v>
      </c>
      <c r="M612" s="12">
        <f>(Tabla1[[#This Row],[Lista 1 (20%)]]-Tabla1[[#This Row],[PrecioFábrica]])/Tabla1[[#This Row],[Lista 1 (20%)]]</f>
        <v>0.72951933259114465</v>
      </c>
      <c r="N612" s="12">
        <f>(Tabla1[[#This Row],[Lista 2 (30%)]]-Tabla1[[#This Row],[PrecioFábrica]])/Tabla1[[#This Row],[Lista 2 (30%)]]</f>
        <v>0.69087923724702238</v>
      </c>
      <c r="O612" s="12">
        <f>(Tabla1[[#This Row],[Lista 3 (40%)]]-Tabla1[[#This Row],[PrecioFábrica]])/Tabla1[[#This Row],[Lista 3 (40%)]]</f>
        <v>0.63935911012152613</v>
      </c>
    </row>
    <row r="613" spans="1:15">
      <c r="A613" t="s">
        <v>7</v>
      </c>
      <c r="B613" t="s">
        <v>622</v>
      </c>
      <c r="C613" t="s">
        <v>1424</v>
      </c>
      <c r="D613" t="s">
        <v>811</v>
      </c>
      <c r="E613" t="s">
        <v>5</v>
      </c>
      <c r="F613" s="3">
        <v>5.9250000000000007</v>
      </c>
      <c r="G613" s="10">
        <f>VLOOKUP(Tabla1[[#This Row],[Código Unificador]],PRECIOS_COMPETENCIA!B:D,3,FALSE)</f>
        <v>27.869800000000005</v>
      </c>
      <c r="H613" s="10">
        <f>Tabla1[[#This Row],[PVP Competencia]]*0.98</f>
        <v>27.312404000000004</v>
      </c>
      <c r="I613" s="10">
        <f>Tabla1[[#This Row],[Precio Lista CDR]]*0.8</f>
        <v>21.849923200000006</v>
      </c>
      <c r="J613" s="10">
        <f>Tabla1[[#This Row],[Precio Lista CDR]]*0.7</f>
        <v>19.118682800000002</v>
      </c>
      <c r="K613" s="10">
        <f>Tabla1[[#This Row],[Precio Lista CDR]]*0.6</f>
        <v>16.387442400000001</v>
      </c>
      <c r="L613" s="12">
        <f>(Tabla1[[#This Row],[Precio Lista CDR]]-Tabla1[[#This Row],[PrecioFábrica]])/Tabla1[[#This Row],[Precio Lista CDR]]</f>
        <v>0.78306559905894768</v>
      </c>
      <c r="M613" s="12">
        <f>(Tabla1[[#This Row],[Lista 1 (20%)]]-Tabla1[[#This Row],[PrecioFábrica]])/Tabla1[[#This Row],[Lista 1 (20%)]]</f>
        <v>0.72883199882368466</v>
      </c>
      <c r="N613" s="12">
        <f>(Tabla1[[#This Row],[Lista 2 (30%)]]-Tabla1[[#This Row],[PrecioFábrica]])/Tabla1[[#This Row],[Lista 2 (30%)]]</f>
        <v>0.69009371294135391</v>
      </c>
      <c r="O613" s="12">
        <f>(Tabla1[[#This Row],[Lista 3 (40%)]]-Tabla1[[#This Row],[PrecioFábrica]])/Tabla1[[#This Row],[Lista 3 (40%)]]</f>
        <v>0.63844266509824621</v>
      </c>
    </row>
    <row r="614" spans="1:15">
      <c r="A614" t="s">
        <v>9</v>
      </c>
      <c r="B614" t="s">
        <v>623</v>
      </c>
      <c r="C614" t="s">
        <v>1425</v>
      </c>
      <c r="D614" t="s">
        <v>811</v>
      </c>
      <c r="E614" t="s">
        <v>5</v>
      </c>
      <c r="F614" s="3">
        <v>12.166666666666666</v>
      </c>
      <c r="G614" s="10">
        <f>VLOOKUP(Tabla1[[#This Row],[Código Unificador]],PRECIOS_COMPETENCIA!B:D,3,FALSE)</f>
        <v>47.400333333333336</v>
      </c>
      <c r="H614" s="10">
        <f>Tabla1[[#This Row],[PVP Competencia]]*0.98</f>
        <v>46.452326666666671</v>
      </c>
      <c r="I614" s="10">
        <f>Tabla1[[#This Row],[Precio Lista CDR]]*0.8</f>
        <v>37.161861333333341</v>
      </c>
      <c r="J614" s="10">
        <f>Tabla1[[#This Row],[Precio Lista CDR]]*0.7</f>
        <v>32.516628666666669</v>
      </c>
      <c r="K614" s="10">
        <f>Tabla1[[#This Row],[Precio Lista CDR]]*0.6</f>
        <v>27.871396000000001</v>
      </c>
      <c r="L614" s="12">
        <f>(Tabla1[[#This Row],[Precio Lista CDR]]-Tabla1[[#This Row],[PrecioFábrica]])/Tabla1[[#This Row],[Precio Lista CDR]]</f>
        <v>0.73808272825659693</v>
      </c>
      <c r="M614" s="12">
        <f>(Tabla1[[#This Row],[Lista 1 (20%)]]-Tabla1[[#This Row],[PrecioFábrica]])/Tabla1[[#This Row],[Lista 1 (20%)]]</f>
        <v>0.67260341032074622</v>
      </c>
      <c r="N614" s="12">
        <f>(Tabla1[[#This Row],[Lista 2 (30%)]]-Tabla1[[#This Row],[PrecioFábrica]])/Tabla1[[#This Row],[Lista 2 (30%)]]</f>
        <v>0.6258324689379956</v>
      </c>
      <c r="O614" s="12">
        <f>(Tabla1[[#This Row],[Lista 3 (40%)]]-Tabla1[[#This Row],[PrecioFábrica]])/Tabla1[[#This Row],[Lista 3 (40%)]]</f>
        <v>0.56347121376099474</v>
      </c>
    </row>
    <row r="615" spans="1:15">
      <c r="A615" t="s">
        <v>7</v>
      </c>
      <c r="B615" t="s">
        <v>624</v>
      </c>
      <c r="C615" t="s">
        <v>1426</v>
      </c>
      <c r="D615" t="s">
        <v>811</v>
      </c>
      <c r="E615" t="s">
        <v>5</v>
      </c>
      <c r="F615" s="3">
        <v>5.7750000000000004</v>
      </c>
      <c r="G615" s="10">
        <f>VLOOKUP(Tabla1[[#This Row],[Código Unificador]],PRECIOS_COMPETENCIA!B:D,3,FALSE)</f>
        <v>27.919825000000003</v>
      </c>
      <c r="H615" s="10">
        <f>Tabla1[[#This Row],[PVP Competencia]]*0.98</f>
        <v>27.361428500000002</v>
      </c>
      <c r="I615" s="10">
        <f>Tabla1[[#This Row],[Precio Lista CDR]]*0.8</f>
        <v>21.889142800000002</v>
      </c>
      <c r="J615" s="10">
        <f>Tabla1[[#This Row],[Precio Lista CDR]]*0.7</f>
        <v>19.152999950000002</v>
      </c>
      <c r="K615" s="10">
        <f>Tabla1[[#This Row],[Precio Lista CDR]]*0.6</f>
        <v>16.416857100000001</v>
      </c>
      <c r="L615" s="12">
        <f>(Tabla1[[#This Row],[Precio Lista CDR]]-Tabla1[[#This Row],[PrecioFábrica]])/Tabla1[[#This Row],[Precio Lista CDR]]</f>
        <v>0.78893645848936589</v>
      </c>
      <c r="M615" s="12">
        <f>(Tabla1[[#This Row],[Lista 1 (20%)]]-Tabla1[[#This Row],[PrecioFábrica]])/Tabla1[[#This Row],[Lista 1 (20%)]]</f>
        <v>0.7361705731117073</v>
      </c>
      <c r="N615" s="12">
        <f>(Tabla1[[#This Row],[Lista 2 (30%)]]-Tabla1[[#This Row],[PrecioFábrica]])/Tabla1[[#This Row],[Lista 2 (30%)]]</f>
        <v>0.69848065498480827</v>
      </c>
      <c r="O615" s="12">
        <f>(Tabla1[[#This Row],[Lista 3 (40%)]]-Tabla1[[#This Row],[PrecioFábrica]])/Tabla1[[#This Row],[Lista 3 (40%)]]</f>
        <v>0.64822743081560963</v>
      </c>
    </row>
    <row r="616" spans="1:15">
      <c r="A616" t="s">
        <v>6</v>
      </c>
      <c r="B616" t="s">
        <v>625</v>
      </c>
      <c r="C616" t="s">
        <v>1427</v>
      </c>
      <c r="D616" t="s">
        <v>811</v>
      </c>
      <c r="E616" t="s">
        <v>5</v>
      </c>
      <c r="F616" s="3">
        <v>6.95</v>
      </c>
      <c r="G616" s="10">
        <f>VLOOKUP(Tabla1[[#This Row],[Código Unificador]],PRECIOS_COMPETENCIA!B:D,3,FALSE)</f>
        <v>31.364300000000004</v>
      </c>
      <c r="H616" s="10">
        <f>Tabla1[[#This Row],[PVP Competencia]]*0.98</f>
        <v>30.737014000000002</v>
      </c>
      <c r="I616" s="10">
        <f>Tabla1[[#This Row],[Precio Lista CDR]]*0.8</f>
        <v>24.589611200000004</v>
      </c>
      <c r="J616" s="10">
        <f>Tabla1[[#This Row],[Precio Lista CDR]]*0.7</f>
        <v>21.515909799999999</v>
      </c>
      <c r="K616" s="10">
        <f>Tabla1[[#This Row],[Precio Lista CDR]]*0.6</f>
        <v>18.442208400000002</v>
      </c>
      <c r="L616" s="12">
        <f>(Tabla1[[#This Row],[Precio Lista CDR]]-Tabla1[[#This Row],[PrecioFábrica]])/Tabla1[[#This Row],[Precio Lista CDR]]</f>
        <v>0.77388825082358359</v>
      </c>
      <c r="M616" s="12">
        <f>(Tabla1[[#This Row],[Lista 1 (20%)]]-Tabla1[[#This Row],[PrecioFábrica]])/Tabla1[[#This Row],[Lista 1 (20%)]]</f>
        <v>0.7173603135294796</v>
      </c>
      <c r="N616" s="12">
        <f>(Tabla1[[#This Row],[Lista 2 (30%)]]-Tabla1[[#This Row],[PrecioFábrica]])/Tabla1[[#This Row],[Lista 2 (30%)]]</f>
        <v>0.67698321546226226</v>
      </c>
      <c r="O616" s="12">
        <f>(Tabla1[[#This Row],[Lista 3 (40%)]]-Tabla1[[#This Row],[PrecioFábrica]])/Tabla1[[#This Row],[Lista 3 (40%)]]</f>
        <v>0.62314708470597269</v>
      </c>
    </row>
    <row r="617" spans="1:15">
      <c r="A617" t="s">
        <v>6</v>
      </c>
      <c r="B617" t="s">
        <v>626</v>
      </c>
      <c r="C617" t="s">
        <v>1428</v>
      </c>
      <c r="D617" t="s">
        <v>811</v>
      </c>
      <c r="E617" t="s">
        <v>5</v>
      </c>
      <c r="F617" s="3">
        <v>7.6750000000000007</v>
      </c>
      <c r="G617" s="10">
        <f>VLOOKUP(Tabla1[[#This Row],[Código Unificador]],PRECIOS_COMPETENCIA!B:D,3,FALSE)</f>
        <v>33.37037500000001</v>
      </c>
      <c r="H617" s="10">
        <f>Tabla1[[#This Row],[PVP Competencia]]*0.98</f>
        <v>32.702967500000007</v>
      </c>
      <c r="I617" s="10">
        <f>Tabla1[[#This Row],[Precio Lista CDR]]*0.8</f>
        <v>26.162374000000007</v>
      </c>
      <c r="J617" s="10">
        <f>Tabla1[[#This Row],[Precio Lista CDR]]*0.7</f>
        <v>22.892077250000003</v>
      </c>
      <c r="K617" s="10">
        <f>Tabla1[[#This Row],[Precio Lista CDR]]*0.6</f>
        <v>19.621780500000003</v>
      </c>
      <c r="L617" s="12">
        <f>(Tabla1[[#This Row],[Precio Lista CDR]]-Tabla1[[#This Row],[PrecioFábrica]])/Tabla1[[#This Row],[Precio Lista CDR]]</f>
        <v>0.76531181765079881</v>
      </c>
      <c r="M617" s="12">
        <f>(Tabla1[[#This Row],[Lista 1 (20%)]]-Tabla1[[#This Row],[PrecioFábrica]])/Tabla1[[#This Row],[Lista 1 (20%)]]</f>
        <v>0.70663977206349859</v>
      </c>
      <c r="N617" s="12">
        <f>(Tabla1[[#This Row],[Lista 2 (30%)]]-Tabla1[[#This Row],[PrecioFábrica]])/Tabla1[[#This Row],[Lista 2 (30%)]]</f>
        <v>0.66473116807256971</v>
      </c>
      <c r="O617" s="12">
        <f>(Tabla1[[#This Row],[Lista 3 (40%)]]-Tabla1[[#This Row],[PrecioFábrica]])/Tabla1[[#This Row],[Lista 3 (40%)]]</f>
        <v>0.60885302941799802</v>
      </c>
    </row>
    <row r="618" spans="1:15">
      <c r="A618" t="s">
        <v>6</v>
      </c>
      <c r="B618" t="s">
        <v>627</v>
      </c>
      <c r="C618" t="s">
        <v>1429</v>
      </c>
      <c r="D618" t="s">
        <v>811</v>
      </c>
      <c r="E618" t="s">
        <v>5</v>
      </c>
      <c r="F618" s="3">
        <v>9.6833333333333336</v>
      </c>
      <c r="G618" s="10">
        <f>VLOOKUP(Tabla1[[#This Row],[Código Unificador]],PRECIOS_COMPETENCIA!B:D,3,FALSE)</f>
        <v>40.047383333333336</v>
      </c>
      <c r="H618" s="10">
        <f>Tabla1[[#This Row],[PVP Competencia]]*0.98</f>
        <v>39.24643566666667</v>
      </c>
      <c r="I618" s="10">
        <f>Tabla1[[#This Row],[Precio Lista CDR]]*0.8</f>
        <v>31.397148533333336</v>
      </c>
      <c r="J618" s="10">
        <f>Tabla1[[#This Row],[Precio Lista CDR]]*0.7</f>
        <v>27.472504966666669</v>
      </c>
      <c r="K618" s="10">
        <f>Tabla1[[#This Row],[Precio Lista CDR]]*0.6</f>
        <v>23.547861400000002</v>
      </c>
      <c r="L618" s="12">
        <f>(Tabla1[[#This Row],[Precio Lista CDR]]-Tabla1[[#This Row],[PrecioFábrica]])/Tabla1[[#This Row],[Precio Lista CDR]]</f>
        <v>0.75326846454090313</v>
      </c>
      <c r="M618" s="12">
        <f>(Tabla1[[#This Row],[Lista 1 (20%)]]-Tabla1[[#This Row],[PrecioFábrica]])/Tabla1[[#This Row],[Lista 1 (20%)]]</f>
        <v>0.69158558067612885</v>
      </c>
      <c r="N618" s="12">
        <f>(Tabla1[[#This Row],[Lista 2 (30%)]]-Tabla1[[#This Row],[PrecioFábrica]])/Tabla1[[#This Row],[Lista 2 (30%)]]</f>
        <v>0.64752637791557588</v>
      </c>
      <c r="O618" s="12">
        <f>(Tabla1[[#This Row],[Lista 3 (40%)]]-Tabla1[[#This Row],[PrecioFábrica]])/Tabla1[[#This Row],[Lista 3 (40%)]]</f>
        <v>0.58878077423483843</v>
      </c>
    </row>
    <row r="619" spans="1:15">
      <c r="A619" t="s">
        <v>6</v>
      </c>
      <c r="B619" t="s">
        <v>628</v>
      </c>
      <c r="C619" t="s">
        <v>1430</v>
      </c>
      <c r="D619" t="s">
        <v>811</v>
      </c>
      <c r="E619" t="s">
        <v>5</v>
      </c>
      <c r="F619" s="3">
        <v>11.866666666666667</v>
      </c>
      <c r="G619" s="10">
        <f>VLOOKUP(Tabla1[[#This Row],[Código Unificador]],PRECIOS_COMPETENCIA!B:D,3,FALSE)</f>
        <v>46.822266666666671</v>
      </c>
      <c r="H619" s="10">
        <f>Tabla1[[#This Row],[PVP Competencia]]*0.98</f>
        <v>45.88582133333334</v>
      </c>
      <c r="I619" s="10">
        <f>Tabla1[[#This Row],[Precio Lista CDR]]*0.8</f>
        <v>36.708657066666674</v>
      </c>
      <c r="J619" s="10">
        <f>Tabla1[[#This Row],[Precio Lista CDR]]*0.7</f>
        <v>32.120074933333335</v>
      </c>
      <c r="K619" s="10">
        <f>Tabla1[[#This Row],[Precio Lista CDR]]*0.6</f>
        <v>27.531492800000002</v>
      </c>
      <c r="L619" s="12">
        <f>(Tabla1[[#This Row],[Precio Lista CDR]]-Tabla1[[#This Row],[PrecioFábrica]])/Tabla1[[#This Row],[Precio Lista CDR]]</f>
        <v>0.7413870707366802</v>
      </c>
      <c r="M619" s="12">
        <f>(Tabla1[[#This Row],[Lista 1 (20%)]]-Tabla1[[#This Row],[PrecioFábrica]])/Tabla1[[#This Row],[Lista 1 (20%)]]</f>
        <v>0.67673383842085022</v>
      </c>
      <c r="N619" s="12">
        <f>(Tabla1[[#This Row],[Lista 2 (30%)]]-Tabla1[[#This Row],[PrecioFábrica]])/Tabla1[[#This Row],[Lista 2 (30%)]]</f>
        <v>0.63055295819525736</v>
      </c>
      <c r="O619" s="12">
        <f>(Tabla1[[#This Row],[Lista 3 (40%)]]-Tabla1[[#This Row],[PrecioFábrica]])/Tabla1[[#This Row],[Lista 3 (40%)]]</f>
        <v>0.56897845122780022</v>
      </c>
    </row>
    <row r="620" spans="1:15">
      <c r="A620" t="s">
        <v>6</v>
      </c>
      <c r="B620" t="s">
        <v>629</v>
      </c>
      <c r="C620" t="s">
        <v>1431</v>
      </c>
      <c r="D620" t="s">
        <v>811</v>
      </c>
      <c r="E620" t="s">
        <v>5</v>
      </c>
      <c r="F620" s="3">
        <v>10.541666666666668</v>
      </c>
      <c r="G620" s="10">
        <f>VLOOKUP(Tabla1[[#This Row],[Código Unificador]],PRECIOS_COMPETENCIA!B:D,3,FALSE)</f>
        <v>41.182250000000003</v>
      </c>
      <c r="H620" s="10">
        <f>Tabla1[[#This Row],[PVP Competencia]]*0.98</f>
        <v>40.358605000000004</v>
      </c>
      <c r="I620" s="10">
        <f>Tabla1[[#This Row],[Precio Lista CDR]]*0.8</f>
        <v>32.286884000000008</v>
      </c>
      <c r="J620" s="10">
        <f>Tabla1[[#This Row],[Precio Lista CDR]]*0.7</f>
        <v>28.251023500000002</v>
      </c>
      <c r="K620" s="10">
        <f>Tabla1[[#This Row],[Precio Lista CDR]]*0.6</f>
        <v>24.215163</v>
      </c>
      <c r="L620" s="12">
        <f>(Tabla1[[#This Row],[Precio Lista CDR]]-Tabla1[[#This Row],[PrecioFábrica]])/Tabla1[[#This Row],[Precio Lista CDR]]</f>
        <v>0.73880002377023024</v>
      </c>
      <c r="M620" s="12">
        <f>(Tabla1[[#This Row],[Lista 1 (20%)]]-Tabla1[[#This Row],[PrecioFábrica]])/Tabla1[[#This Row],[Lista 1 (20%)]]</f>
        <v>0.67350002971278788</v>
      </c>
      <c r="N620" s="12">
        <f>(Tabla1[[#This Row],[Lista 2 (30%)]]-Tabla1[[#This Row],[PrecioFábrica]])/Tabla1[[#This Row],[Lista 2 (30%)]]</f>
        <v>0.62685717681461461</v>
      </c>
      <c r="O620" s="12">
        <f>(Tabla1[[#This Row],[Lista 3 (40%)]]-Tabla1[[#This Row],[PrecioFábrica]])/Tabla1[[#This Row],[Lista 3 (40%)]]</f>
        <v>0.56466670628371707</v>
      </c>
    </row>
    <row r="621" spans="1:15">
      <c r="A621" t="s">
        <v>6</v>
      </c>
      <c r="B621" t="s">
        <v>630</v>
      </c>
      <c r="C621" t="s">
        <v>1432</v>
      </c>
      <c r="D621" t="s">
        <v>811</v>
      </c>
      <c r="E621" t="s">
        <v>5</v>
      </c>
      <c r="F621" s="3">
        <v>17.391666666666669</v>
      </c>
      <c r="G621" s="10">
        <f>VLOOKUP(Tabla1[[#This Row],[Código Unificador]],PRECIOS_COMPETENCIA!B:D,3,FALSE)</f>
        <v>63.461983333333343</v>
      </c>
      <c r="H621" s="10">
        <f>Tabla1[[#This Row],[PVP Competencia]]*0.98</f>
        <v>62.192743666666672</v>
      </c>
      <c r="I621" s="10">
        <f>Tabla1[[#This Row],[Precio Lista CDR]]*0.8</f>
        <v>49.754194933333338</v>
      </c>
      <c r="J621" s="10">
        <f>Tabla1[[#This Row],[Precio Lista CDR]]*0.7</f>
        <v>43.534920566666671</v>
      </c>
      <c r="K621" s="10">
        <f>Tabla1[[#This Row],[Precio Lista CDR]]*0.6</f>
        <v>37.315646200000003</v>
      </c>
      <c r="L621" s="12">
        <f>(Tabla1[[#This Row],[Precio Lista CDR]]-Tabla1[[#This Row],[PrecioFábrica]])/Tabla1[[#This Row],[Precio Lista CDR]]</f>
        <v>0.72035858781403073</v>
      </c>
      <c r="M621" s="12">
        <f>(Tabla1[[#This Row],[Lista 1 (20%)]]-Tabla1[[#This Row],[PrecioFábrica]])/Tabla1[[#This Row],[Lista 1 (20%)]]</f>
        <v>0.65044823476753844</v>
      </c>
      <c r="N621" s="12">
        <f>(Tabla1[[#This Row],[Lista 2 (30%)]]-Tabla1[[#This Row],[PrecioFábrica]])/Tabla1[[#This Row],[Lista 2 (30%)]]</f>
        <v>0.6005122683057581</v>
      </c>
      <c r="O621" s="12">
        <f>(Tabla1[[#This Row],[Lista 3 (40%)]]-Tabla1[[#This Row],[PrecioFábrica]])/Tabla1[[#This Row],[Lista 3 (40%)]]</f>
        <v>0.5339309796900511</v>
      </c>
    </row>
    <row r="622" spans="1:15">
      <c r="A622" t="s">
        <v>9</v>
      </c>
      <c r="B622" t="s">
        <v>631</v>
      </c>
      <c r="C622" t="s">
        <v>1433</v>
      </c>
      <c r="D622" t="s">
        <v>811</v>
      </c>
      <c r="E622" t="s">
        <v>5</v>
      </c>
      <c r="F622" s="3">
        <v>27.15</v>
      </c>
      <c r="G622" s="10">
        <f>VLOOKUP(Tabla1[[#This Row],[Código Unificador]],PRECIOS_COMPETENCIA!B:D,3,FALSE)</f>
        <v>101.88439999999999</v>
      </c>
      <c r="H622" s="10">
        <f>Tabla1[[#This Row],[PVP Competencia]]*0.98</f>
        <v>99.846711999999982</v>
      </c>
      <c r="I622" s="10">
        <f>Tabla1[[#This Row],[Precio Lista CDR]]*0.8</f>
        <v>79.877369599999994</v>
      </c>
      <c r="J622" s="10">
        <f>Tabla1[[#This Row],[Precio Lista CDR]]*0.7</f>
        <v>69.892698399999986</v>
      </c>
      <c r="K622" s="10">
        <f>Tabla1[[#This Row],[Precio Lista CDR]]*0.6</f>
        <v>59.908027199999985</v>
      </c>
      <c r="L622" s="12">
        <f>(Tabla1[[#This Row],[Precio Lista CDR]]-Tabla1[[#This Row],[PrecioFábrica]])/Tabla1[[#This Row],[Precio Lista CDR]]</f>
        <v>0.72808318415132189</v>
      </c>
      <c r="M622" s="12">
        <f>(Tabla1[[#This Row],[Lista 1 (20%)]]-Tabla1[[#This Row],[PrecioFábrica]])/Tabla1[[#This Row],[Lista 1 (20%)]]</f>
        <v>0.6601039801891524</v>
      </c>
      <c r="N622" s="12">
        <f>(Tabla1[[#This Row],[Lista 2 (30%)]]-Tabla1[[#This Row],[PrecioFábrica]])/Tabla1[[#This Row],[Lista 2 (30%)]]</f>
        <v>0.61154740593045975</v>
      </c>
      <c r="O622" s="12">
        <f>(Tabla1[[#This Row],[Lista 3 (40%)]]-Tabla1[[#This Row],[PrecioFábrica]])/Tabla1[[#This Row],[Lista 3 (40%)]]</f>
        <v>0.54680530691886975</v>
      </c>
    </row>
    <row r="623" spans="1:15">
      <c r="A623" t="s">
        <v>9</v>
      </c>
      <c r="B623" t="s">
        <v>632</v>
      </c>
      <c r="C623" t="s">
        <v>1434</v>
      </c>
      <c r="D623" t="s">
        <v>811</v>
      </c>
      <c r="E623" t="s">
        <v>5</v>
      </c>
      <c r="F623" s="3">
        <v>40.491666666666674</v>
      </c>
      <c r="G623" s="10">
        <f>VLOOKUP(Tabla1[[#This Row],[Código Unificador]],PRECIOS_COMPETENCIA!B:D,3,FALSE)</f>
        <v>142.12286666666671</v>
      </c>
      <c r="H623" s="10">
        <f>Tabla1[[#This Row],[PVP Competencia]]*0.98</f>
        <v>139.28040933333338</v>
      </c>
      <c r="I623" s="10">
        <f>Tabla1[[#This Row],[Precio Lista CDR]]*0.8</f>
        <v>111.42432746666671</v>
      </c>
      <c r="J623" s="10">
        <f>Tabla1[[#This Row],[Precio Lista CDR]]*0.7</f>
        <v>97.496286533333361</v>
      </c>
      <c r="K623" s="10">
        <f>Tabla1[[#This Row],[Precio Lista CDR]]*0.6</f>
        <v>83.568245600000026</v>
      </c>
      <c r="L623" s="12">
        <f>(Tabla1[[#This Row],[Precio Lista CDR]]-Tabla1[[#This Row],[PrecioFábrica]])/Tabla1[[#This Row],[Precio Lista CDR]]</f>
        <v>0.70927952566710339</v>
      </c>
      <c r="M623" s="12">
        <f>(Tabla1[[#This Row],[Lista 1 (20%)]]-Tabla1[[#This Row],[PrecioFábrica]])/Tabla1[[#This Row],[Lista 1 (20%)]]</f>
        <v>0.6365994070838793</v>
      </c>
      <c r="N623" s="12">
        <f>(Tabla1[[#This Row],[Lista 2 (30%)]]-Tabla1[[#This Row],[PrecioFábrica]])/Tabla1[[#This Row],[Lista 2 (30%)]]</f>
        <v>0.58468503666729055</v>
      </c>
      <c r="O623" s="12">
        <f>(Tabla1[[#This Row],[Lista 3 (40%)]]-Tabla1[[#This Row],[PrecioFábrica]])/Tabla1[[#This Row],[Lista 3 (40%)]]</f>
        <v>0.51546587611183903</v>
      </c>
    </row>
    <row r="624" spans="1:15">
      <c r="A624" t="s">
        <v>7</v>
      </c>
      <c r="B624" t="s">
        <v>633</v>
      </c>
      <c r="C624" t="s">
        <v>1435</v>
      </c>
      <c r="D624" t="s">
        <v>811</v>
      </c>
      <c r="E624" t="s">
        <v>5</v>
      </c>
      <c r="F624" s="3">
        <v>2.4916666666666671</v>
      </c>
      <c r="G624" s="10">
        <f>VLOOKUP(Tabla1[[#This Row],[Código Unificador]],PRECIOS_COMPETENCIA!B:D,3,FALSE)</f>
        <v>17.51486666666667</v>
      </c>
      <c r="H624" s="10">
        <f>Tabla1[[#This Row],[PVP Competencia]]*0.98</f>
        <v>17.164569333333336</v>
      </c>
      <c r="I624" s="10">
        <f>Tabla1[[#This Row],[Precio Lista CDR]]*0.8</f>
        <v>13.73165546666667</v>
      </c>
      <c r="J624" s="10">
        <f>Tabla1[[#This Row],[Precio Lista CDR]]*0.7</f>
        <v>12.015198533333335</v>
      </c>
      <c r="K624" s="10">
        <f>Tabla1[[#This Row],[Precio Lista CDR]]*0.6</f>
        <v>10.298741600000001</v>
      </c>
      <c r="L624" s="12">
        <f>(Tabla1[[#This Row],[Precio Lista CDR]]-Tabla1[[#This Row],[PrecioFábrica]])/Tabla1[[#This Row],[Precio Lista CDR]]</f>
        <v>0.85483663363298679</v>
      </c>
      <c r="M624" s="12">
        <f>(Tabla1[[#This Row],[Lista 1 (20%)]]-Tabla1[[#This Row],[PrecioFábrica]])/Tabla1[[#This Row],[Lista 1 (20%)]]</f>
        <v>0.81854579204123346</v>
      </c>
      <c r="N624" s="12">
        <f>(Tabla1[[#This Row],[Lista 2 (30%)]]-Tabla1[[#This Row],[PrecioFábrica]])/Tabla1[[#This Row],[Lista 2 (30%)]]</f>
        <v>0.79262376233283827</v>
      </c>
      <c r="O624" s="12">
        <f>(Tabla1[[#This Row],[Lista 3 (40%)]]-Tabla1[[#This Row],[PrecioFábrica]])/Tabla1[[#This Row],[Lista 3 (40%)]]</f>
        <v>0.75806105605497798</v>
      </c>
    </row>
    <row r="625" spans="1:15">
      <c r="A625" t="s">
        <v>7</v>
      </c>
      <c r="B625" t="s">
        <v>634</v>
      </c>
      <c r="C625" t="s">
        <v>1436</v>
      </c>
      <c r="D625" t="s">
        <v>811</v>
      </c>
      <c r="E625" t="s">
        <v>5</v>
      </c>
      <c r="F625" s="3">
        <v>2.7250000000000001</v>
      </c>
      <c r="G625" s="10">
        <f>VLOOKUP(Tabla1[[#This Row],[Código Unificador]],PRECIOS_COMPETENCIA!B:D,3,FALSE)</f>
        <v>18.297625000000004</v>
      </c>
      <c r="H625" s="10">
        <f>Tabla1[[#This Row],[PVP Competencia]]*0.98</f>
        <v>17.931672500000005</v>
      </c>
      <c r="I625" s="10">
        <f>Tabla1[[#This Row],[Precio Lista CDR]]*0.8</f>
        <v>14.345338000000005</v>
      </c>
      <c r="J625" s="10">
        <f>Tabla1[[#This Row],[Precio Lista CDR]]*0.7</f>
        <v>12.552170750000002</v>
      </c>
      <c r="K625" s="10">
        <f>Tabla1[[#This Row],[Precio Lista CDR]]*0.6</f>
        <v>10.759003500000002</v>
      </c>
      <c r="L625" s="12">
        <f>(Tabla1[[#This Row],[Precio Lista CDR]]-Tabla1[[#This Row],[PrecioFábrica]])/Tabla1[[#This Row],[Precio Lista CDR]]</f>
        <v>0.84803425335812932</v>
      </c>
      <c r="M625" s="12">
        <f>(Tabla1[[#This Row],[Lista 1 (20%)]]-Tabla1[[#This Row],[PrecioFábrica]])/Tabla1[[#This Row],[Lista 1 (20%)]]</f>
        <v>0.81004281669766176</v>
      </c>
      <c r="N625" s="12">
        <f>(Tabla1[[#This Row],[Lista 2 (30%)]]-Tabla1[[#This Row],[PrecioFábrica]])/Tabla1[[#This Row],[Lista 2 (30%)]]</f>
        <v>0.78290607622589903</v>
      </c>
      <c r="O625" s="12">
        <f>(Tabla1[[#This Row],[Lista 3 (40%)]]-Tabla1[[#This Row],[PrecioFábrica]])/Tabla1[[#This Row],[Lista 3 (40%)]]</f>
        <v>0.74672375559688231</v>
      </c>
    </row>
    <row r="626" spans="1:15">
      <c r="A626" t="s">
        <v>9</v>
      </c>
      <c r="B626" t="s">
        <v>635</v>
      </c>
      <c r="C626" t="s">
        <v>1437</v>
      </c>
      <c r="D626" t="s">
        <v>811</v>
      </c>
      <c r="E626" t="s">
        <v>5</v>
      </c>
      <c r="F626" s="3">
        <v>9.9499999999999993</v>
      </c>
      <c r="G626" s="10">
        <f>VLOOKUP(Tabla1[[#This Row],[Código Unificador]],PRECIOS_COMPETENCIA!B:D,3,FALSE)</f>
        <v>40.874850000000002</v>
      </c>
      <c r="H626" s="10">
        <f>Tabla1[[#This Row],[PVP Competencia]]*0.98</f>
        <v>40.057352999999999</v>
      </c>
      <c r="I626" s="10">
        <f>Tabla1[[#This Row],[Precio Lista CDR]]*0.8</f>
        <v>32.045882400000004</v>
      </c>
      <c r="J626" s="10">
        <f>Tabla1[[#This Row],[Precio Lista CDR]]*0.7</f>
        <v>28.040147099999999</v>
      </c>
      <c r="K626" s="10">
        <f>Tabla1[[#This Row],[Precio Lista CDR]]*0.6</f>
        <v>24.034411799999997</v>
      </c>
      <c r="L626" s="12">
        <f>(Tabla1[[#This Row],[Precio Lista CDR]]-Tabla1[[#This Row],[PrecioFábrica]])/Tabla1[[#This Row],[Precio Lista CDR]]</f>
        <v>0.75160615330723424</v>
      </c>
      <c r="M626" s="12">
        <f>(Tabla1[[#This Row],[Lista 1 (20%)]]-Tabla1[[#This Row],[PrecioFábrica]])/Tabla1[[#This Row],[Lista 1 (20%)]]</f>
        <v>0.68950769163404291</v>
      </c>
      <c r="N626" s="12">
        <f>(Tabla1[[#This Row],[Lista 2 (30%)]]-Tabla1[[#This Row],[PrecioFábrica]])/Tabla1[[#This Row],[Lista 2 (30%)]]</f>
        <v>0.64515164758176324</v>
      </c>
      <c r="O626" s="12">
        <f>(Tabla1[[#This Row],[Lista 3 (40%)]]-Tabla1[[#This Row],[PrecioFábrica]])/Tabla1[[#This Row],[Lista 3 (40%)]]</f>
        <v>0.5860102555120571</v>
      </c>
    </row>
    <row r="627" spans="1:15">
      <c r="A627" t="s">
        <v>7</v>
      </c>
      <c r="B627" t="s">
        <v>636</v>
      </c>
      <c r="C627" t="s">
        <v>1438</v>
      </c>
      <c r="D627" t="s">
        <v>811</v>
      </c>
      <c r="E627" t="s">
        <v>5</v>
      </c>
      <c r="F627" s="3">
        <v>10.408333333333333</v>
      </c>
      <c r="G627" s="10">
        <f>VLOOKUP(Tabla1[[#This Row],[Código Unificador]],PRECIOS_COMPETENCIA!B:D,3,FALSE)</f>
        <v>42.297058333333332</v>
      </c>
      <c r="H627" s="10">
        <f>Tabla1[[#This Row],[PVP Competencia]]*0.98</f>
        <v>41.451117166666663</v>
      </c>
      <c r="I627" s="10">
        <f>Tabla1[[#This Row],[Precio Lista CDR]]*0.8</f>
        <v>33.160893733333332</v>
      </c>
      <c r="J627" s="10">
        <f>Tabla1[[#This Row],[Precio Lista CDR]]*0.7</f>
        <v>29.015782016666662</v>
      </c>
      <c r="K627" s="10">
        <f>Tabla1[[#This Row],[Precio Lista CDR]]*0.6</f>
        <v>24.870670299999997</v>
      </c>
      <c r="L627" s="12">
        <f>(Tabla1[[#This Row],[Precio Lista CDR]]-Tabla1[[#This Row],[PrecioFábrica]])/Tabla1[[#This Row],[Precio Lista CDR]]</f>
        <v>0.74890101775825479</v>
      </c>
      <c r="M627" s="12">
        <f>(Tabla1[[#This Row],[Lista 1 (20%)]]-Tabla1[[#This Row],[PrecioFábrica]])/Tabla1[[#This Row],[Lista 1 (20%)]]</f>
        <v>0.68612627219781852</v>
      </c>
      <c r="N627" s="12">
        <f>(Tabla1[[#This Row],[Lista 2 (30%)]]-Tabla1[[#This Row],[PrecioFábrica]])/Tabla1[[#This Row],[Lista 2 (30%)]]</f>
        <v>0.64128716822607823</v>
      </c>
      <c r="O627" s="12">
        <f>(Tabla1[[#This Row],[Lista 3 (40%)]]-Tabla1[[#This Row],[PrecioFábrica]])/Tabla1[[#This Row],[Lista 3 (40%)]]</f>
        <v>0.58150169626375792</v>
      </c>
    </row>
    <row r="628" spans="1:15">
      <c r="A628" t="s">
        <v>7</v>
      </c>
      <c r="B628" t="s">
        <v>637</v>
      </c>
      <c r="C628" t="s">
        <v>1439</v>
      </c>
      <c r="D628" t="s">
        <v>811</v>
      </c>
      <c r="E628" t="s">
        <v>5</v>
      </c>
      <c r="F628" s="3">
        <v>12.658333333333333</v>
      </c>
      <c r="G628" s="10">
        <f>VLOOKUP(Tabla1[[#This Row],[Código Unificador]],PRECIOS_COMPETENCIA!B:D,3,FALSE)</f>
        <v>49.27880833333333</v>
      </c>
      <c r="H628" s="10">
        <f>Tabla1[[#This Row],[PVP Competencia]]*0.98</f>
        <v>48.293232166666662</v>
      </c>
      <c r="I628" s="10">
        <f>Tabla1[[#This Row],[Precio Lista CDR]]*0.8</f>
        <v>38.634585733333331</v>
      </c>
      <c r="J628" s="10">
        <f>Tabla1[[#This Row],[Precio Lista CDR]]*0.7</f>
        <v>33.805262516666659</v>
      </c>
      <c r="K628" s="10">
        <f>Tabla1[[#This Row],[Precio Lista CDR]]*0.6</f>
        <v>28.975939299999997</v>
      </c>
      <c r="L628" s="12">
        <f>(Tabla1[[#This Row],[Precio Lista CDR]]-Tabla1[[#This Row],[PrecioFábrica]])/Tabla1[[#This Row],[Precio Lista CDR]]</f>
        <v>0.73788597769460407</v>
      </c>
      <c r="M628" s="12">
        <f>(Tabla1[[#This Row],[Lista 1 (20%)]]-Tabla1[[#This Row],[PrecioFábrica]])/Tabla1[[#This Row],[Lista 1 (20%)]]</f>
        <v>0.67235747211825503</v>
      </c>
      <c r="N628" s="12">
        <f>(Tabla1[[#This Row],[Lista 2 (30%)]]-Tabla1[[#This Row],[PrecioFábrica]])/Tabla1[[#This Row],[Lista 2 (30%)]]</f>
        <v>0.62555139670657711</v>
      </c>
      <c r="O628" s="12">
        <f>(Tabla1[[#This Row],[Lista 3 (40%)]]-Tabla1[[#This Row],[PrecioFábrica]])/Tabla1[[#This Row],[Lista 3 (40%)]]</f>
        <v>0.56314329615767322</v>
      </c>
    </row>
    <row r="629" spans="1:15">
      <c r="A629" t="s">
        <v>6</v>
      </c>
      <c r="B629" t="s">
        <v>638</v>
      </c>
      <c r="C629" t="s">
        <v>1440</v>
      </c>
      <c r="D629" t="s">
        <v>811</v>
      </c>
      <c r="E629" t="s">
        <v>5</v>
      </c>
      <c r="F629" s="3">
        <v>15.075000000000001</v>
      </c>
      <c r="G629" s="10">
        <f>VLOOKUP(Tabla1[[#This Row],[Código Unificador]],PRECIOS_COMPETENCIA!B:D,3,FALSE)</f>
        <v>54.591850000000008</v>
      </c>
      <c r="H629" s="10">
        <f>Tabla1[[#This Row],[PVP Competencia]]*0.98</f>
        <v>53.50001300000001</v>
      </c>
      <c r="I629" s="10">
        <f>Tabla1[[#This Row],[Precio Lista CDR]]*0.8</f>
        <v>42.800010400000012</v>
      </c>
      <c r="J629" s="10">
        <f>Tabla1[[#This Row],[Precio Lista CDR]]*0.7</f>
        <v>37.450009100000003</v>
      </c>
      <c r="K629" s="10">
        <f>Tabla1[[#This Row],[Precio Lista CDR]]*0.6</f>
        <v>32.100007800000007</v>
      </c>
      <c r="L629" s="12">
        <f>(Tabla1[[#This Row],[Precio Lista CDR]]-Tabla1[[#This Row],[PrecioFábrica]])/Tabla1[[#This Row],[Precio Lista CDR]]</f>
        <v>0.71822436753426588</v>
      </c>
      <c r="M629" s="12">
        <f>(Tabla1[[#This Row],[Lista 1 (20%)]]-Tabla1[[#This Row],[PrecioFábrica]])/Tabla1[[#This Row],[Lista 1 (20%)]]</f>
        <v>0.64778045941783235</v>
      </c>
      <c r="N629" s="12">
        <f>(Tabla1[[#This Row],[Lista 2 (30%)]]-Tabla1[[#This Row],[PrecioFábrica]])/Tabla1[[#This Row],[Lista 2 (30%)]]</f>
        <v>0.59746338219180828</v>
      </c>
      <c r="O629" s="12">
        <f>(Tabla1[[#This Row],[Lista 3 (40%)]]-Tabla1[[#This Row],[PrecioFábrica]])/Tabla1[[#This Row],[Lista 3 (40%)]]</f>
        <v>0.53037394589044307</v>
      </c>
    </row>
    <row r="630" spans="1:15">
      <c r="A630" t="s">
        <v>9</v>
      </c>
      <c r="B630" t="s">
        <v>639</v>
      </c>
      <c r="C630" t="s">
        <v>1441</v>
      </c>
      <c r="D630" t="s">
        <v>811</v>
      </c>
      <c r="E630" t="s">
        <v>5</v>
      </c>
      <c r="F630" s="3">
        <v>18.399999999999999</v>
      </c>
      <c r="G630" s="10">
        <f>VLOOKUP(Tabla1[[#This Row],[Código Unificador]],PRECIOS_COMPETENCIA!B:D,3,FALSE)</f>
        <v>66.561599999999999</v>
      </c>
      <c r="H630" s="10">
        <f>Tabla1[[#This Row],[PVP Competencia]]*0.98</f>
        <v>65.230367999999999</v>
      </c>
      <c r="I630" s="10">
        <f>Tabla1[[#This Row],[Precio Lista CDR]]*0.8</f>
        <v>52.184294399999999</v>
      </c>
      <c r="J630" s="10">
        <f>Tabla1[[#This Row],[Precio Lista CDR]]*0.7</f>
        <v>45.661257599999999</v>
      </c>
      <c r="K630" s="10">
        <f>Tabla1[[#This Row],[Precio Lista CDR]]*0.6</f>
        <v>39.138220799999999</v>
      </c>
      <c r="L630" s="12">
        <f>(Tabla1[[#This Row],[Precio Lista CDR]]-Tabla1[[#This Row],[PrecioFábrica]])/Tabla1[[#This Row],[Precio Lista CDR]]</f>
        <v>0.71792279326095476</v>
      </c>
      <c r="M630" s="12">
        <f>(Tabla1[[#This Row],[Lista 1 (20%)]]-Tabla1[[#This Row],[PrecioFábrica]])/Tabla1[[#This Row],[Lista 1 (20%)]]</f>
        <v>0.64740349157619348</v>
      </c>
      <c r="N630" s="12">
        <f>(Tabla1[[#This Row],[Lista 2 (30%)]]-Tabla1[[#This Row],[PrecioFábrica]])/Tabla1[[#This Row],[Lista 2 (30%)]]</f>
        <v>0.59703256180136399</v>
      </c>
      <c r="O630" s="12">
        <f>(Tabla1[[#This Row],[Lista 3 (40%)]]-Tabla1[[#This Row],[PrecioFábrica]])/Tabla1[[#This Row],[Lista 3 (40%)]]</f>
        <v>0.52987132210159127</v>
      </c>
    </row>
    <row r="631" spans="1:15">
      <c r="A631" t="s">
        <v>7</v>
      </c>
      <c r="B631" t="s">
        <v>640</v>
      </c>
      <c r="C631" t="s">
        <v>1442</v>
      </c>
      <c r="D631" t="s">
        <v>811</v>
      </c>
      <c r="E631" t="s">
        <v>5</v>
      </c>
      <c r="F631" s="3">
        <v>3.1416666666666666</v>
      </c>
      <c r="G631" s="10">
        <f>VLOOKUP(Tabla1[[#This Row],[Código Unificador]],PRECIOS_COMPETENCIA!B:D,3,FALSE)</f>
        <v>19.839700000000001</v>
      </c>
      <c r="H631" s="10">
        <f>Tabla1[[#This Row],[PVP Competencia]]*0.98</f>
        <v>19.442906000000001</v>
      </c>
      <c r="I631" s="10">
        <f>Tabla1[[#This Row],[Precio Lista CDR]]*0.8</f>
        <v>15.554324800000002</v>
      </c>
      <c r="J631" s="10">
        <f>Tabla1[[#This Row],[Precio Lista CDR]]*0.7</f>
        <v>13.610034199999999</v>
      </c>
      <c r="K631" s="10">
        <f>Tabla1[[#This Row],[Precio Lista CDR]]*0.6</f>
        <v>11.665743600000001</v>
      </c>
      <c r="L631" s="12">
        <f>(Tabla1[[#This Row],[Precio Lista CDR]]-Tabla1[[#This Row],[PrecioFábrica]])/Tabla1[[#This Row],[Precio Lista CDR]]</f>
        <v>0.8384157868856299</v>
      </c>
      <c r="M631" s="12">
        <f>(Tabla1[[#This Row],[Lista 1 (20%)]]-Tabla1[[#This Row],[PrecioFábrica]])/Tabla1[[#This Row],[Lista 1 (20%)]]</f>
        <v>0.79801973360703726</v>
      </c>
      <c r="N631" s="12">
        <f>(Tabla1[[#This Row],[Lista 2 (30%)]]-Tabla1[[#This Row],[PrecioFábrica]])/Tabla1[[#This Row],[Lista 2 (30%)]]</f>
        <v>0.76916540983661397</v>
      </c>
      <c r="O631" s="12">
        <f>(Tabla1[[#This Row],[Lista 3 (40%)]]-Tabla1[[#This Row],[PrecioFábrica]])/Tabla1[[#This Row],[Lista 3 (40%)]]</f>
        <v>0.73069297814271628</v>
      </c>
    </row>
    <row r="632" spans="1:15">
      <c r="A632" t="s">
        <v>6</v>
      </c>
      <c r="B632" t="s">
        <v>641</v>
      </c>
      <c r="C632" t="s">
        <v>1443</v>
      </c>
      <c r="D632" t="s">
        <v>811</v>
      </c>
      <c r="E632" t="s">
        <v>5</v>
      </c>
      <c r="F632" s="3">
        <v>2.3833333333333333</v>
      </c>
      <c r="G632" s="10">
        <f>VLOOKUP(Tabla1[[#This Row],[Código Unificador]],PRECIOS_COMPETENCIA!B:D,3,FALSE)</f>
        <v>17.395483333333331</v>
      </c>
      <c r="H632" s="10">
        <f>Tabla1[[#This Row],[PVP Competencia]]*0.98</f>
        <v>17.047573666666665</v>
      </c>
      <c r="I632" s="10">
        <f>Tabla1[[#This Row],[Precio Lista CDR]]*0.8</f>
        <v>13.638058933333333</v>
      </c>
      <c r="J632" s="10">
        <f>Tabla1[[#This Row],[Precio Lista CDR]]*0.7</f>
        <v>11.933301566666664</v>
      </c>
      <c r="K632" s="10">
        <f>Tabla1[[#This Row],[Precio Lista CDR]]*0.6</f>
        <v>10.228544199999998</v>
      </c>
      <c r="L632" s="12">
        <f>(Tabla1[[#This Row],[Precio Lista CDR]]-Tabla1[[#This Row],[PrecioFábrica]])/Tabla1[[#This Row],[Precio Lista CDR]]</f>
        <v>0.86019515856420703</v>
      </c>
      <c r="M632" s="12">
        <f>(Tabla1[[#This Row],[Lista 1 (20%)]]-Tabla1[[#This Row],[PrecioFábrica]])/Tabla1[[#This Row],[Lista 1 (20%)]]</f>
        <v>0.82524394820525881</v>
      </c>
      <c r="N632" s="12">
        <f>(Tabla1[[#This Row],[Lista 2 (30%)]]-Tabla1[[#This Row],[PrecioFábrica]])/Tabla1[[#This Row],[Lista 2 (30%)]]</f>
        <v>0.80027879794886714</v>
      </c>
      <c r="O632" s="12">
        <f>(Tabla1[[#This Row],[Lista 3 (40%)]]-Tabla1[[#This Row],[PrecioFábrica]])/Tabla1[[#This Row],[Lista 3 (40%)]]</f>
        <v>0.76699193094034501</v>
      </c>
    </row>
    <row r="633" spans="1:15">
      <c r="A633" t="s">
        <v>6</v>
      </c>
      <c r="B633" t="s">
        <v>642</v>
      </c>
      <c r="C633" t="s">
        <v>1444</v>
      </c>
      <c r="D633" t="s">
        <v>811</v>
      </c>
      <c r="E633" t="s">
        <v>5</v>
      </c>
      <c r="F633" s="3">
        <v>2.5916666666666672</v>
      </c>
      <c r="G633" s="10">
        <f>VLOOKUP(Tabla1[[#This Row],[Código Unificador]],PRECIOS_COMPETENCIA!B:D,3,FALSE)</f>
        <v>17.81646666666667</v>
      </c>
      <c r="H633" s="10">
        <f>Tabla1[[#This Row],[PVP Competencia]]*0.98</f>
        <v>17.460137333333336</v>
      </c>
      <c r="I633" s="10">
        <f>Tabla1[[#This Row],[Precio Lista CDR]]*0.8</f>
        <v>13.968109866666669</v>
      </c>
      <c r="J633" s="10">
        <f>Tabla1[[#This Row],[Precio Lista CDR]]*0.7</f>
        <v>12.222096133333334</v>
      </c>
      <c r="K633" s="10">
        <f>Tabla1[[#This Row],[Precio Lista CDR]]*0.6</f>
        <v>10.476082400000001</v>
      </c>
      <c r="L633" s="12">
        <f>(Tabla1[[#This Row],[Precio Lista CDR]]-Tabla1[[#This Row],[PrecioFábrica]])/Tabla1[[#This Row],[Precio Lista CDR]]</f>
        <v>0.85156665052577285</v>
      </c>
      <c r="M633" s="12">
        <f>(Tabla1[[#This Row],[Lista 1 (20%)]]-Tabla1[[#This Row],[PrecioFábrica]])/Tabla1[[#This Row],[Lista 1 (20%)]]</f>
        <v>0.81445831315721617</v>
      </c>
      <c r="N633" s="12">
        <f>(Tabla1[[#This Row],[Lista 2 (30%)]]-Tabla1[[#This Row],[PrecioFábrica]])/Tabla1[[#This Row],[Lista 2 (30%)]]</f>
        <v>0.78795235789396123</v>
      </c>
      <c r="O633" s="12">
        <f>(Tabla1[[#This Row],[Lista 3 (40%)]]-Tabla1[[#This Row],[PrecioFábrica]])/Tabla1[[#This Row],[Lista 3 (40%)]]</f>
        <v>0.75261108420962153</v>
      </c>
    </row>
    <row r="634" spans="1:15">
      <c r="A634" t="s">
        <v>6</v>
      </c>
      <c r="B634" t="s">
        <v>643</v>
      </c>
      <c r="C634" t="s">
        <v>1445</v>
      </c>
      <c r="D634" t="s">
        <v>811</v>
      </c>
      <c r="E634" t="s">
        <v>5</v>
      </c>
      <c r="F634" s="3">
        <v>5.0583333333333336</v>
      </c>
      <c r="G634" s="10">
        <f>VLOOKUP(Tabla1[[#This Row],[Código Unificador]],PRECIOS_COMPETENCIA!B:D,3,FALSE)</f>
        <v>25.696008333333339</v>
      </c>
      <c r="H634" s="10">
        <f>Tabla1[[#This Row],[PVP Competencia]]*0.98</f>
        <v>25.18208816666667</v>
      </c>
      <c r="I634" s="10">
        <f>Tabla1[[#This Row],[Precio Lista CDR]]*0.8</f>
        <v>20.145670533333337</v>
      </c>
      <c r="J634" s="10">
        <f>Tabla1[[#This Row],[Precio Lista CDR]]*0.7</f>
        <v>17.627461716666669</v>
      </c>
      <c r="K634" s="10">
        <f>Tabla1[[#This Row],[Precio Lista CDR]]*0.6</f>
        <v>15.109252900000001</v>
      </c>
      <c r="L634" s="12">
        <f>(Tabla1[[#This Row],[Precio Lista CDR]]-Tabla1[[#This Row],[PrecioFábrica]])/Tabla1[[#This Row],[Precio Lista CDR]]</f>
        <v>0.79912971077477968</v>
      </c>
      <c r="M634" s="12">
        <f>(Tabla1[[#This Row],[Lista 1 (20%)]]-Tabla1[[#This Row],[PrecioFábrica]])/Tabla1[[#This Row],[Lista 1 (20%)]]</f>
        <v>0.7489121384684746</v>
      </c>
      <c r="N634" s="12">
        <f>(Tabla1[[#This Row],[Lista 2 (30%)]]-Tabla1[[#This Row],[PrecioFábrica]])/Tabla1[[#This Row],[Lista 2 (30%)]]</f>
        <v>0.71304244396397087</v>
      </c>
      <c r="O634" s="12">
        <f>(Tabla1[[#This Row],[Lista 3 (40%)]]-Tabla1[[#This Row],[PrecioFábrica]])/Tabla1[[#This Row],[Lista 3 (40%)]]</f>
        <v>0.66521618462463272</v>
      </c>
    </row>
    <row r="635" spans="1:15">
      <c r="A635" t="s">
        <v>6</v>
      </c>
      <c r="B635" t="s">
        <v>644</v>
      </c>
      <c r="C635" t="s">
        <v>1446</v>
      </c>
      <c r="D635" t="s">
        <v>811</v>
      </c>
      <c r="E635" t="s">
        <v>5</v>
      </c>
      <c r="F635" s="3">
        <v>6.9833333333333325</v>
      </c>
      <c r="G635" s="10">
        <f>VLOOKUP(Tabla1[[#This Row],[Código Unificador]],PRECIOS_COMPETENCIA!B:D,3,FALSE)</f>
        <v>31.264250000000001</v>
      </c>
      <c r="H635" s="10">
        <f>Tabla1[[#This Row],[PVP Competencia]]*0.98</f>
        <v>30.638964999999999</v>
      </c>
      <c r="I635" s="10">
        <f>Tabla1[[#This Row],[Precio Lista CDR]]*0.8</f>
        <v>24.511172000000002</v>
      </c>
      <c r="J635" s="10">
        <f>Tabla1[[#This Row],[Precio Lista CDR]]*0.7</f>
        <v>21.447275499999996</v>
      </c>
      <c r="K635" s="10">
        <f>Tabla1[[#This Row],[Precio Lista CDR]]*0.6</f>
        <v>18.383378999999998</v>
      </c>
      <c r="L635" s="12">
        <f>(Tabla1[[#This Row],[Precio Lista CDR]]-Tabla1[[#This Row],[PrecioFábrica]])/Tabla1[[#This Row],[Precio Lista CDR]]</f>
        <v>0.77207672213035483</v>
      </c>
      <c r="M635" s="12">
        <f>(Tabla1[[#This Row],[Lista 1 (20%)]]-Tabla1[[#This Row],[PrecioFábrica]])/Tabla1[[#This Row],[Lista 1 (20%)]]</f>
        <v>0.71509590266294354</v>
      </c>
      <c r="N635" s="12">
        <f>(Tabla1[[#This Row],[Lista 2 (30%)]]-Tabla1[[#This Row],[PrecioFábrica]])/Tabla1[[#This Row],[Lista 2 (30%)]]</f>
        <v>0.67439531732907831</v>
      </c>
      <c r="O635" s="12">
        <f>(Tabla1[[#This Row],[Lista 3 (40%)]]-Tabla1[[#This Row],[PrecioFábrica]])/Tabla1[[#This Row],[Lista 3 (40%)]]</f>
        <v>0.62012787021725801</v>
      </c>
    </row>
    <row r="636" spans="1:15">
      <c r="A636" t="s">
        <v>6</v>
      </c>
      <c r="B636" t="s">
        <v>645</v>
      </c>
      <c r="C636" t="s">
        <v>1447</v>
      </c>
      <c r="D636" t="s">
        <v>811</v>
      </c>
      <c r="E636" t="s">
        <v>5</v>
      </c>
      <c r="F636" s="3">
        <v>8.2416666666666671</v>
      </c>
      <c r="G636" s="10">
        <f>VLOOKUP(Tabla1[[#This Row],[Código Unificador]],PRECIOS_COMPETENCIA!B:D,3,FALSE)</f>
        <v>35.095875000000007</v>
      </c>
      <c r="H636" s="10">
        <f>Tabla1[[#This Row],[PVP Competencia]]*0.98</f>
        <v>34.393957500000006</v>
      </c>
      <c r="I636" s="10">
        <f>Tabla1[[#This Row],[Precio Lista CDR]]*0.8</f>
        <v>27.515166000000008</v>
      </c>
      <c r="J636" s="10">
        <f>Tabla1[[#This Row],[Precio Lista CDR]]*0.7</f>
        <v>24.075770250000001</v>
      </c>
      <c r="K636" s="10">
        <f>Tabla1[[#This Row],[Precio Lista CDR]]*0.6</f>
        <v>20.636374500000002</v>
      </c>
      <c r="L636" s="12">
        <f>(Tabla1[[#This Row],[Precio Lista CDR]]-Tabla1[[#This Row],[PrecioFábrica]])/Tabla1[[#This Row],[Precio Lista CDR]]</f>
        <v>0.76037457548563103</v>
      </c>
      <c r="M636" s="12">
        <f>(Tabla1[[#This Row],[Lista 1 (20%)]]-Tabla1[[#This Row],[PrecioFábrica]])/Tabla1[[#This Row],[Lista 1 (20%)]]</f>
        <v>0.70046821935703873</v>
      </c>
      <c r="N636" s="12">
        <f>(Tabla1[[#This Row],[Lista 2 (30%)]]-Tabla1[[#This Row],[PrecioFábrica]])/Tabla1[[#This Row],[Lista 2 (30%)]]</f>
        <v>0.65767796497947284</v>
      </c>
      <c r="O636" s="12">
        <f>(Tabla1[[#This Row],[Lista 3 (40%)]]-Tabla1[[#This Row],[PrecioFábrica]])/Tabla1[[#This Row],[Lista 3 (40%)]]</f>
        <v>0.60062429247605165</v>
      </c>
    </row>
    <row r="637" spans="1:15">
      <c r="A637" t="s">
        <v>9</v>
      </c>
      <c r="B637" t="s">
        <v>646</v>
      </c>
      <c r="C637" t="s">
        <v>1448</v>
      </c>
      <c r="D637" t="s">
        <v>811</v>
      </c>
      <c r="E637" t="s">
        <v>5</v>
      </c>
      <c r="F637" s="3">
        <v>15.049999999999999</v>
      </c>
      <c r="G637" s="10">
        <f>VLOOKUP(Tabla1[[#This Row],[Código Unificador]],PRECIOS_COMPETENCIA!B:D,3,FALSE)</f>
        <v>55.827249999999999</v>
      </c>
      <c r="H637" s="10">
        <f>Tabla1[[#This Row],[PVP Competencia]]*0.98</f>
        <v>54.710704999999997</v>
      </c>
      <c r="I637" s="10">
        <f>Tabla1[[#This Row],[Precio Lista CDR]]*0.8</f>
        <v>43.768563999999998</v>
      </c>
      <c r="J637" s="10">
        <f>Tabla1[[#This Row],[Precio Lista CDR]]*0.7</f>
        <v>38.297493499999995</v>
      </c>
      <c r="K637" s="10">
        <f>Tabla1[[#This Row],[Precio Lista CDR]]*0.6</f>
        <v>32.826422999999998</v>
      </c>
      <c r="L637" s="12">
        <f>(Tabla1[[#This Row],[Precio Lista CDR]]-Tabla1[[#This Row],[PrecioFábrica]])/Tabla1[[#This Row],[Precio Lista CDR]]</f>
        <v>0.72491672333595414</v>
      </c>
      <c r="M637" s="12">
        <f>(Tabla1[[#This Row],[Lista 1 (20%)]]-Tabla1[[#This Row],[PrecioFábrica]])/Tabla1[[#This Row],[Lista 1 (20%)]]</f>
        <v>0.65614590416994267</v>
      </c>
      <c r="N637" s="12">
        <f>(Tabla1[[#This Row],[Lista 2 (30%)]]-Tabla1[[#This Row],[PrecioFábrica]])/Tabla1[[#This Row],[Lista 2 (30%)]]</f>
        <v>0.60702389047993444</v>
      </c>
      <c r="O637" s="12">
        <f>(Tabla1[[#This Row],[Lista 3 (40%)]]-Tabla1[[#This Row],[PrecioFábrica]])/Tabla1[[#This Row],[Lista 3 (40%)]]</f>
        <v>0.54152787222659016</v>
      </c>
    </row>
    <row r="638" spans="1:15">
      <c r="A638" t="s">
        <v>9</v>
      </c>
      <c r="B638" t="s">
        <v>647</v>
      </c>
      <c r="C638" t="s">
        <v>1449</v>
      </c>
      <c r="D638" t="s">
        <v>811</v>
      </c>
      <c r="E638" t="s">
        <v>5</v>
      </c>
      <c r="F638" s="3">
        <v>18.55</v>
      </c>
      <c r="G638" s="10">
        <f>VLOOKUP(Tabla1[[#This Row],[Código Unificador]],PRECIOS_COMPETENCIA!B:D,3,FALSE)</f>
        <v>67.56065000000001</v>
      </c>
      <c r="H638" s="10">
        <f>Tabla1[[#This Row],[PVP Competencia]]*0.98</f>
        <v>66.209437000000008</v>
      </c>
      <c r="I638" s="10">
        <f>Tabla1[[#This Row],[Precio Lista CDR]]*0.8</f>
        <v>52.967549600000012</v>
      </c>
      <c r="J638" s="10">
        <f>Tabla1[[#This Row],[Precio Lista CDR]]*0.7</f>
        <v>46.3466059</v>
      </c>
      <c r="K638" s="10">
        <f>Tabla1[[#This Row],[Precio Lista CDR]]*0.6</f>
        <v>39.725662200000002</v>
      </c>
      <c r="L638" s="12">
        <f>(Tabla1[[#This Row],[Precio Lista CDR]]-Tabla1[[#This Row],[PrecioFábrica]])/Tabla1[[#This Row],[Precio Lista CDR]]</f>
        <v>0.71982845889476454</v>
      </c>
      <c r="M638" s="12">
        <f>(Tabla1[[#This Row],[Lista 1 (20%)]]-Tabla1[[#This Row],[PrecioFábrica]])/Tabla1[[#This Row],[Lista 1 (20%)]]</f>
        <v>0.64978557361845579</v>
      </c>
      <c r="N638" s="12">
        <f>(Tabla1[[#This Row],[Lista 2 (30%)]]-Tabla1[[#This Row],[PrecioFábrica]])/Tabla1[[#This Row],[Lista 2 (30%)]]</f>
        <v>0.59975494127823503</v>
      </c>
      <c r="O638" s="12">
        <f>(Tabla1[[#This Row],[Lista 3 (40%)]]-Tabla1[[#This Row],[PrecioFábrica]])/Tabla1[[#This Row],[Lista 3 (40%)]]</f>
        <v>0.5330474314912742</v>
      </c>
    </row>
    <row r="639" spans="1:15">
      <c r="A639" t="s">
        <v>9</v>
      </c>
      <c r="B639" t="s">
        <v>648</v>
      </c>
      <c r="C639" t="s">
        <v>1450</v>
      </c>
      <c r="D639" t="s">
        <v>811</v>
      </c>
      <c r="E639" t="s">
        <v>5</v>
      </c>
      <c r="F639" s="3">
        <v>25.55</v>
      </c>
      <c r="G639" s="10">
        <f>VLOOKUP(Tabla1[[#This Row],[Código Unificador]],PRECIOS_COMPETENCIA!B:D,3,FALSE)</f>
        <v>90.022599999999997</v>
      </c>
      <c r="H639" s="10">
        <f>Tabla1[[#This Row],[PVP Competencia]]*0.98</f>
        <v>88.22214799999999</v>
      </c>
      <c r="I639" s="10">
        <f>Tabla1[[#This Row],[Precio Lista CDR]]*0.8</f>
        <v>70.577718399999995</v>
      </c>
      <c r="J639" s="10">
        <f>Tabla1[[#This Row],[Precio Lista CDR]]*0.7</f>
        <v>61.75550359999999</v>
      </c>
      <c r="K639" s="10">
        <f>Tabla1[[#This Row],[Precio Lista CDR]]*0.6</f>
        <v>52.933288799999993</v>
      </c>
      <c r="L639" s="12">
        <f>(Tabla1[[#This Row],[Precio Lista CDR]]-Tabla1[[#This Row],[PrecioFábrica]])/Tabla1[[#This Row],[Precio Lista CDR]]</f>
        <v>0.71039018456000413</v>
      </c>
      <c r="M639" s="12">
        <f>(Tabla1[[#This Row],[Lista 1 (20%)]]-Tabla1[[#This Row],[PrecioFábrica]])/Tabla1[[#This Row],[Lista 1 (20%)]]</f>
        <v>0.63798773070000514</v>
      </c>
      <c r="N639" s="12">
        <f>(Tabla1[[#This Row],[Lista 2 (30%)]]-Tabla1[[#This Row],[PrecioFábrica]])/Tabla1[[#This Row],[Lista 2 (30%)]]</f>
        <v>0.58627169222857722</v>
      </c>
      <c r="O639" s="12">
        <f>(Tabla1[[#This Row],[Lista 3 (40%)]]-Tabla1[[#This Row],[PrecioFábrica]])/Tabla1[[#This Row],[Lista 3 (40%)]]</f>
        <v>0.51731697426667345</v>
      </c>
    </row>
    <row r="640" spans="1:15">
      <c r="A640" t="s">
        <v>7</v>
      </c>
      <c r="B640" t="s">
        <v>649</v>
      </c>
      <c r="C640" t="s">
        <v>1451</v>
      </c>
      <c r="D640" t="s">
        <v>811</v>
      </c>
      <c r="E640" t="s">
        <v>5</v>
      </c>
      <c r="F640" s="3">
        <v>23.133333333333336</v>
      </c>
      <c r="G640" s="10">
        <f>VLOOKUP(Tabla1[[#This Row],[Código Unificador]],PRECIOS_COMPETENCIA!B:D,3,FALSE)</f>
        <v>88.428400000000025</v>
      </c>
      <c r="H640" s="10">
        <f>Tabla1[[#This Row],[PVP Competencia]]*0.98</f>
        <v>86.659832000000023</v>
      </c>
      <c r="I640" s="10">
        <f>Tabla1[[#This Row],[Precio Lista CDR]]*0.8</f>
        <v>69.327865600000024</v>
      </c>
      <c r="J640" s="10">
        <f>Tabla1[[#This Row],[Precio Lista CDR]]*0.7</f>
        <v>60.66188240000001</v>
      </c>
      <c r="K640" s="10">
        <f>Tabla1[[#This Row],[Precio Lista CDR]]*0.6</f>
        <v>51.995899200000011</v>
      </c>
      <c r="L640" s="12">
        <f>(Tabla1[[#This Row],[Precio Lista CDR]]-Tabla1[[#This Row],[PrecioFábrica]])/Tabla1[[#This Row],[Precio Lista CDR]]</f>
        <v>0.73305587145226248</v>
      </c>
      <c r="M640" s="12">
        <f>(Tabla1[[#This Row],[Lista 1 (20%)]]-Tabla1[[#This Row],[PrecioFábrica]])/Tabla1[[#This Row],[Lista 1 (20%)]]</f>
        <v>0.66631983931532823</v>
      </c>
      <c r="N640" s="12">
        <f>(Tabla1[[#This Row],[Lista 2 (30%)]]-Tabla1[[#This Row],[PrecioFábrica]])/Tabla1[[#This Row],[Lista 2 (30%)]]</f>
        <v>0.61865124493180357</v>
      </c>
      <c r="O640" s="12">
        <f>(Tabla1[[#This Row],[Lista 3 (40%)]]-Tabla1[[#This Row],[PrecioFábrica]])/Tabla1[[#This Row],[Lista 3 (40%)]]</f>
        <v>0.55509311908710424</v>
      </c>
    </row>
    <row r="641" spans="1:15">
      <c r="A641" t="s">
        <v>9</v>
      </c>
      <c r="B641" t="s">
        <v>650</v>
      </c>
      <c r="C641" t="s">
        <v>1452</v>
      </c>
      <c r="D641" t="s">
        <v>811</v>
      </c>
      <c r="E641" t="s">
        <v>5</v>
      </c>
      <c r="F641" s="3">
        <v>16.308333333333334</v>
      </c>
      <c r="G641" s="10">
        <f>VLOOKUP(Tabla1[[#This Row],[Código Unificador]],PRECIOS_COMPETENCIA!B:D,3,FALSE)</f>
        <v>59.185933333333338</v>
      </c>
      <c r="H641" s="10">
        <f>Tabla1[[#This Row],[PVP Competencia]]*0.98</f>
        <v>58.002214666666667</v>
      </c>
      <c r="I641" s="10">
        <f>Tabla1[[#This Row],[Precio Lista CDR]]*0.8</f>
        <v>46.401771733333334</v>
      </c>
      <c r="J641" s="10">
        <f>Tabla1[[#This Row],[Precio Lista CDR]]*0.7</f>
        <v>40.601550266666663</v>
      </c>
      <c r="K641" s="10">
        <f>Tabla1[[#This Row],[Precio Lista CDR]]*0.6</f>
        <v>34.8013288</v>
      </c>
      <c r="L641" s="12">
        <f>(Tabla1[[#This Row],[Precio Lista CDR]]-Tabla1[[#This Row],[PrecioFábrica]])/Tabla1[[#This Row],[Precio Lista CDR]]</f>
        <v>0.71883257515155574</v>
      </c>
      <c r="M641" s="12">
        <f>(Tabla1[[#This Row],[Lista 1 (20%)]]-Tabla1[[#This Row],[PrecioFábrica]])/Tabla1[[#This Row],[Lista 1 (20%)]]</f>
        <v>0.64854071893944465</v>
      </c>
      <c r="N641" s="12">
        <f>(Tabla1[[#This Row],[Lista 2 (30%)]]-Tabla1[[#This Row],[PrecioFábrica]])/Tabla1[[#This Row],[Lista 2 (30%)]]</f>
        <v>0.59833225021650815</v>
      </c>
      <c r="O641" s="12">
        <f>(Tabla1[[#This Row],[Lista 3 (40%)]]-Tabla1[[#This Row],[PrecioFábrica]])/Tabla1[[#This Row],[Lista 3 (40%)]]</f>
        <v>0.53138762525259287</v>
      </c>
    </row>
    <row r="642" spans="1:15">
      <c r="A642" t="s">
        <v>9</v>
      </c>
      <c r="B642" t="s">
        <v>651</v>
      </c>
      <c r="C642" t="s">
        <v>1453</v>
      </c>
      <c r="D642" t="s">
        <v>811</v>
      </c>
      <c r="E642" t="s">
        <v>5</v>
      </c>
      <c r="F642" s="3">
        <v>21.566666666666666</v>
      </c>
      <c r="G642" s="10">
        <f>VLOOKUP(Tabla1[[#This Row],[Código Unificador]],PRECIOS_COMPETENCIA!B:D,3,FALSE)</f>
        <v>74.419633333333337</v>
      </c>
      <c r="H642" s="10">
        <f>Tabla1[[#This Row],[PVP Competencia]]*0.98</f>
        <v>72.931240666666667</v>
      </c>
      <c r="I642" s="10">
        <f>Tabla1[[#This Row],[Precio Lista CDR]]*0.8</f>
        <v>58.34499253333334</v>
      </c>
      <c r="J642" s="10">
        <f>Tabla1[[#This Row],[Precio Lista CDR]]*0.7</f>
        <v>51.051868466666662</v>
      </c>
      <c r="K642" s="10">
        <f>Tabla1[[#This Row],[Precio Lista CDR]]*0.6</f>
        <v>43.758744399999998</v>
      </c>
      <c r="L642" s="12">
        <f>(Tabla1[[#This Row],[Precio Lista CDR]]-Tabla1[[#This Row],[PrecioFábrica]])/Tabla1[[#This Row],[Precio Lista CDR]]</f>
        <v>0.70428767604218556</v>
      </c>
      <c r="M642" s="12">
        <f>(Tabla1[[#This Row],[Lista 1 (20%)]]-Tabla1[[#This Row],[PrecioFábrica]])/Tabla1[[#This Row],[Lista 1 (20%)]]</f>
        <v>0.63035959505273198</v>
      </c>
      <c r="N642" s="12">
        <f>(Tabla1[[#This Row],[Lista 2 (30%)]]-Tabla1[[#This Row],[PrecioFábrica]])/Tabla1[[#This Row],[Lista 2 (30%)]]</f>
        <v>0.57755382291740787</v>
      </c>
      <c r="O642" s="12">
        <f>(Tabla1[[#This Row],[Lista 3 (40%)]]-Tabla1[[#This Row],[PrecioFábrica]])/Tabla1[[#This Row],[Lista 3 (40%)]]</f>
        <v>0.5071461267369759</v>
      </c>
    </row>
    <row r="643" spans="1:15">
      <c r="A643" t="s">
        <v>9</v>
      </c>
      <c r="B643" t="s">
        <v>652</v>
      </c>
      <c r="C643" t="s">
        <v>1454</v>
      </c>
      <c r="D643" t="s">
        <v>811</v>
      </c>
      <c r="E643" t="s">
        <v>5</v>
      </c>
      <c r="F643" s="3">
        <v>19.425000000000001</v>
      </c>
      <c r="G643" s="10">
        <f>VLOOKUP(Tabla1[[#This Row],[Código Unificador]],PRECIOS_COMPETENCIA!B:D,3,FALSE)</f>
        <v>68.585800000000006</v>
      </c>
      <c r="H643" s="10">
        <f>Tabla1[[#This Row],[PVP Competencia]]*0.98</f>
        <v>67.214084</v>
      </c>
      <c r="I643" s="10">
        <f>Tabla1[[#This Row],[Precio Lista CDR]]*0.8</f>
        <v>53.771267200000004</v>
      </c>
      <c r="J643" s="10">
        <f>Tabla1[[#This Row],[Precio Lista CDR]]*0.7</f>
        <v>47.049858799999996</v>
      </c>
      <c r="K643" s="10">
        <f>Tabla1[[#This Row],[Precio Lista CDR]]*0.6</f>
        <v>40.328450400000001</v>
      </c>
      <c r="L643" s="12">
        <f>(Tabla1[[#This Row],[Precio Lista CDR]]-Tabla1[[#This Row],[PrecioFábrica]])/Tabla1[[#This Row],[Precio Lista CDR]]</f>
        <v>0.71099806998783177</v>
      </c>
      <c r="M643" s="12">
        <f>(Tabla1[[#This Row],[Lista 1 (20%)]]-Tabla1[[#This Row],[PrecioFábrica]])/Tabla1[[#This Row],[Lista 1 (20%)]]</f>
        <v>0.63874758748478955</v>
      </c>
      <c r="N643" s="12">
        <f>(Tabla1[[#This Row],[Lista 2 (30%)]]-Tabla1[[#This Row],[PrecioFábrica]])/Tabla1[[#This Row],[Lista 2 (30%)]]</f>
        <v>0.58714009998261674</v>
      </c>
      <c r="O643" s="12">
        <f>(Tabla1[[#This Row],[Lista 3 (40%)]]-Tabla1[[#This Row],[PrecioFábrica]])/Tabla1[[#This Row],[Lista 3 (40%)]]</f>
        <v>0.51833011664638617</v>
      </c>
    </row>
    <row r="644" spans="1:15">
      <c r="A644" t="s">
        <v>7</v>
      </c>
      <c r="B644" t="s">
        <v>653</v>
      </c>
      <c r="C644" t="s">
        <v>1455</v>
      </c>
      <c r="D644" t="s">
        <v>811</v>
      </c>
      <c r="E644" t="s">
        <v>5</v>
      </c>
      <c r="F644" s="3">
        <v>24.383333333333336</v>
      </c>
      <c r="G644" s="10">
        <f>VLOOKUP(Tabla1[[#This Row],[Código Unificador]],PRECIOS_COMPETENCIA!B:D,3,FALSE)</f>
        <v>85.661483333333365</v>
      </c>
      <c r="H644" s="10">
        <f>Tabla1[[#This Row],[PVP Competencia]]*0.98</f>
        <v>83.948253666666702</v>
      </c>
      <c r="I644" s="10">
        <f>Tabla1[[#This Row],[Precio Lista CDR]]*0.8</f>
        <v>67.15860293333337</v>
      </c>
      <c r="J644" s="10">
        <f>Tabla1[[#This Row],[Precio Lista CDR]]*0.7</f>
        <v>58.76377756666669</v>
      </c>
      <c r="K644" s="10">
        <f>Tabla1[[#This Row],[Precio Lista CDR]]*0.6</f>
        <v>50.368952200000017</v>
      </c>
      <c r="L644" s="12">
        <f>(Tabla1[[#This Row],[Precio Lista CDR]]-Tabla1[[#This Row],[PrecioFábrica]])/Tabla1[[#This Row],[Precio Lista CDR]]</f>
        <v>0.70954329282235895</v>
      </c>
      <c r="M644" s="12">
        <f>(Tabla1[[#This Row],[Lista 1 (20%)]]-Tabla1[[#This Row],[PrecioFábrica]])/Tabla1[[#This Row],[Lista 1 (20%)]]</f>
        <v>0.63692911602794877</v>
      </c>
      <c r="N644" s="12">
        <f>(Tabla1[[#This Row],[Lista 2 (30%)]]-Tabla1[[#This Row],[PrecioFábrica]])/Tabla1[[#This Row],[Lista 2 (30%)]]</f>
        <v>0.58506184688908425</v>
      </c>
      <c r="O644" s="12">
        <f>(Tabla1[[#This Row],[Lista 3 (40%)]]-Tabla1[[#This Row],[PrecioFábrica]])/Tabla1[[#This Row],[Lista 3 (40%)]]</f>
        <v>0.51590548803726499</v>
      </c>
    </row>
    <row r="645" spans="1:15">
      <c r="A645" t="s">
        <v>7</v>
      </c>
      <c r="B645" t="s">
        <v>654</v>
      </c>
      <c r="C645" t="s">
        <v>1456</v>
      </c>
      <c r="D645" t="s">
        <v>811</v>
      </c>
      <c r="E645" t="s">
        <v>5</v>
      </c>
      <c r="F645" s="3">
        <v>29.8</v>
      </c>
      <c r="G645" s="10">
        <f>VLOOKUP(Tabla1[[#This Row],[Código Unificador]],PRECIOS_COMPETENCIA!B:D,3,FALSE)</f>
        <v>108.14840000000002</v>
      </c>
      <c r="H645" s="10">
        <f>Tabla1[[#This Row],[PVP Competencia]]*0.98</f>
        <v>105.98543200000002</v>
      </c>
      <c r="I645" s="10">
        <f>Tabla1[[#This Row],[Precio Lista CDR]]*0.8</f>
        <v>84.788345600000014</v>
      </c>
      <c r="J645" s="10">
        <f>Tabla1[[#This Row],[Precio Lista CDR]]*0.7</f>
        <v>74.189802400000005</v>
      </c>
      <c r="K645" s="10">
        <f>Tabla1[[#This Row],[Precio Lista CDR]]*0.6</f>
        <v>63.59125920000001</v>
      </c>
      <c r="L645" s="12">
        <f>(Tabla1[[#This Row],[Precio Lista CDR]]-Tabla1[[#This Row],[PrecioFábrica]])/Tabla1[[#This Row],[Precio Lista CDR]]</f>
        <v>0.71882928212247144</v>
      </c>
      <c r="M645" s="12">
        <f>(Tabla1[[#This Row],[Lista 1 (20%)]]-Tabla1[[#This Row],[PrecioFábrica]])/Tabla1[[#This Row],[Lista 1 (20%)]]</f>
        <v>0.64853660265308921</v>
      </c>
      <c r="N645" s="12">
        <f>(Tabla1[[#This Row],[Lista 2 (30%)]]-Tabla1[[#This Row],[PrecioFábrica]])/Tabla1[[#This Row],[Lista 2 (30%)]]</f>
        <v>0.59832754588924486</v>
      </c>
      <c r="O645" s="12">
        <f>(Tabla1[[#This Row],[Lista 3 (40%)]]-Tabla1[[#This Row],[PrecioFábrica]])/Tabla1[[#This Row],[Lista 3 (40%)]]</f>
        <v>0.53138213687078562</v>
      </c>
    </row>
    <row r="646" spans="1:15">
      <c r="A646" t="s">
        <v>9</v>
      </c>
      <c r="B646" t="s">
        <v>655</v>
      </c>
      <c r="C646" t="s">
        <v>1457</v>
      </c>
      <c r="D646" t="s">
        <v>811</v>
      </c>
      <c r="E646" t="s">
        <v>5</v>
      </c>
      <c r="F646" s="3">
        <v>44.241666666666674</v>
      </c>
      <c r="G646" s="10">
        <f>VLOOKUP(Tabla1[[#This Row],[Código Unificador]],PRECIOS_COMPETENCIA!B:D,3,FALSE)</f>
        <v>158.56490000000002</v>
      </c>
      <c r="H646" s="10">
        <f>Tabla1[[#This Row],[PVP Competencia]]*0.98</f>
        <v>155.39360200000002</v>
      </c>
      <c r="I646" s="10">
        <f>Tabla1[[#This Row],[Precio Lista CDR]]*0.8</f>
        <v>124.31488160000002</v>
      </c>
      <c r="J646" s="10">
        <f>Tabla1[[#This Row],[Precio Lista CDR]]*0.7</f>
        <v>108.7755214</v>
      </c>
      <c r="K646" s="10">
        <f>Tabla1[[#This Row],[Precio Lista CDR]]*0.6</f>
        <v>93.236161200000012</v>
      </c>
      <c r="L646" s="12">
        <f>(Tabla1[[#This Row],[Precio Lista CDR]]-Tabla1[[#This Row],[PrecioFábrica]])/Tabla1[[#This Row],[Precio Lista CDR]]</f>
        <v>0.7152928685785489</v>
      </c>
      <c r="M646" s="12">
        <f>(Tabla1[[#This Row],[Lista 1 (20%)]]-Tabla1[[#This Row],[PrecioFábrica]])/Tabla1[[#This Row],[Lista 1 (20%)]]</f>
        <v>0.64411608572318613</v>
      </c>
      <c r="N646" s="12">
        <f>(Tabla1[[#This Row],[Lista 2 (30%)]]-Tabla1[[#This Row],[PrecioFábrica]])/Tabla1[[#This Row],[Lista 2 (30%)]]</f>
        <v>0.59327552654078408</v>
      </c>
      <c r="O646" s="12">
        <f>(Tabla1[[#This Row],[Lista 3 (40%)]]-Tabla1[[#This Row],[PrecioFábrica]])/Tabla1[[#This Row],[Lista 3 (40%)]]</f>
        <v>0.52548811429758147</v>
      </c>
    </row>
    <row r="647" spans="1:15">
      <c r="A647" t="s">
        <v>9</v>
      </c>
      <c r="B647" t="s">
        <v>656</v>
      </c>
      <c r="C647" t="s">
        <v>1458</v>
      </c>
      <c r="D647" t="s">
        <v>811</v>
      </c>
      <c r="E647" t="s">
        <v>5</v>
      </c>
      <c r="F647" s="3">
        <v>5.2416666666666671</v>
      </c>
      <c r="G647" s="10">
        <f>VLOOKUP(Tabla1[[#This Row],[Código Unificador]],PRECIOS_COMPETENCIA!B:D,3,FALSE)</f>
        <v>25.80886666666667</v>
      </c>
      <c r="H647" s="10">
        <f>Tabla1[[#This Row],[PVP Competencia]]*0.98</f>
        <v>25.292689333333335</v>
      </c>
      <c r="I647" s="10">
        <f>Tabla1[[#This Row],[Precio Lista CDR]]*0.8</f>
        <v>20.23415146666667</v>
      </c>
      <c r="J647" s="10">
        <f>Tabla1[[#This Row],[Precio Lista CDR]]*0.7</f>
        <v>17.704882533333333</v>
      </c>
      <c r="K647" s="10">
        <f>Tabla1[[#This Row],[Precio Lista CDR]]*0.6</f>
        <v>15.1756136</v>
      </c>
      <c r="L647" s="12">
        <f>(Tabla1[[#This Row],[Precio Lista CDR]]-Tabla1[[#This Row],[PrecioFábrica]])/Tabla1[[#This Row],[Precio Lista CDR]]</f>
        <v>0.79275961533443362</v>
      </c>
      <c r="M647" s="12">
        <f>(Tabla1[[#This Row],[Lista 1 (20%)]]-Tabla1[[#This Row],[PrecioFábrica]])/Tabla1[[#This Row],[Lista 1 (20%)]]</f>
        <v>0.74094951916804208</v>
      </c>
      <c r="N647" s="12">
        <f>(Tabla1[[#This Row],[Lista 2 (30%)]]-Tabla1[[#This Row],[PrecioFábrica]])/Tabla1[[#This Row],[Lista 2 (30%)]]</f>
        <v>0.70394230762061949</v>
      </c>
      <c r="O647" s="12">
        <f>(Tabla1[[#This Row],[Lista 3 (40%)]]-Tabla1[[#This Row],[PrecioFábrica]])/Tabla1[[#This Row],[Lista 3 (40%)]]</f>
        <v>0.65459935889072274</v>
      </c>
    </row>
    <row r="648" spans="1:15">
      <c r="A648" t="s">
        <v>7</v>
      </c>
      <c r="B648" t="s">
        <v>657</v>
      </c>
      <c r="C648" t="s">
        <v>1459</v>
      </c>
      <c r="D648" t="s">
        <v>811</v>
      </c>
      <c r="E648" t="s">
        <v>5</v>
      </c>
      <c r="F648" s="3">
        <v>10.091666666666667</v>
      </c>
      <c r="G648" s="10">
        <f>VLOOKUP(Tabla1[[#This Row],[Código Unificador]],PRECIOS_COMPETENCIA!B:D,3,FALSE)</f>
        <v>40.143808333333332</v>
      </c>
      <c r="H648" s="10">
        <f>Tabla1[[#This Row],[PVP Competencia]]*0.98</f>
        <v>39.340932166666668</v>
      </c>
      <c r="I648" s="10">
        <f>Tabla1[[#This Row],[Precio Lista CDR]]*0.8</f>
        <v>31.472745733333337</v>
      </c>
      <c r="J648" s="10">
        <f>Tabla1[[#This Row],[Precio Lista CDR]]*0.7</f>
        <v>27.538652516666666</v>
      </c>
      <c r="K648" s="10">
        <f>Tabla1[[#This Row],[Precio Lista CDR]]*0.6</f>
        <v>23.604559300000002</v>
      </c>
      <c r="L648" s="12">
        <f>(Tabla1[[#This Row],[Precio Lista CDR]]-Tabla1[[#This Row],[PrecioFábrica]])/Tabla1[[#This Row],[Precio Lista CDR]]</f>
        <v>0.74348176032246449</v>
      </c>
      <c r="M648" s="12">
        <f>(Tabla1[[#This Row],[Lista 1 (20%)]]-Tabla1[[#This Row],[PrecioFábrica]])/Tabla1[[#This Row],[Lista 1 (20%)]]</f>
        <v>0.67935220040308064</v>
      </c>
      <c r="N648" s="12">
        <f>(Tabla1[[#This Row],[Lista 2 (30%)]]-Tabla1[[#This Row],[PrecioFábrica]])/Tabla1[[#This Row],[Lista 2 (30%)]]</f>
        <v>0.63354537188923488</v>
      </c>
      <c r="O648" s="12">
        <f>(Tabla1[[#This Row],[Lista 3 (40%)]]-Tabla1[[#This Row],[PrecioFábrica]])/Tabla1[[#This Row],[Lista 3 (40%)]]</f>
        <v>0.57246960053744078</v>
      </c>
    </row>
    <row r="649" spans="1:15">
      <c r="A649" t="s">
        <v>9</v>
      </c>
      <c r="B649" t="s">
        <v>658</v>
      </c>
      <c r="C649" t="s">
        <v>1460</v>
      </c>
      <c r="D649" t="s">
        <v>811</v>
      </c>
      <c r="E649" t="s">
        <v>5</v>
      </c>
      <c r="F649" s="3">
        <v>10.4</v>
      </c>
      <c r="G649" s="10">
        <f>VLOOKUP(Tabla1[[#This Row],[Código Unificador]],PRECIOS_COMPETENCIA!B:D,3,FALSE)</f>
        <v>41.668000000000006</v>
      </c>
      <c r="H649" s="10">
        <f>Tabla1[[#This Row],[PVP Competencia]]*0.98</f>
        <v>40.834640000000007</v>
      </c>
      <c r="I649" s="10">
        <f>Tabla1[[#This Row],[Precio Lista CDR]]*0.8</f>
        <v>32.667712000000009</v>
      </c>
      <c r="J649" s="10">
        <f>Tabla1[[#This Row],[Precio Lista CDR]]*0.7</f>
        <v>28.584248000000002</v>
      </c>
      <c r="K649" s="10">
        <f>Tabla1[[#This Row],[Precio Lista CDR]]*0.6</f>
        <v>24.500784000000003</v>
      </c>
      <c r="L649" s="12">
        <f>(Tabla1[[#This Row],[Precio Lista CDR]]-Tabla1[[#This Row],[PrecioFábrica]])/Tabla1[[#This Row],[Precio Lista CDR]]</f>
        <v>0.74531427239226311</v>
      </c>
      <c r="M649" s="12">
        <f>(Tabla1[[#This Row],[Lista 1 (20%)]]-Tabla1[[#This Row],[PrecioFábrica]])/Tabla1[[#This Row],[Lista 1 (20%)]]</f>
        <v>0.68164284049032897</v>
      </c>
      <c r="N649" s="12">
        <f>(Tabla1[[#This Row],[Lista 2 (30%)]]-Tabla1[[#This Row],[PrecioFábrica]])/Tabla1[[#This Row],[Lista 2 (30%)]]</f>
        <v>0.63616324627466159</v>
      </c>
      <c r="O649" s="12">
        <f>(Tabla1[[#This Row],[Lista 3 (40%)]]-Tabla1[[#This Row],[PrecioFábrica]])/Tabla1[[#This Row],[Lista 3 (40%)]]</f>
        <v>0.57552378732043841</v>
      </c>
    </row>
    <row r="650" spans="1:15">
      <c r="A650" t="s">
        <v>9</v>
      </c>
      <c r="B650" t="s">
        <v>659</v>
      </c>
      <c r="C650" t="s">
        <v>1461</v>
      </c>
      <c r="D650" t="s">
        <v>811</v>
      </c>
      <c r="E650" t="s">
        <v>5</v>
      </c>
      <c r="F650" s="3">
        <v>36.000000000000007</v>
      </c>
      <c r="G650" s="10">
        <f>VLOOKUP(Tabla1[[#This Row],[Código Unificador]],PRECIOS_COMPETENCIA!B:D,3,FALSE)</f>
        <v>126.48800000000004</v>
      </c>
      <c r="H650" s="10">
        <f>Tabla1[[#This Row],[PVP Competencia]]*0.98</f>
        <v>123.95824000000005</v>
      </c>
      <c r="I650" s="10">
        <f>Tabla1[[#This Row],[Precio Lista CDR]]*0.8</f>
        <v>99.166592000000037</v>
      </c>
      <c r="J650" s="10">
        <f>Tabla1[[#This Row],[Precio Lista CDR]]*0.7</f>
        <v>86.770768000000032</v>
      </c>
      <c r="K650" s="10">
        <f>Tabla1[[#This Row],[Precio Lista CDR]]*0.6</f>
        <v>74.374944000000028</v>
      </c>
      <c r="L650" s="12">
        <f>(Tabla1[[#This Row],[Precio Lista CDR]]-Tabla1[[#This Row],[PrecioFábrica]])/Tabla1[[#This Row],[Precio Lista CDR]]</f>
        <v>0.70957961326330554</v>
      </c>
      <c r="M650" s="12">
        <f>(Tabla1[[#This Row],[Lista 1 (20%)]]-Tabla1[[#This Row],[PrecioFábrica]])/Tabla1[[#This Row],[Lista 1 (20%)]]</f>
        <v>0.63697451657913184</v>
      </c>
      <c r="N650" s="12">
        <f>(Tabla1[[#This Row],[Lista 2 (30%)]]-Tabla1[[#This Row],[PrecioFábrica]])/Tabla1[[#This Row],[Lista 2 (30%)]]</f>
        <v>0.58511373323329352</v>
      </c>
      <c r="O650" s="12">
        <f>(Tabla1[[#This Row],[Lista 3 (40%)]]-Tabla1[[#This Row],[PrecioFábrica]])/Tabla1[[#This Row],[Lista 3 (40%)]]</f>
        <v>0.51596602210550913</v>
      </c>
    </row>
    <row r="651" spans="1:15">
      <c r="A651" t="s">
        <v>6</v>
      </c>
      <c r="B651" t="s">
        <v>660</v>
      </c>
      <c r="C651" t="s">
        <v>1462</v>
      </c>
      <c r="D651" t="s">
        <v>811</v>
      </c>
      <c r="E651" t="s">
        <v>5</v>
      </c>
      <c r="F651" s="3">
        <v>22.425000000000001</v>
      </c>
      <c r="G651" s="10">
        <f>VLOOKUP(Tabla1[[#This Row],[Código Unificador]],PRECIOS_COMPETENCIA!B:D,3,FALSE)</f>
        <v>78.934449999999998</v>
      </c>
      <c r="H651" s="10">
        <f>Tabla1[[#This Row],[PVP Competencia]]*0.98</f>
        <v>77.355761000000001</v>
      </c>
      <c r="I651" s="10">
        <f>Tabla1[[#This Row],[Precio Lista CDR]]*0.8</f>
        <v>61.884608800000002</v>
      </c>
      <c r="J651" s="10">
        <f>Tabla1[[#This Row],[Precio Lista CDR]]*0.7</f>
        <v>54.149032699999999</v>
      </c>
      <c r="K651" s="10">
        <f>Tabla1[[#This Row],[Precio Lista CDR]]*0.6</f>
        <v>46.413456599999996</v>
      </c>
      <c r="L651" s="12">
        <f>(Tabla1[[#This Row],[Precio Lista CDR]]-Tabla1[[#This Row],[PrecioFábrica]])/Tabla1[[#This Row],[Precio Lista CDR]]</f>
        <v>0.71010562484156803</v>
      </c>
      <c r="M651" s="12">
        <f>(Tabla1[[#This Row],[Lista 1 (20%)]]-Tabla1[[#This Row],[PrecioFábrica]])/Tabla1[[#This Row],[Lista 1 (20%)]]</f>
        <v>0.63763203105195998</v>
      </c>
      <c r="N651" s="12">
        <f>(Tabla1[[#This Row],[Lista 2 (30%)]]-Tabla1[[#This Row],[PrecioFábrica]])/Tabla1[[#This Row],[Lista 2 (30%)]]</f>
        <v>0.58586517834509722</v>
      </c>
      <c r="O651" s="12">
        <f>(Tabla1[[#This Row],[Lista 3 (40%)]]-Tabla1[[#This Row],[PrecioFábrica]])/Tabla1[[#This Row],[Lista 3 (40%)]]</f>
        <v>0.51684270806928001</v>
      </c>
    </row>
    <row r="652" spans="1:15">
      <c r="A652" t="s">
        <v>7</v>
      </c>
      <c r="B652" t="s">
        <v>661</v>
      </c>
      <c r="C652" t="s">
        <v>1463</v>
      </c>
      <c r="D652" t="s">
        <v>811</v>
      </c>
      <c r="E652" t="s">
        <v>5</v>
      </c>
      <c r="F652" s="3">
        <v>3.916666666666667</v>
      </c>
      <c r="G652" s="10">
        <f>VLOOKUP(Tabla1[[#This Row],[Código Unificador]],PRECIOS_COMPETENCIA!B:D,3,FALSE)</f>
        <v>21.926250000000003</v>
      </c>
      <c r="H652" s="10">
        <f>Tabla1[[#This Row],[PVP Competencia]]*0.98</f>
        <v>21.487725000000001</v>
      </c>
      <c r="I652" s="10">
        <f>Tabla1[[#This Row],[Precio Lista CDR]]*0.8</f>
        <v>17.190180000000002</v>
      </c>
      <c r="J652" s="10">
        <f>Tabla1[[#This Row],[Precio Lista CDR]]*0.7</f>
        <v>15.0414075</v>
      </c>
      <c r="K652" s="10">
        <f>Tabla1[[#This Row],[Precio Lista CDR]]*0.6</f>
        <v>12.892635</v>
      </c>
      <c r="L652" s="12">
        <f>(Tabla1[[#This Row],[Precio Lista CDR]]-Tabla1[[#This Row],[PrecioFábrica]])/Tabla1[[#This Row],[Precio Lista CDR]]</f>
        <v>0.81772539127959487</v>
      </c>
      <c r="M652" s="12">
        <f>(Tabla1[[#This Row],[Lista 1 (20%)]]-Tabla1[[#This Row],[PrecioFábrica]])/Tabla1[[#This Row],[Lista 1 (20%)]]</f>
        <v>0.77215673909949356</v>
      </c>
      <c r="N652" s="12">
        <f>(Tabla1[[#This Row],[Lista 2 (30%)]]-Tabla1[[#This Row],[PrecioFábrica]])/Tabla1[[#This Row],[Lista 2 (30%)]]</f>
        <v>0.73960770182799274</v>
      </c>
      <c r="O652" s="12">
        <f>(Tabla1[[#This Row],[Lista 3 (40%)]]-Tabla1[[#This Row],[PrecioFábrica]])/Tabla1[[#This Row],[Lista 3 (40%)]]</f>
        <v>0.69620898546599153</v>
      </c>
    </row>
    <row r="653" spans="1:15">
      <c r="A653" t="s">
        <v>7</v>
      </c>
      <c r="B653" t="s">
        <v>662</v>
      </c>
      <c r="C653" t="s">
        <v>1464</v>
      </c>
      <c r="D653" t="s">
        <v>811</v>
      </c>
      <c r="E653" t="s">
        <v>5</v>
      </c>
      <c r="F653" s="3">
        <v>14.15</v>
      </c>
      <c r="G653" s="10">
        <f>VLOOKUP(Tabla1[[#This Row],[Código Unificador]],PRECIOS_COMPETENCIA!B:D,3,FALSE)</f>
        <v>52.26605</v>
      </c>
      <c r="H653" s="10">
        <f>Tabla1[[#This Row],[PVP Competencia]]*0.98</f>
        <v>51.220728999999999</v>
      </c>
      <c r="I653" s="10">
        <f>Tabla1[[#This Row],[Precio Lista CDR]]*0.8</f>
        <v>40.9765832</v>
      </c>
      <c r="J653" s="10">
        <f>Tabla1[[#This Row],[Precio Lista CDR]]*0.7</f>
        <v>35.854510299999994</v>
      </c>
      <c r="K653" s="10">
        <f>Tabla1[[#This Row],[Precio Lista CDR]]*0.6</f>
        <v>30.732437399999998</v>
      </c>
      <c r="L653" s="12">
        <f>(Tabla1[[#This Row],[Precio Lista CDR]]-Tabla1[[#This Row],[PrecioFábrica]])/Tabla1[[#This Row],[Precio Lista CDR]]</f>
        <v>0.72374465814416666</v>
      </c>
      <c r="M653" s="12">
        <f>(Tabla1[[#This Row],[Lista 1 (20%)]]-Tabla1[[#This Row],[PrecioFábrica]])/Tabla1[[#This Row],[Lista 1 (20%)]]</f>
        <v>0.65468082268020833</v>
      </c>
      <c r="N653" s="12">
        <f>(Tabla1[[#This Row],[Lista 2 (30%)]]-Tabla1[[#This Row],[PrecioFábrica]])/Tabla1[[#This Row],[Lista 2 (30%)]]</f>
        <v>0.60534951163452366</v>
      </c>
      <c r="O653" s="12">
        <f>(Tabla1[[#This Row],[Lista 3 (40%)]]-Tabla1[[#This Row],[PrecioFábrica]])/Tabla1[[#This Row],[Lista 3 (40%)]]</f>
        <v>0.53957443024027751</v>
      </c>
    </row>
    <row r="654" spans="1:15">
      <c r="A654" t="s">
        <v>6</v>
      </c>
      <c r="B654" t="s">
        <v>663</v>
      </c>
      <c r="C654" t="s">
        <v>1465</v>
      </c>
      <c r="D654" t="s">
        <v>811</v>
      </c>
      <c r="E654" t="s">
        <v>5</v>
      </c>
      <c r="F654" s="3">
        <v>5.7416666666666663</v>
      </c>
      <c r="G654" s="10">
        <f>VLOOKUP(Tabla1[[#This Row],[Código Unificador]],PRECIOS_COMPETENCIA!B:D,3,FALSE)</f>
        <v>27.982899999999997</v>
      </c>
      <c r="H654" s="10">
        <f>Tabla1[[#This Row],[PVP Competencia]]*0.98</f>
        <v>27.423241999999998</v>
      </c>
      <c r="I654" s="10">
        <f>Tabla1[[#This Row],[Precio Lista CDR]]*0.8</f>
        <v>21.938593600000001</v>
      </c>
      <c r="J654" s="10">
        <f>Tabla1[[#This Row],[Precio Lista CDR]]*0.7</f>
        <v>19.196269399999998</v>
      </c>
      <c r="K654" s="10">
        <f>Tabla1[[#This Row],[Precio Lista CDR]]*0.6</f>
        <v>16.4539452</v>
      </c>
      <c r="L654" s="12">
        <f>(Tabla1[[#This Row],[Precio Lista CDR]]-Tabla1[[#This Row],[PrecioFábrica]])/Tabla1[[#This Row],[Precio Lista CDR]]</f>
        <v>0.79062772130783565</v>
      </c>
      <c r="M654" s="12">
        <f>(Tabla1[[#This Row],[Lista 1 (20%)]]-Tabla1[[#This Row],[PrecioFábrica]])/Tabla1[[#This Row],[Lista 1 (20%)]]</f>
        <v>0.73828465163479451</v>
      </c>
      <c r="N654" s="12">
        <f>(Tabla1[[#This Row],[Lista 2 (30%)]]-Tabla1[[#This Row],[PrecioFábrica]])/Tabla1[[#This Row],[Lista 2 (30%)]]</f>
        <v>0.70089674472547947</v>
      </c>
      <c r="O654" s="12">
        <f>(Tabla1[[#This Row],[Lista 3 (40%)]]-Tabla1[[#This Row],[PrecioFábrica]])/Tabla1[[#This Row],[Lista 3 (40%)]]</f>
        <v>0.65104620217972609</v>
      </c>
    </row>
    <row r="655" spans="1:15">
      <c r="A655" t="s">
        <v>9</v>
      </c>
      <c r="B655" t="s">
        <v>664</v>
      </c>
      <c r="C655" t="s">
        <v>1466</v>
      </c>
      <c r="D655" t="s">
        <v>811</v>
      </c>
      <c r="E655" t="s">
        <v>5</v>
      </c>
      <c r="F655" s="3">
        <v>24.85</v>
      </c>
      <c r="G655" s="10">
        <f>VLOOKUP(Tabla1[[#This Row],[Código Unificador]],PRECIOS_COMPETENCIA!B:D,3,FALSE)</f>
        <v>87.109549999999999</v>
      </c>
      <c r="H655" s="10">
        <f>Tabla1[[#This Row],[PVP Competencia]]*0.98</f>
        <v>85.367358999999993</v>
      </c>
      <c r="I655" s="10">
        <f>Tabla1[[#This Row],[Precio Lista CDR]]*0.8</f>
        <v>68.2938872</v>
      </c>
      <c r="J655" s="10">
        <f>Tabla1[[#This Row],[Precio Lista CDR]]*0.7</f>
        <v>59.75715129999999</v>
      </c>
      <c r="K655" s="10">
        <f>Tabla1[[#This Row],[Precio Lista CDR]]*0.6</f>
        <v>51.220415399999993</v>
      </c>
      <c r="L655" s="12">
        <f>(Tabla1[[#This Row],[Precio Lista CDR]]-Tabla1[[#This Row],[PrecioFábrica]])/Tabla1[[#This Row],[Precio Lista CDR]]</f>
        <v>0.70890513316688175</v>
      </c>
      <c r="M655" s="12">
        <f>(Tabla1[[#This Row],[Lista 1 (20%)]]-Tabla1[[#This Row],[PrecioFábrica]])/Tabla1[[#This Row],[Lista 1 (20%)]]</f>
        <v>0.63613141645860216</v>
      </c>
      <c r="N655" s="12">
        <f>(Tabla1[[#This Row],[Lista 2 (30%)]]-Tabla1[[#This Row],[PrecioFábrica]])/Tabla1[[#This Row],[Lista 2 (30%)]]</f>
        <v>0.58415019023840242</v>
      </c>
      <c r="O655" s="12">
        <f>(Tabla1[[#This Row],[Lista 3 (40%)]]-Tabla1[[#This Row],[PrecioFábrica]])/Tabla1[[#This Row],[Lista 3 (40%)]]</f>
        <v>0.51484188861146951</v>
      </c>
    </row>
    <row r="656" spans="1:15">
      <c r="A656" t="s">
        <v>9</v>
      </c>
      <c r="B656" t="s">
        <v>665</v>
      </c>
      <c r="C656" t="s">
        <v>1467</v>
      </c>
      <c r="D656" t="s">
        <v>811</v>
      </c>
      <c r="E656" t="s">
        <v>5</v>
      </c>
      <c r="F656" s="3">
        <v>8.8000000000000007</v>
      </c>
      <c r="G656" s="10">
        <f>VLOOKUP(Tabla1[[#This Row],[Código Unificador]],PRECIOS_COMPETENCIA!B:D,3,FALSE)</f>
        <v>37.561599999999999</v>
      </c>
      <c r="H656" s="10">
        <f>Tabla1[[#This Row],[PVP Competencia]]*0.98</f>
        <v>36.810367999999997</v>
      </c>
      <c r="I656" s="10">
        <f>Tabla1[[#This Row],[Precio Lista CDR]]*0.8</f>
        <v>29.448294399999998</v>
      </c>
      <c r="J656" s="10">
        <f>Tabla1[[#This Row],[Precio Lista CDR]]*0.7</f>
        <v>25.767257599999997</v>
      </c>
      <c r="K656" s="10">
        <f>Tabla1[[#This Row],[Precio Lista CDR]]*0.6</f>
        <v>22.086220799999996</v>
      </c>
      <c r="L656" s="12">
        <f>(Tabla1[[#This Row],[Precio Lista CDR]]-Tabla1[[#This Row],[PrecioFábrica]])/Tabla1[[#This Row],[Precio Lista CDR]]</f>
        <v>0.76093691864205215</v>
      </c>
      <c r="M656" s="12">
        <f>(Tabla1[[#This Row],[Lista 1 (20%)]]-Tabla1[[#This Row],[PrecioFábrica]])/Tabla1[[#This Row],[Lista 1 (20%)]]</f>
        <v>0.70117114830256511</v>
      </c>
      <c r="N656" s="12">
        <f>(Tabla1[[#This Row],[Lista 2 (30%)]]-Tabla1[[#This Row],[PrecioFábrica]])/Tabla1[[#This Row],[Lista 2 (30%)]]</f>
        <v>0.65848131234578877</v>
      </c>
      <c r="O656" s="12">
        <f>(Tabla1[[#This Row],[Lista 3 (40%)]]-Tabla1[[#This Row],[PrecioFábrica]])/Tabla1[[#This Row],[Lista 3 (40%)]]</f>
        <v>0.60156153107008681</v>
      </c>
    </row>
    <row r="657" spans="1:15">
      <c r="A657" t="s">
        <v>7</v>
      </c>
      <c r="B657" t="s">
        <v>666</v>
      </c>
      <c r="C657" t="s">
        <v>1468</v>
      </c>
      <c r="D657" t="s">
        <v>811</v>
      </c>
      <c r="E657" t="s">
        <v>5</v>
      </c>
      <c r="F657" s="3">
        <v>78.025000000000006</v>
      </c>
      <c r="G657" s="10">
        <f>VLOOKUP(Tabla1[[#This Row],[Código Unificador]],PRECIOS_COMPETENCIA!B:D,3,FALSE)</f>
        <v>205.79794999999999</v>
      </c>
      <c r="H657" s="10">
        <f>Tabla1[[#This Row],[PVP Competencia]]*0.98</f>
        <v>201.68199099999998</v>
      </c>
      <c r="I657" s="10">
        <f>Tabla1[[#This Row],[Precio Lista CDR]]*0.8</f>
        <v>161.34559279999999</v>
      </c>
      <c r="J657" s="10">
        <f>Tabla1[[#This Row],[Precio Lista CDR]]*0.7</f>
        <v>141.17739369999998</v>
      </c>
      <c r="K657" s="10">
        <f>Tabla1[[#This Row],[Precio Lista CDR]]*0.6</f>
        <v>121.00919459999999</v>
      </c>
      <c r="L657" s="12">
        <f>(Tabla1[[#This Row],[Precio Lista CDR]]-Tabla1[[#This Row],[PrecioFábrica]])/Tabla1[[#This Row],[Precio Lista CDR]]</f>
        <v>0.61312857130610132</v>
      </c>
      <c r="M657" s="12">
        <f>(Tabla1[[#This Row],[Lista 1 (20%)]]-Tabla1[[#This Row],[PrecioFábrica]])/Tabla1[[#This Row],[Lista 1 (20%)]]</f>
        <v>0.51641071413262674</v>
      </c>
      <c r="N657" s="12">
        <f>(Tabla1[[#This Row],[Lista 2 (30%)]]-Tabla1[[#This Row],[PrecioFábrica]])/Tabla1[[#This Row],[Lista 2 (30%)]]</f>
        <v>0.4473265304372876</v>
      </c>
      <c r="O657" s="12">
        <f>(Tabla1[[#This Row],[Lista 3 (40%)]]-Tabla1[[#This Row],[PrecioFábrica]])/Tabla1[[#This Row],[Lista 3 (40%)]]</f>
        <v>0.35521428551016887</v>
      </c>
    </row>
    <row r="658" spans="1:15">
      <c r="A658" t="s">
        <v>9</v>
      </c>
      <c r="B658" t="s">
        <v>667</v>
      </c>
      <c r="C658" t="s">
        <v>1469</v>
      </c>
      <c r="D658" t="s">
        <v>811</v>
      </c>
      <c r="E658" t="s">
        <v>5</v>
      </c>
      <c r="F658" s="3">
        <v>3.4583333333333339</v>
      </c>
      <c r="G658" s="10">
        <f>VLOOKUP(Tabla1[[#This Row],[Código Unificador]],PRECIOS_COMPETENCIA!B:D,3,FALSE)</f>
        <v>20.731208333333335</v>
      </c>
      <c r="H658" s="10">
        <f>Tabla1[[#This Row],[PVP Competencia]]*0.98</f>
        <v>20.316584166666669</v>
      </c>
      <c r="I658" s="10">
        <f>Tabla1[[#This Row],[Precio Lista CDR]]*0.8</f>
        <v>16.253267333333337</v>
      </c>
      <c r="J658" s="10">
        <f>Tabla1[[#This Row],[Precio Lista CDR]]*0.7</f>
        <v>14.221608916666668</v>
      </c>
      <c r="K658" s="10">
        <f>Tabla1[[#This Row],[Precio Lista CDR]]*0.6</f>
        <v>12.1899505</v>
      </c>
      <c r="L658" s="12">
        <f>(Tabla1[[#This Row],[Precio Lista CDR]]-Tabla1[[#This Row],[PrecioFábrica]])/Tabla1[[#This Row],[Precio Lista CDR]]</f>
        <v>0.82977781575076948</v>
      </c>
      <c r="M658" s="12">
        <f>(Tabla1[[#This Row],[Lista 1 (20%)]]-Tabla1[[#This Row],[PrecioFábrica]])/Tabla1[[#This Row],[Lista 1 (20%)]]</f>
        <v>0.78722226968846187</v>
      </c>
      <c r="N658" s="12">
        <f>(Tabla1[[#This Row],[Lista 2 (30%)]]-Tabla1[[#This Row],[PrecioFábrica]])/Tabla1[[#This Row],[Lista 2 (30%)]]</f>
        <v>0.75682545107252774</v>
      </c>
      <c r="O658" s="12">
        <f>(Tabla1[[#This Row],[Lista 3 (40%)]]-Tabla1[[#This Row],[PrecioFábrica]])/Tabla1[[#This Row],[Lista 3 (40%)]]</f>
        <v>0.71629635958461568</v>
      </c>
    </row>
    <row r="659" spans="1:15">
      <c r="A659" t="s">
        <v>7</v>
      </c>
      <c r="B659" t="s">
        <v>668</v>
      </c>
      <c r="C659" t="s">
        <v>1470</v>
      </c>
      <c r="D659" t="s">
        <v>811</v>
      </c>
      <c r="E659" t="s">
        <v>5</v>
      </c>
      <c r="F659" s="3">
        <v>9.6416666666666675</v>
      </c>
      <c r="G659" s="10">
        <f>VLOOKUP(Tabla1[[#This Row],[Código Unificador]],PRECIOS_COMPETENCIA!B:D,3,FALSE)</f>
        <v>39.638483333333333</v>
      </c>
      <c r="H659" s="10">
        <f>Tabla1[[#This Row],[PVP Competencia]]*0.98</f>
        <v>38.845713666666668</v>
      </c>
      <c r="I659" s="10">
        <f>Tabla1[[#This Row],[Precio Lista CDR]]*0.8</f>
        <v>31.076570933333336</v>
      </c>
      <c r="J659" s="10">
        <f>Tabla1[[#This Row],[Precio Lista CDR]]*0.7</f>
        <v>27.191999566666667</v>
      </c>
      <c r="K659" s="10">
        <f>Tabla1[[#This Row],[Precio Lista CDR]]*0.6</f>
        <v>23.3074282</v>
      </c>
      <c r="L659" s="12">
        <f>(Tabla1[[#This Row],[Precio Lista CDR]]-Tabla1[[#This Row],[PrecioFábrica]])/Tabla1[[#This Row],[Precio Lista CDR]]</f>
        <v>0.75179586737931048</v>
      </c>
      <c r="M659" s="12">
        <f>(Tabla1[[#This Row],[Lista 1 (20%)]]-Tabla1[[#This Row],[PrecioFábrica]])/Tabla1[[#This Row],[Lista 1 (20%)]]</f>
        <v>0.68974483422413813</v>
      </c>
      <c r="N659" s="12">
        <f>(Tabla1[[#This Row],[Lista 2 (30%)]]-Tabla1[[#This Row],[PrecioFábrica]])/Tabla1[[#This Row],[Lista 2 (30%)]]</f>
        <v>0.64542266768472922</v>
      </c>
      <c r="O659" s="12">
        <f>(Tabla1[[#This Row],[Lista 3 (40%)]]-Tabla1[[#This Row],[PrecioFábrica]])/Tabla1[[#This Row],[Lista 3 (40%)]]</f>
        <v>0.58632644563218406</v>
      </c>
    </row>
    <row r="660" spans="1:15">
      <c r="A660" t="s">
        <v>7</v>
      </c>
      <c r="B660" t="s">
        <v>669</v>
      </c>
      <c r="C660" t="s">
        <v>1471</v>
      </c>
      <c r="D660" t="s">
        <v>811</v>
      </c>
      <c r="E660" t="s">
        <v>5</v>
      </c>
      <c r="F660" s="3">
        <v>5.0666666666666673</v>
      </c>
      <c r="G660" s="10">
        <f>VLOOKUP(Tabla1[[#This Row],[Código Unificador]],PRECIOS_COMPETENCIA!B:D,3,FALSE)</f>
        <v>25.868800000000004</v>
      </c>
      <c r="H660" s="10">
        <f>Tabla1[[#This Row],[PVP Competencia]]*0.98</f>
        <v>25.351424000000002</v>
      </c>
      <c r="I660" s="10">
        <f>Tabla1[[#This Row],[Precio Lista CDR]]*0.8</f>
        <v>20.281139200000002</v>
      </c>
      <c r="J660" s="10">
        <f>Tabla1[[#This Row],[Precio Lista CDR]]*0.7</f>
        <v>17.7459968</v>
      </c>
      <c r="K660" s="10">
        <f>Tabla1[[#This Row],[Precio Lista CDR]]*0.6</f>
        <v>15.210854400000001</v>
      </c>
      <c r="L660" s="12">
        <f>(Tabla1[[#This Row],[Precio Lista CDR]]-Tabla1[[#This Row],[PrecioFábrica]])/Tabla1[[#This Row],[Precio Lista CDR]]</f>
        <v>0.80014271913614532</v>
      </c>
      <c r="M660" s="12">
        <f>(Tabla1[[#This Row],[Lista 1 (20%)]]-Tabla1[[#This Row],[PrecioFábrica]])/Tabla1[[#This Row],[Lista 1 (20%)]]</f>
        <v>0.75017839892018168</v>
      </c>
      <c r="N660" s="12">
        <f>(Tabla1[[#This Row],[Lista 2 (30%)]]-Tabla1[[#This Row],[PrecioFábrica]])/Tabla1[[#This Row],[Lista 2 (30%)]]</f>
        <v>0.71448959876592189</v>
      </c>
      <c r="O660" s="12">
        <f>(Tabla1[[#This Row],[Lista 3 (40%)]]-Tabla1[[#This Row],[PrecioFábrica]])/Tabla1[[#This Row],[Lista 3 (40%)]]</f>
        <v>0.66690453189357546</v>
      </c>
    </row>
    <row r="661" spans="1:15">
      <c r="A661" t="s">
        <v>7</v>
      </c>
      <c r="B661" t="s">
        <v>670</v>
      </c>
      <c r="C661" t="s">
        <v>1472</v>
      </c>
      <c r="D661" t="s">
        <v>811</v>
      </c>
      <c r="E661" t="s">
        <v>5</v>
      </c>
      <c r="F661" s="3">
        <v>21.750000000000004</v>
      </c>
      <c r="G661" s="10">
        <f>VLOOKUP(Tabla1[[#This Row],[Código Unificador]],PRECIOS_COMPETENCIA!B:D,3,FALSE)</f>
        <v>78.121000000000009</v>
      </c>
      <c r="H661" s="10">
        <f>Tabla1[[#This Row],[PVP Competencia]]*0.98</f>
        <v>76.558580000000006</v>
      </c>
      <c r="I661" s="10">
        <f>Tabla1[[#This Row],[Precio Lista CDR]]*0.8</f>
        <v>61.246864000000009</v>
      </c>
      <c r="J661" s="10">
        <f>Tabla1[[#This Row],[Precio Lista CDR]]*0.7</f>
        <v>53.591006</v>
      </c>
      <c r="K661" s="10">
        <f>Tabla1[[#This Row],[Precio Lista CDR]]*0.6</f>
        <v>45.935148000000005</v>
      </c>
      <c r="L661" s="12">
        <f>(Tabla1[[#This Row],[Precio Lista CDR]]-Tabla1[[#This Row],[PrecioFábrica]])/Tabla1[[#This Row],[Precio Lista CDR]]</f>
        <v>0.71590382162260591</v>
      </c>
      <c r="M661" s="12">
        <f>(Tabla1[[#This Row],[Lista 1 (20%)]]-Tabla1[[#This Row],[PrecioFábrica]])/Tabla1[[#This Row],[Lista 1 (20%)]]</f>
        <v>0.64487977702825727</v>
      </c>
      <c r="N661" s="12">
        <f>(Tabla1[[#This Row],[Lista 2 (30%)]]-Tabla1[[#This Row],[PrecioFábrica]])/Tabla1[[#This Row],[Lista 2 (30%)]]</f>
        <v>0.59414831660372258</v>
      </c>
      <c r="O661" s="12">
        <f>(Tabla1[[#This Row],[Lista 3 (40%)]]-Tabla1[[#This Row],[PrecioFábrica]])/Tabla1[[#This Row],[Lista 3 (40%)]]</f>
        <v>0.5265063693710097</v>
      </c>
    </row>
    <row r="662" spans="1:15">
      <c r="A662" t="s">
        <v>6</v>
      </c>
      <c r="B662" t="s">
        <v>671</v>
      </c>
      <c r="C662" t="s">
        <v>1473</v>
      </c>
      <c r="D662" t="s">
        <v>811</v>
      </c>
      <c r="E662" t="s">
        <v>5</v>
      </c>
      <c r="F662" s="3">
        <v>17.074999999999999</v>
      </c>
      <c r="G662" s="10">
        <f>VLOOKUP(Tabla1[[#This Row],[Código Unificador]],PRECIOS_COMPETENCIA!B:D,3,FALSE)</f>
        <v>62.983725</v>
      </c>
      <c r="H662" s="10">
        <f>Tabla1[[#This Row],[PVP Competencia]]*0.98</f>
        <v>61.724050499999997</v>
      </c>
      <c r="I662" s="10">
        <f>Tabla1[[#This Row],[Precio Lista CDR]]*0.8</f>
        <v>49.3792404</v>
      </c>
      <c r="J662" s="10">
        <f>Tabla1[[#This Row],[Precio Lista CDR]]*0.7</f>
        <v>43.206835349999999</v>
      </c>
      <c r="K662" s="10">
        <f>Tabla1[[#This Row],[Precio Lista CDR]]*0.6</f>
        <v>37.034430299999997</v>
      </c>
      <c r="L662" s="12">
        <f>(Tabla1[[#This Row],[Precio Lista CDR]]-Tabla1[[#This Row],[PrecioFábrica]])/Tabla1[[#This Row],[Precio Lista CDR]]</f>
        <v>0.72336552994039172</v>
      </c>
      <c r="M662" s="12">
        <f>(Tabla1[[#This Row],[Lista 1 (20%)]]-Tabla1[[#This Row],[PrecioFábrica]])/Tabla1[[#This Row],[Lista 1 (20%)]]</f>
        <v>0.65420691242548956</v>
      </c>
      <c r="N662" s="12">
        <f>(Tabla1[[#This Row],[Lista 2 (30%)]]-Tabla1[[#This Row],[PrecioFábrica]])/Tabla1[[#This Row],[Lista 2 (30%)]]</f>
        <v>0.60480789991484529</v>
      </c>
      <c r="O662" s="12">
        <f>(Tabla1[[#This Row],[Lista 3 (40%)]]-Tabla1[[#This Row],[PrecioFábrica]])/Tabla1[[#This Row],[Lista 3 (40%)]]</f>
        <v>0.53894254990065282</v>
      </c>
    </row>
    <row r="663" spans="1:15">
      <c r="A663" t="s">
        <v>6</v>
      </c>
      <c r="B663" t="s">
        <v>672</v>
      </c>
      <c r="C663" t="s">
        <v>1474</v>
      </c>
      <c r="D663" t="s">
        <v>811</v>
      </c>
      <c r="E663" t="s">
        <v>5</v>
      </c>
      <c r="F663" s="3">
        <v>45.366666666666667</v>
      </c>
      <c r="G663" s="10">
        <f>VLOOKUP(Tabla1[[#This Row],[Código Unificador]],PRECIOS_COMPETENCIA!B:D,3,FALSE)</f>
        <v>155.51023333333333</v>
      </c>
      <c r="H663" s="10">
        <f>Tabla1[[#This Row],[PVP Competencia]]*0.98</f>
        <v>152.40002866666666</v>
      </c>
      <c r="I663" s="10">
        <f>Tabla1[[#This Row],[Precio Lista CDR]]*0.8</f>
        <v>121.92002293333333</v>
      </c>
      <c r="J663" s="10">
        <f>Tabla1[[#This Row],[Precio Lista CDR]]*0.7</f>
        <v>106.68002006666666</v>
      </c>
      <c r="K663" s="10">
        <f>Tabla1[[#This Row],[Precio Lista CDR]]*0.6</f>
        <v>91.440017199999986</v>
      </c>
      <c r="L663" s="12">
        <f>(Tabla1[[#This Row],[Precio Lista CDR]]-Tabla1[[#This Row],[PrecioFábrica]])/Tabla1[[#This Row],[Precio Lista CDR]]</f>
        <v>0.70231851618680574</v>
      </c>
      <c r="M663" s="12">
        <f>(Tabla1[[#This Row],[Lista 1 (20%)]]-Tabla1[[#This Row],[PrecioFábrica]])/Tabla1[[#This Row],[Lista 1 (20%)]]</f>
        <v>0.62789814523350729</v>
      </c>
      <c r="N663" s="12">
        <f>(Tabla1[[#This Row],[Lista 2 (30%)]]-Tabla1[[#This Row],[PrecioFábrica]])/Tabla1[[#This Row],[Lista 2 (30%)]]</f>
        <v>0.57474073740972254</v>
      </c>
      <c r="O663" s="12">
        <f>(Tabla1[[#This Row],[Lista 3 (40%)]]-Tabla1[[#This Row],[PrecioFábrica]])/Tabla1[[#This Row],[Lista 3 (40%)]]</f>
        <v>0.50386419364467627</v>
      </c>
    </row>
    <row r="664" spans="1:15">
      <c r="A664" t="s">
        <v>9</v>
      </c>
      <c r="B664" t="s">
        <v>673</v>
      </c>
      <c r="C664" t="s">
        <v>1475</v>
      </c>
      <c r="D664" t="s">
        <v>811</v>
      </c>
      <c r="E664" t="s">
        <v>5</v>
      </c>
      <c r="F664" s="3">
        <v>8.6666666666666679</v>
      </c>
      <c r="G664" s="10">
        <f>VLOOKUP(Tabla1[[#This Row],[Código Unificador]],PRECIOS_COMPETENCIA!B:D,3,FALSE)</f>
        <v>36.138666666666666</v>
      </c>
      <c r="H664" s="10">
        <f>Tabla1[[#This Row],[PVP Competencia]]*0.98</f>
        <v>35.415893333333329</v>
      </c>
      <c r="I664" s="10">
        <f>Tabla1[[#This Row],[Precio Lista CDR]]*0.8</f>
        <v>28.332714666666664</v>
      </c>
      <c r="J664" s="10">
        <f>Tabla1[[#This Row],[Precio Lista CDR]]*0.7</f>
        <v>24.79112533333333</v>
      </c>
      <c r="K664" s="10">
        <f>Tabla1[[#This Row],[Precio Lista CDR]]*0.6</f>
        <v>21.249535999999996</v>
      </c>
      <c r="L664" s="12">
        <f>(Tabla1[[#This Row],[Precio Lista CDR]]-Tabla1[[#This Row],[PrecioFábrica]])/Tabla1[[#This Row],[Precio Lista CDR]]</f>
        <v>0.75528877430547181</v>
      </c>
      <c r="M664" s="12">
        <f>(Tabla1[[#This Row],[Lista 1 (20%)]]-Tabla1[[#This Row],[PrecioFábrica]])/Tabla1[[#This Row],[Lista 1 (20%)]]</f>
        <v>0.69411096788183979</v>
      </c>
      <c r="N664" s="12">
        <f>(Tabla1[[#This Row],[Lista 2 (30%)]]-Tabla1[[#This Row],[PrecioFábrica]])/Tabla1[[#This Row],[Lista 2 (30%)]]</f>
        <v>0.65041253472210259</v>
      </c>
      <c r="O664" s="12">
        <f>(Tabla1[[#This Row],[Lista 3 (40%)]]-Tabla1[[#This Row],[PrecioFábrica]])/Tabla1[[#This Row],[Lista 3 (40%)]]</f>
        <v>0.59214795717578639</v>
      </c>
    </row>
    <row r="665" spans="1:15">
      <c r="A665" t="s">
        <v>9</v>
      </c>
      <c r="B665" t="s">
        <v>674</v>
      </c>
      <c r="C665" t="s">
        <v>1476</v>
      </c>
      <c r="D665" t="s">
        <v>811</v>
      </c>
      <c r="E665" t="s">
        <v>5</v>
      </c>
      <c r="F665" s="3">
        <v>15.208333333333334</v>
      </c>
      <c r="G665" s="10">
        <f>VLOOKUP(Tabla1[[#This Row],[Código Unificador]],PRECIOS_COMPETENCIA!B:D,3,FALSE)</f>
        <v>54.986249999999998</v>
      </c>
      <c r="H665" s="10">
        <f>Tabla1[[#This Row],[PVP Competencia]]*0.98</f>
        <v>53.886524999999999</v>
      </c>
      <c r="I665" s="10">
        <f>Tabla1[[#This Row],[Precio Lista CDR]]*0.8</f>
        <v>43.109220000000001</v>
      </c>
      <c r="J665" s="10">
        <f>Tabla1[[#This Row],[Precio Lista CDR]]*0.7</f>
        <v>37.720567499999994</v>
      </c>
      <c r="K665" s="10">
        <f>Tabla1[[#This Row],[Precio Lista CDR]]*0.6</f>
        <v>32.331914999999995</v>
      </c>
      <c r="L665" s="12">
        <f>(Tabla1[[#This Row],[Precio Lista CDR]]-Tabla1[[#This Row],[PrecioFábrica]])/Tabla1[[#This Row],[Precio Lista CDR]]</f>
        <v>0.71777112490862349</v>
      </c>
      <c r="M665" s="12">
        <f>(Tabla1[[#This Row],[Lista 1 (20%)]]-Tabla1[[#This Row],[PrecioFábrica]])/Tabla1[[#This Row],[Lista 1 (20%)]]</f>
        <v>0.64721390613577945</v>
      </c>
      <c r="N665" s="12">
        <f>(Tabla1[[#This Row],[Lista 2 (30%)]]-Tabla1[[#This Row],[PrecioFábrica]])/Tabla1[[#This Row],[Lista 2 (30%)]]</f>
        <v>0.59681589272660496</v>
      </c>
      <c r="O665" s="12">
        <f>(Tabla1[[#This Row],[Lista 3 (40%)]]-Tabla1[[#This Row],[PrecioFábrica]])/Tabla1[[#This Row],[Lista 3 (40%)]]</f>
        <v>0.52961854151437249</v>
      </c>
    </row>
    <row r="666" spans="1:15">
      <c r="A666" t="s">
        <v>9</v>
      </c>
      <c r="B666" t="s">
        <v>675</v>
      </c>
      <c r="C666" t="s">
        <v>1477</v>
      </c>
      <c r="D666" t="s">
        <v>811</v>
      </c>
      <c r="E666" t="s">
        <v>5</v>
      </c>
      <c r="F666" s="3">
        <v>10.116666666666667</v>
      </c>
      <c r="G666" s="10">
        <f>VLOOKUP(Tabla1[[#This Row],[Código Unificador]],PRECIOS_COMPETENCIA!B:D,3,FALSE)</f>
        <v>41.685400000000008</v>
      </c>
      <c r="H666" s="10">
        <f>Tabla1[[#This Row],[PVP Competencia]]*0.98</f>
        <v>40.851692000000007</v>
      </c>
      <c r="I666" s="10">
        <f>Tabla1[[#This Row],[Precio Lista CDR]]*0.8</f>
        <v>32.681353600000008</v>
      </c>
      <c r="J666" s="10">
        <f>Tabla1[[#This Row],[Precio Lista CDR]]*0.7</f>
        <v>28.596184400000002</v>
      </c>
      <c r="K666" s="10">
        <f>Tabla1[[#This Row],[Precio Lista CDR]]*0.6</f>
        <v>24.511015200000003</v>
      </c>
      <c r="L666" s="12">
        <f>(Tabla1[[#This Row],[Precio Lista CDR]]-Tabla1[[#This Row],[PrecioFábrica]])/Tabla1[[#This Row],[Precio Lista CDR]]</f>
        <v>0.75235623859431167</v>
      </c>
      <c r="M666" s="12">
        <f>(Tabla1[[#This Row],[Lista 1 (20%)]]-Tabla1[[#This Row],[PrecioFábrica]])/Tabla1[[#This Row],[Lista 1 (20%)]]</f>
        <v>0.69044529824288969</v>
      </c>
      <c r="N666" s="12">
        <f>(Tabla1[[#This Row],[Lista 2 (30%)]]-Tabla1[[#This Row],[PrecioFábrica]])/Tabla1[[#This Row],[Lista 2 (30%)]]</f>
        <v>0.64622319799187378</v>
      </c>
      <c r="O666" s="12">
        <f>(Tabla1[[#This Row],[Lista 3 (40%)]]-Tabla1[[#This Row],[PrecioFábrica]])/Tabla1[[#This Row],[Lista 3 (40%)]]</f>
        <v>0.58726039765718618</v>
      </c>
    </row>
    <row r="667" spans="1:15">
      <c r="A667" t="s">
        <v>9</v>
      </c>
      <c r="B667" t="s">
        <v>676</v>
      </c>
      <c r="C667" t="s">
        <v>1478</v>
      </c>
      <c r="D667" t="s">
        <v>811</v>
      </c>
      <c r="E667" t="s">
        <v>5</v>
      </c>
      <c r="F667" s="3">
        <v>5.166666666666667</v>
      </c>
      <c r="G667" s="10">
        <f>VLOOKUP(Tabla1[[#This Row],[Código Unificador]],PRECIOS_COMPETENCIA!B:D,3,FALSE)</f>
        <v>25.283000000000001</v>
      </c>
      <c r="H667" s="10">
        <f>Tabla1[[#This Row],[PVP Competencia]]*0.98</f>
        <v>24.777340000000002</v>
      </c>
      <c r="I667" s="10">
        <f>Tabla1[[#This Row],[Precio Lista CDR]]*0.8</f>
        <v>19.821872000000003</v>
      </c>
      <c r="J667" s="10">
        <f>Tabla1[[#This Row],[Precio Lista CDR]]*0.7</f>
        <v>17.344138000000001</v>
      </c>
      <c r="K667" s="10">
        <f>Tabla1[[#This Row],[Precio Lista CDR]]*0.6</f>
        <v>14.866404000000001</v>
      </c>
      <c r="L667" s="12">
        <f>(Tabla1[[#This Row],[Precio Lista CDR]]-Tabla1[[#This Row],[PrecioFábrica]])/Tabla1[[#This Row],[Precio Lista CDR]]</f>
        <v>0.79147613639451742</v>
      </c>
      <c r="M667" s="12">
        <f>(Tabla1[[#This Row],[Lista 1 (20%)]]-Tabla1[[#This Row],[PrecioFábrica]])/Tabla1[[#This Row],[Lista 1 (20%)]]</f>
        <v>0.73934517049314685</v>
      </c>
      <c r="N667" s="12">
        <f>(Tabla1[[#This Row],[Lista 2 (30%)]]-Tabla1[[#This Row],[PrecioFábrica]])/Tabla1[[#This Row],[Lista 2 (30%)]]</f>
        <v>0.70210876627788199</v>
      </c>
      <c r="O667" s="12">
        <f>(Tabla1[[#This Row],[Lista 3 (40%)]]-Tabla1[[#This Row],[PrecioFábrica]])/Tabla1[[#This Row],[Lista 3 (40%)]]</f>
        <v>0.65246022732419584</v>
      </c>
    </row>
    <row r="668" spans="1:15">
      <c r="A668" t="s">
        <v>9</v>
      </c>
      <c r="B668" t="s">
        <v>677</v>
      </c>
      <c r="C668" t="s">
        <v>1479</v>
      </c>
      <c r="D668" t="s">
        <v>811</v>
      </c>
      <c r="E668" t="s">
        <v>5</v>
      </c>
      <c r="F668" s="3">
        <v>7.2583333333333346</v>
      </c>
      <c r="G668" s="10">
        <f>VLOOKUP(Tabla1[[#This Row],[Código Unificador]],PRECIOS_COMPETENCIA!B:D,3,FALSE)</f>
        <v>32.733100000000007</v>
      </c>
      <c r="H668" s="10">
        <f>Tabla1[[#This Row],[PVP Competencia]]*0.98</f>
        <v>32.078438000000006</v>
      </c>
      <c r="I668" s="10">
        <f>Tabla1[[#This Row],[Precio Lista CDR]]*0.8</f>
        <v>25.662750400000007</v>
      </c>
      <c r="J668" s="10">
        <f>Tabla1[[#This Row],[Precio Lista CDR]]*0.7</f>
        <v>22.454906600000001</v>
      </c>
      <c r="K668" s="10">
        <f>Tabla1[[#This Row],[Precio Lista CDR]]*0.6</f>
        <v>19.247062800000002</v>
      </c>
      <c r="L668" s="12">
        <f>(Tabla1[[#This Row],[Precio Lista CDR]]-Tabla1[[#This Row],[PrecioFábrica]])/Tabla1[[#This Row],[Precio Lista CDR]]</f>
        <v>0.77373170933904789</v>
      </c>
      <c r="M668" s="12">
        <f>(Tabla1[[#This Row],[Lista 1 (20%)]]-Tabla1[[#This Row],[PrecioFábrica]])/Tabla1[[#This Row],[Lista 1 (20%)]]</f>
        <v>0.71716463667380992</v>
      </c>
      <c r="N668" s="12">
        <f>(Tabla1[[#This Row],[Lista 2 (30%)]]-Tabla1[[#This Row],[PrecioFábrica]])/Tabla1[[#This Row],[Lista 2 (30%)]]</f>
        <v>0.67675958477006826</v>
      </c>
      <c r="O668" s="12">
        <f>(Tabla1[[#This Row],[Lista 3 (40%)]]-Tabla1[[#This Row],[PrecioFábrica]])/Tabla1[[#This Row],[Lista 3 (40%)]]</f>
        <v>0.6228861822317463</v>
      </c>
    </row>
    <row r="669" spans="1:15">
      <c r="A669" t="s">
        <v>9</v>
      </c>
      <c r="B669" t="s">
        <v>678</v>
      </c>
      <c r="C669" t="s">
        <v>1480</v>
      </c>
      <c r="D669" t="s">
        <v>811</v>
      </c>
      <c r="E669" t="s">
        <v>5</v>
      </c>
      <c r="F669" s="3">
        <v>8.2083333333333339</v>
      </c>
      <c r="G669" s="10">
        <f>VLOOKUP(Tabla1[[#This Row],[Código Unificador]],PRECIOS_COMPETENCIA!B:D,3,FALSE)</f>
        <v>34.280250000000009</v>
      </c>
      <c r="H669" s="10">
        <f>Tabla1[[#This Row],[PVP Competencia]]*0.98</f>
        <v>33.594645000000007</v>
      </c>
      <c r="I669" s="10">
        <f>Tabla1[[#This Row],[Precio Lista CDR]]*0.8</f>
        <v>26.875716000000008</v>
      </c>
      <c r="J669" s="10">
        <f>Tabla1[[#This Row],[Precio Lista CDR]]*0.7</f>
        <v>23.516251500000003</v>
      </c>
      <c r="K669" s="10">
        <f>Tabla1[[#This Row],[Precio Lista CDR]]*0.6</f>
        <v>20.156787000000005</v>
      </c>
      <c r="L669" s="12">
        <f>(Tabla1[[#This Row],[Precio Lista CDR]]-Tabla1[[#This Row],[PrecioFábrica]])/Tabla1[[#This Row],[Precio Lista CDR]]</f>
        <v>0.75566542425635597</v>
      </c>
      <c r="M669" s="12">
        <f>(Tabla1[[#This Row],[Lista 1 (20%)]]-Tabla1[[#This Row],[PrecioFábrica]])/Tabla1[[#This Row],[Lista 1 (20%)]]</f>
        <v>0.69458178032044504</v>
      </c>
      <c r="N669" s="12">
        <f>(Tabla1[[#This Row],[Lista 2 (30%)]]-Tabla1[[#This Row],[PrecioFábrica]])/Tabla1[[#This Row],[Lista 2 (30%)]]</f>
        <v>0.65095060608050848</v>
      </c>
      <c r="O669" s="12">
        <f>(Tabla1[[#This Row],[Lista 3 (40%)]]-Tabla1[[#This Row],[PrecioFábrica]])/Tabla1[[#This Row],[Lista 3 (40%)]]</f>
        <v>0.59277570709392668</v>
      </c>
    </row>
    <row r="670" spans="1:15">
      <c r="A670" t="s">
        <v>9</v>
      </c>
      <c r="B670" t="s">
        <v>679</v>
      </c>
      <c r="C670" t="s">
        <v>1481</v>
      </c>
      <c r="D670" t="s">
        <v>811</v>
      </c>
      <c r="E670" t="s">
        <v>5</v>
      </c>
      <c r="F670" s="3">
        <v>8.7166666666666686</v>
      </c>
      <c r="G670" s="10">
        <f>VLOOKUP(Tabla1[[#This Row],[Código Unificador]],PRECIOS_COMPETENCIA!B:D,3,FALSE)</f>
        <v>36.795033333333336</v>
      </c>
      <c r="H670" s="10">
        <f>Tabla1[[#This Row],[PVP Competencia]]*0.98</f>
        <v>36.05913266666667</v>
      </c>
      <c r="I670" s="10">
        <f>Tabla1[[#This Row],[Precio Lista CDR]]*0.8</f>
        <v>28.847306133333337</v>
      </c>
      <c r="J670" s="10">
        <f>Tabla1[[#This Row],[Precio Lista CDR]]*0.7</f>
        <v>25.241392866666668</v>
      </c>
      <c r="K670" s="10">
        <f>Tabla1[[#This Row],[Precio Lista CDR]]*0.6</f>
        <v>21.6354796</v>
      </c>
      <c r="L670" s="12">
        <f>(Tabla1[[#This Row],[Precio Lista CDR]]-Tabla1[[#This Row],[PrecioFábrica]])/Tabla1[[#This Row],[Precio Lista CDR]]</f>
        <v>0.75826743401611485</v>
      </c>
      <c r="M670" s="12">
        <f>(Tabla1[[#This Row],[Lista 1 (20%)]]-Tabla1[[#This Row],[PrecioFábrica]])/Tabla1[[#This Row],[Lista 1 (20%)]]</f>
        <v>0.69783429252014362</v>
      </c>
      <c r="N670" s="12">
        <f>(Tabla1[[#This Row],[Lista 2 (30%)]]-Tabla1[[#This Row],[PrecioFábrica]])/Tabla1[[#This Row],[Lista 2 (30%)]]</f>
        <v>0.65466776288016404</v>
      </c>
      <c r="O670" s="12">
        <f>(Tabla1[[#This Row],[Lista 3 (40%)]]-Tabla1[[#This Row],[PrecioFábrica]])/Tabla1[[#This Row],[Lista 3 (40%)]]</f>
        <v>0.59711239002685812</v>
      </c>
    </row>
    <row r="671" spans="1:15">
      <c r="A671" t="s">
        <v>9</v>
      </c>
      <c r="B671" t="s">
        <v>680</v>
      </c>
      <c r="C671" t="s">
        <v>1482</v>
      </c>
      <c r="D671" t="s">
        <v>811</v>
      </c>
      <c r="E671" t="s">
        <v>5</v>
      </c>
      <c r="F671" s="3">
        <v>9.8416666666666668</v>
      </c>
      <c r="G671" s="10">
        <f>VLOOKUP(Tabla1[[#This Row],[Código Unificador]],PRECIOS_COMPETENCIA!B:D,3,FALSE)</f>
        <v>39.967875000000006</v>
      </c>
      <c r="H671" s="10">
        <f>Tabla1[[#This Row],[PVP Competencia]]*0.98</f>
        <v>39.168517500000007</v>
      </c>
      <c r="I671" s="10">
        <f>Tabla1[[#This Row],[Precio Lista CDR]]*0.8</f>
        <v>31.334814000000009</v>
      </c>
      <c r="J671" s="10">
        <f>Tabla1[[#This Row],[Precio Lista CDR]]*0.7</f>
        <v>27.417962250000002</v>
      </c>
      <c r="K671" s="10">
        <f>Tabla1[[#This Row],[Precio Lista CDR]]*0.6</f>
        <v>23.501110500000003</v>
      </c>
      <c r="L671" s="12">
        <f>(Tabla1[[#This Row],[Precio Lista CDR]]-Tabla1[[#This Row],[PrecioFábrica]])/Tabla1[[#This Row],[Precio Lista CDR]]</f>
        <v>0.74873527784995519</v>
      </c>
      <c r="M671" s="12">
        <f>(Tabla1[[#This Row],[Lista 1 (20%)]]-Tabla1[[#This Row],[PrecioFábrica]])/Tabla1[[#This Row],[Lista 1 (20%)]]</f>
        <v>0.68591909731244405</v>
      </c>
      <c r="N671" s="12">
        <f>(Tabla1[[#This Row],[Lista 2 (30%)]]-Tabla1[[#This Row],[PrecioFábrica]])/Tabla1[[#This Row],[Lista 2 (30%)]]</f>
        <v>0.6410503969285074</v>
      </c>
      <c r="O671" s="12">
        <f>(Tabla1[[#This Row],[Lista 3 (40%)]]-Tabla1[[#This Row],[PrecioFábrica]])/Tabla1[[#This Row],[Lista 3 (40%)]]</f>
        <v>0.58122546308325873</v>
      </c>
    </row>
    <row r="672" spans="1:15">
      <c r="A672" t="s">
        <v>6</v>
      </c>
      <c r="B672" t="s">
        <v>681</v>
      </c>
      <c r="C672" t="s">
        <v>1483</v>
      </c>
      <c r="D672" t="s">
        <v>811</v>
      </c>
      <c r="E672" t="s">
        <v>5</v>
      </c>
      <c r="F672" s="3">
        <v>16.641666666666666</v>
      </c>
      <c r="G672" s="10">
        <f>VLOOKUP(Tabla1[[#This Row],[Código Unificador]],PRECIOS_COMPETENCIA!B:D,3,FALSE)</f>
        <v>62.121699999999997</v>
      </c>
      <c r="H672" s="10">
        <f>Tabla1[[#This Row],[PVP Competencia]]*0.98</f>
        <v>60.879265999999994</v>
      </c>
      <c r="I672" s="10">
        <f>Tabla1[[#This Row],[Precio Lista CDR]]*0.8</f>
        <v>48.703412799999995</v>
      </c>
      <c r="J672" s="10">
        <f>Tabla1[[#This Row],[Precio Lista CDR]]*0.7</f>
        <v>42.615486199999992</v>
      </c>
      <c r="K672" s="10">
        <f>Tabla1[[#This Row],[Precio Lista CDR]]*0.6</f>
        <v>36.527559599999996</v>
      </c>
      <c r="L672" s="12">
        <f>(Tabla1[[#This Row],[Precio Lista CDR]]-Tabla1[[#This Row],[PrecioFábrica]])/Tabla1[[#This Row],[Precio Lista CDR]]</f>
        <v>0.72664475510156989</v>
      </c>
      <c r="M672" s="12">
        <f>(Tabla1[[#This Row],[Lista 1 (20%)]]-Tabla1[[#This Row],[PrecioFábrica]])/Tabla1[[#This Row],[Lista 1 (20%)]]</f>
        <v>0.6583059438769624</v>
      </c>
      <c r="N672" s="12">
        <f>(Tabla1[[#This Row],[Lista 2 (30%)]]-Tabla1[[#This Row],[PrecioFábrica]])/Tabla1[[#This Row],[Lista 2 (30%)]]</f>
        <v>0.60949250728795701</v>
      </c>
      <c r="O672" s="12">
        <f>(Tabla1[[#This Row],[Lista 3 (40%)]]-Tabla1[[#This Row],[PrecioFábrica]])/Tabla1[[#This Row],[Lista 3 (40%)]]</f>
        <v>0.54440792516928327</v>
      </c>
    </row>
    <row r="673" spans="1:15">
      <c r="A673" t="s">
        <v>9</v>
      </c>
      <c r="B673" t="s">
        <v>682</v>
      </c>
      <c r="C673" t="s">
        <v>1484</v>
      </c>
      <c r="D673" t="s">
        <v>811</v>
      </c>
      <c r="E673" t="s">
        <v>5</v>
      </c>
      <c r="F673" s="3">
        <v>5.7416666666666663</v>
      </c>
      <c r="G673" s="10">
        <f>VLOOKUP(Tabla1[[#This Row],[Código Unificador]],PRECIOS_COMPETENCIA!B:D,3,FALSE)</f>
        <v>27.816391666666664</v>
      </c>
      <c r="H673" s="10">
        <f>Tabla1[[#This Row],[PVP Competencia]]*0.98</f>
        <v>27.26006383333333</v>
      </c>
      <c r="I673" s="10">
        <f>Tabla1[[#This Row],[Precio Lista CDR]]*0.8</f>
        <v>21.808051066666664</v>
      </c>
      <c r="J673" s="10">
        <f>Tabla1[[#This Row],[Precio Lista CDR]]*0.7</f>
        <v>19.082044683333329</v>
      </c>
      <c r="K673" s="10">
        <f>Tabla1[[#This Row],[Precio Lista CDR]]*0.6</f>
        <v>16.356038299999998</v>
      </c>
      <c r="L673" s="12">
        <f>(Tabla1[[#This Row],[Precio Lista CDR]]-Tabla1[[#This Row],[PrecioFábrica]])/Tabla1[[#This Row],[Precio Lista CDR]]</f>
        <v>0.78937442326727736</v>
      </c>
      <c r="M673" s="12">
        <f>(Tabla1[[#This Row],[Lista 1 (20%)]]-Tabla1[[#This Row],[PrecioFábrica]])/Tabla1[[#This Row],[Lista 1 (20%)]]</f>
        <v>0.73671802908409667</v>
      </c>
      <c r="N673" s="12">
        <f>(Tabla1[[#This Row],[Lista 2 (30%)]]-Tabla1[[#This Row],[PrecioFábrica]])/Tabla1[[#This Row],[Lista 2 (30%)]]</f>
        <v>0.69910631895325337</v>
      </c>
      <c r="O673" s="12">
        <f>(Tabla1[[#This Row],[Lista 3 (40%)]]-Tabla1[[#This Row],[PrecioFábrica]])/Tabla1[[#This Row],[Lista 3 (40%)]]</f>
        <v>0.64895737211212889</v>
      </c>
    </row>
    <row r="674" spans="1:15">
      <c r="A674" t="s">
        <v>9</v>
      </c>
      <c r="B674" t="s">
        <v>683</v>
      </c>
      <c r="C674" t="s">
        <v>1485</v>
      </c>
      <c r="D674" t="s">
        <v>811</v>
      </c>
      <c r="E674" t="s">
        <v>5</v>
      </c>
      <c r="F674" s="3">
        <v>10.483333333333334</v>
      </c>
      <c r="G674" s="10">
        <f>VLOOKUP(Tabla1[[#This Row],[Código Unificador]],PRECIOS_COMPETENCIA!B:D,3,FALSE)</f>
        <v>41.92175000000001</v>
      </c>
      <c r="H674" s="10">
        <f>Tabla1[[#This Row],[PVP Competencia]]*0.98</f>
        <v>41.083315000000006</v>
      </c>
      <c r="I674" s="10">
        <f>Tabla1[[#This Row],[Precio Lista CDR]]*0.8</f>
        <v>32.866652000000009</v>
      </c>
      <c r="J674" s="10">
        <f>Tabla1[[#This Row],[Precio Lista CDR]]*0.7</f>
        <v>28.758320500000004</v>
      </c>
      <c r="K674" s="10">
        <f>Tabla1[[#This Row],[Precio Lista CDR]]*0.6</f>
        <v>24.649989000000001</v>
      </c>
      <c r="L674" s="12">
        <f>(Tabla1[[#This Row],[Precio Lista CDR]]-Tabla1[[#This Row],[PrecioFábrica]])/Tabla1[[#This Row],[Precio Lista CDR]]</f>
        <v>0.74482747233680313</v>
      </c>
      <c r="M674" s="12">
        <f>(Tabla1[[#This Row],[Lista 1 (20%)]]-Tabla1[[#This Row],[PrecioFábrica]])/Tabla1[[#This Row],[Lista 1 (20%)]]</f>
        <v>0.68103434042100386</v>
      </c>
      <c r="N674" s="12">
        <f>(Tabla1[[#This Row],[Lista 2 (30%)]]-Tabla1[[#This Row],[PrecioFábrica]])/Tabla1[[#This Row],[Lista 2 (30%)]]</f>
        <v>0.63546781762400439</v>
      </c>
      <c r="O674" s="12">
        <f>(Tabla1[[#This Row],[Lista 3 (40%)]]-Tabla1[[#This Row],[PrecioFábrica]])/Tabla1[[#This Row],[Lista 3 (40%)]]</f>
        <v>0.57471245389467174</v>
      </c>
    </row>
    <row r="675" spans="1:15">
      <c r="A675" t="s">
        <v>9</v>
      </c>
      <c r="B675" t="s">
        <v>684</v>
      </c>
      <c r="C675" t="s">
        <v>1486</v>
      </c>
      <c r="D675" t="s">
        <v>811</v>
      </c>
      <c r="E675" t="s">
        <v>5</v>
      </c>
      <c r="F675" s="3">
        <v>14.391666666666667</v>
      </c>
      <c r="G675" s="10">
        <f>VLOOKUP(Tabla1[[#This Row],[Código Unificador]],PRECIOS_COMPETENCIA!B:D,3,FALSE)</f>
        <v>52.570550000000004</v>
      </c>
      <c r="H675" s="10">
        <f>Tabla1[[#This Row],[PVP Competencia]]*0.98</f>
        <v>51.519139000000003</v>
      </c>
      <c r="I675" s="10">
        <f>Tabla1[[#This Row],[Precio Lista CDR]]*0.8</f>
        <v>41.215311200000002</v>
      </c>
      <c r="J675" s="10">
        <f>Tabla1[[#This Row],[Precio Lista CDR]]*0.7</f>
        <v>36.063397299999998</v>
      </c>
      <c r="K675" s="10">
        <f>Tabla1[[#This Row],[Precio Lista CDR]]*0.6</f>
        <v>30.911483400000002</v>
      </c>
      <c r="L675" s="12">
        <f>(Tabla1[[#This Row],[Precio Lista CDR]]-Tabla1[[#This Row],[PrecioFábrica]])/Tabla1[[#This Row],[Precio Lista CDR]]</f>
        <v>0.72065397547372312</v>
      </c>
      <c r="M675" s="12">
        <f>(Tabla1[[#This Row],[Lista 1 (20%)]]-Tabla1[[#This Row],[PrecioFábrica]])/Tabla1[[#This Row],[Lista 1 (20%)]]</f>
        <v>0.65081746934215401</v>
      </c>
      <c r="N675" s="12">
        <f>(Tabla1[[#This Row],[Lista 2 (30%)]]-Tabla1[[#This Row],[PrecioFábrica]])/Tabla1[[#This Row],[Lista 2 (30%)]]</f>
        <v>0.60093425067674733</v>
      </c>
      <c r="O675" s="12">
        <f>(Tabla1[[#This Row],[Lista 3 (40%)]]-Tabla1[[#This Row],[PrecioFábrica]])/Tabla1[[#This Row],[Lista 3 (40%)]]</f>
        <v>0.53442329245620523</v>
      </c>
    </row>
    <row r="676" spans="1:15">
      <c r="A676" t="s">
        <v>9</v>
      </c>
      <c r="B676" t="s">
        <v>685</v>
      </c>
      <c r="C676" t="s">
        <v>1487</v>
      </c>
      <c r="D676" t="s">
        <v>811</v>
      </c>
      <c r="E676" t="s">
        <v>5</v>
      </c>
      <c r="F676" s="3">
        <v>13.074999999999999</v>
      </c>
      <c r="G676" s="10">
        <f>VLOOKUP(Tabla1[[#This Row],[Código Unificador]],PRECIOS_COMPETENCIA!B:D,3,FALSE)</f>
        <v>49.434199999999997</v>
      </c>
      <c r="H676" s="10">
        <f>Tabla1[[#This Row],[PVP Competencia]]*0.98</f>
        <v>48.445515999999998</v>
      </c>
      <c r="I676" s="10">
        <f>Tabla1[[#This Row],[Precio Lista CDR]]*0.8</f>
        <v>38.7564128</v>
      </c>
      <c r="J676" s="10">
        <f>Tabla1[[#This Row],[Precio Lista CDR]]*0.7</f>
        <v>33.911861199999997</v>
      </c>
      <c r="K676" s="10">
        <f>Tabla1[[#This Row],[Precio Lista CDR]]*0.6</f>
        <v>29.067309599999998</v>
      </c>
      <c r="L676" s="12">
        <f>(Tabla1[[#This Row],[Precio Lista CDR]]-Tabla1[[#This Row],[PrecioFábrica]])/Tabla1[[#This Row],[Precio Lista CDR]]</f>
        <v>0.73010918079601006</v>
      </c>
      <c r="M676" s="12">
        <f>(Tabla1[[#This Row],[Lista 1 (20%)]]-Tabla1[[#This Row],[PrecioFábrica]])/Tabla1[[#This Row],[Lista 1 (20%)]]</f>
        <v>0.66263647599501263</v>
      </c>
      <c r="N676" s="12">
        <f>(Tabla1[[#This Row],[Lista 2 (30%)]]-Tabla1[[#This Row],[PrecioFábrica]])/Tabla1[[#This Row],[Lista 2 (30%)]]</f>
        <v>0.61444168685144296</v>
      </c>
      <c r="O676" s="12">
        <f>(Tabla1[[#This Row],[Lista 3 (40%)]]-Tabla1[[#This Row],[PrecioFábrica]])/Tabla1[[#This Row],[Lista 3 (40%)]]</f>
        <v>0.55018196799335017</v>
      </c>
    </row>
    <row r="677" spans="1:15">
      <c r="A677" t="s">
        <v>9</v>
      </c>
      <c r="B677" t="s">
        <v>686</v>
      </c>
      <c r="C677" t="s">
        <v>1488</v>
      </c>
      <c r="D677" t="s">
        <v>811</v>
      </c>
      <c r="E677" t="s">
        <v>5</v>
      </c>
      <c r="F677" s="3">
        <v>22.808333333333334</v>
      </c>
      <c r="G677" s="10">
        <f>VLOOKUP(Tabla1[[#This Row],[Código Unificador]],PRECIOS_COMPETENCIA!B:D,3,FALSE)</f>
        <v>78.789933333333352</v>
      </c>
      <c r="H677" s="10">
        <f>Tabla1[[#This Row],[PVP Competencia]]*0.98</f>
        <v>77.214134666666681</v>
      </c>
      <c r="I677" s="10">
        <f>Tabla1[[#This Row],[Precio Lista CDR]]*0.8</f>
        <v>61.771307733333344</v>
      </c>
      <c r="J677" s="10">
        <f>Tabla1[[#This Row],[Precio Lista CDR]]*0.7</f>
        <v>54.049894266666676</v>
      </c>
      <c r="K677" s="10">
        <f>Tabla1[[#This Row],[Precio Lista CDR]]*0.6</f>
        <v>46.328480800000008</v>
      </c>
      <c r="L677" s="12">
        <f>(Tabla1[[#This Row],[Precio Lista CDR]]-Tabla1[[#This Row],[PrecioFábrica]])/Tabla1[[#This Row],[Precio Lista CDR]]</f>
        <v>0.70460935123087398</v>
      </c>
      <c r="M677" s="12">
        <f>(Tabla1[[#This Row],[Lista 1 (20%)]]-Tabla1[[#This Row],[PrecioFábrica]])/Tabla1[[#This Row],[Lista 1 (20%)]]</f>
        <v>0.63076168903859242</v>
      </c>
      <c r="N677" s="12">
        <f>(Tabla1[[#This Row],[Lista 2 (30%)]]-Tabla1[[#This Row],[PrecioFábrica]])/Tabla1[[#This Row],[Lista 2 (30%)]]</f>
        <v>0.57801335890124861</v>
      </c>
      <c r="O677" s="12">
        <f>(Tabla1[[#This Row],[Lista 3 (40%)]]-Tabla1[[#This Row],[PrecioFábrica]])/Tabla1[[#This Row],[Lista 3 (40%)]]</f>
        <v>0.50768225205145667</v>
      </c>
    </row>
    <row r="678" spans="1:15">
      <c r="A678" t="s">
        <v>9</v>
      </c>
      <c r="B678" t="s">
        <v>687</v>
      </c>
      <c r="C678" t="s">
        <v>1489</v>
      </c>
      <c r="D678" t="s">
        <v>811</v>
      </c>
      <c r="E678" t="s">
        <v>5</v>
      </c>
      <c r="F678" s="3">
        <v>8.2166666666666668</v>
      </c>
      <c r="G678" s="10">
        <f>VLOOKUP(Tabla1[[#This Row],[Código Unificador]],PRECIOS_COMPETENCIA!B:D,3,FALSE)</f>
        <v>35.019750000000002</v>
      </c>
      <c r="H678" s="10">
        <f>Tabla1[[#This Row],[PVP Competencia]]*0.98</f>
        <v>34.319355000000002</v>
      </c>
      <c r="I678" s="10">
        <f>Tabla1[[#This Row],[Precio Lista CDR]]*0.8</f>
        <v>27.455484000000002</v>
      </c>
      <c r="J678" s="10">
        <f>Tabla1[[#This Row],[Precio Lista CDR]]*0.7</f>
        <v>24.0235485</v>
      </c>
      <c r="K678" s="10">
        <f>Tabla1[[#This Row],[Precio Lista CDR]]*0.6</f>
        <v>20.591612999999999</v>
      </c>
      <c r="L678" s="12">
        <f>(Tabla1[[#This Row],[Precio Lista CDR]]-Tabla1[[#This Row],[PrecioFábrica]])/Tabla1[[#This Row],[Precio Lista CDR]]</f>
        <v>0.76058213603761882</v>
      </c>
      <c r="M678" s="12">
        <f>(Tabla1[[#This Row],[Lista 1 (20%)]]-Tabla1[[#This Row],[PrecioFábrica]])/Tabla1[[#This Row],[Lista 1 (20%)]]</f>
        <v>0.70072767004702363</v>
      </c>
      <c r="N678" s="12">
        <f>(Tabla1[[#This Row],[Lista 2 (30%)]]-Tabla1[[#This Row],[PrecioFábrica]])/Tabla1[[#This Row],[Lista 2 (30%)]]</f>
        <v>0.65797448005374115</v>
      </c>
      <c r="O678" s="12">
        <f>(Tabla1[[#This Row],[Lista 3 (40%)]]-Tabla1[[#This Row],[PrecioFábrica]])/Tabla1[[#This Row],[Lista 3 (40%)]]</f>
        <v>0.60097022672936462</v>
      </c>
    </row>
    <row r="679" spans="1:15">
      <c r="A679" t="s">
        <v>9</v>
      </c>
      <c r="B679" t="s">
        <v>688</v>
      </c>
      <c r="C679" t="s">
        <v>1490</v>
      </c>
      <c r="D679" t="s">
        <v>811</v>
      </c>
      <c r="E679" t="s">
        <v>5</v>
      </c>
      <c r="F679" s="3">
        <v>18.058333333333337</v>
      </c>
      <c r="G679" s="10">
        <f>VLOOKUP(Tabla1[[#This Row],[Código Unificador]],PRECIOS_COMPETENCIA!B:D,3,FALSE)</f>
        <v>66.035008333333352</v>
      </c>
      <c r="H679" s="10">
        <f>Tabla1[[#This Row],[PVP Competencia]]*0.98</f>
        <v>64.714308166666683</v>
      </c>
      <c r="I679" s="10">
        <f>Tabla1[[#This Row],[Precio Lista CDR]]*0.8</f>
        <v>51.771446533333346</v>
      </c>
      <c r="J679" s="10">
        <f>Tabla1[[#This Row],[Precio Lista CDR]]*0.7</f>
        <v>45.300015716666678</v>
      </c>
      <c r="K679" s="10">
        <f>Tabla1[[#This Row],[Precio Lista CDR]]*0.6</f>
        <v>38.82858490000001</v>
      </c>
      <c r="L679" s="12">
        <f>(Tabla1[[#This Row],[Precio Lista CDR]]-Tabla1[[#This Row],[PrecioFábrica]])/Tabla1[[#This Row],[Precio Lista CDR]]</f>
        <v>0.72095300336325163</v>
      </c>
      <c r="M679" s="12">
        <f>(Tabla1[[#This Row],[Lista 1 (20%)]]-Tabla1[[#This Row],[PrecioFábrica]])/Tabla1[[#This Row],[Lista 1 (20%)]]</f>
        <v>0.65119125420406454</v>
      </c>
      <c r="N679" s="12">
        <f>(Tabla1[[#This Row],[Lista 2 (30%)]]-Tabla1[[#This Row],[PrecioFábrica]])/Tabla1[[#This Row],[Lista 2 (30%)]]</f>
        <v>0.60136143337607373</v>
      </c>
      <c r="O679" s="12">
        <f>(Tabla1[[#This Row],[Lista 3 (40%)]]-Tabla1[[#This Row],[PrecioFábrica]])/Tabla1[[#This Row],[Lista 3 (40%)]]</f>
        <v>0.53492167227208598</v>
      </c>
    </row>
    <row r="680" spans="1:15">
      <c r="A680" t="s">
        <v>6</v>
      </c>
      <c r="B680" t="s">
        <v>689</v>
      </c>
      <c r="C680" t="s">
        <v>1491</v>
      </c>
      <c r="D680" t="s">
        <v>811</v>
      </c>
      <c r="E680" t="s">
        <v>5</v>
      </c>
      <c r="F680" s="3">
        <v>19.708333333333332</v>
      </c>
      <c r="G680" s="10">
        <f>VLOOKUP(Tabla1[[#This Row],[Código Unificador]],PRECIOS_COMPETENCIA!B:D,3,FALSE)</f>
        <v>68.868791666666652</v>
      </c>
      <c r="H680" s="10">
        <f>Tabla1[[#This Row],[PVP Competencia]]*0.98</f>
        <v>67.491415833333321</v>
      </c>
      <c r="I680" s="10">
        <f>Tabla1[[#This Row],[Precio Lista CDR]]*0.8</f>
        <v>53.993132666666661</v>
      </c>
      <c r="J680" s="10">
        <f>Tabla1[[#This Row],[Precio Lista CDR]]*0.7</f>
        <v>47.24399108333332</v>
      </c>
      <c r="K680" s="10">
        <f>Tabla1[[#This Row],[Precio Lista CDR]]*0.6</f>
        <v>40.494849499999994</v>
      </c>
      <c r="L680" s="12">
        <f>(Tabla1[[#This Row],[Precio Lista CDR]]-Tabla1[[#This Row],[PrecioFábrica]])/Tabla1[[#This Row],[Precio Lista CDR]]</f>
        <v>0.7079875553062619</v>
      </c>
      <c r="M680" s="12">
        <f>(Tabla1[[#This Row],[Lista 1 (20%)]]-Tabla1[[#This Row],[PrecioFábrica]])/Tabla1[[#This Row],[Lista 1 (20%)]]</f>
        <v>0.63498444413282717</v>
      </c>
      <c r="N680" s="12">
        <f>(Tabla1[[#This Row],[Lista 2 (30%)]]-Tabla1[[#This Row],[PrecioFábrica]])/Tabla1[[#This Row],[Lista 2 (30%)]]</f>
        <v>0.58283936472323117</v>
      </c>
      <c r="O680" s="12">
        <f>(Tabla1[[#This Row],[Lista 3 (40%)]]-Tabla1[[#This Row],[PrecioFábrica]])/Tabla1[[#This Row],[Lista 3 (40%)]]</f>
        <v>0.51331259217710301</v>
      </c>
    </row>
    <row r="681" spans="1:15">
      <c r="A681" t="s">
        <v>9</v>
      </c>
      <c r="B681" t="s">
        <v>690</v>
      </c>
      <c r="C681" t="s">
        <v>1492</v>
      </c>
      <c r="D681" t="s">
        <v>811</v>
      </c>
      <c r="E681" t="s">
        <v>5</v>
      </c>
      <c r="F681" s="3">
        <v>11.091666666666667</v>
      </c>
      <c r="G681" s="10">
        <f>VLOOKUP(Tabla1[[#This Row],[Código Unificador]],PRECIOS_COMPETENCIA!B:D,3,FALSE)</f>
        <v>44.417441666666676</v>
      </c>
      <c r="H681" s="10">
        <f>Tabla1[[#This Row],[PVP Competencia]]*0.98</f>
        <v>43.529092833333344</v>
      </c>
      <c r="I681" s="10">
        <f>Tabla1[[#This Row],[Precio Lista CDR]]*0.8</f>
        <v>34.823274266666679</v>
      </c>
      <c r="J681" s="10">
        <f>Tabla1[[#This Row],[Precio Lista CDR]]*0.7</f>
        <v>30.47036498333334</v>
      </c>
      <c r="K681" s="10">
        <f>Tabla1[[#This Row],[Precio Lista CDR]]*0.6</f>
        <v>26.117455700000004</v>
      </c>
      <c r="L681" s="12">
        <f>(Tabla1[[#This Row],[Precio Lista CDR]]-Tabla1[[#This Row],[PrecioFábrica]])/Tabla1[[#This Row],[Precio Lista CDR]]</f>
        <v>0.7451895744959568</v>
      </c>
      <c r="M681" s="12">
        <f>(Tabla1[[#This Row],[Lista 1 (20%)]]-Tabla1[[#This Row],[PrecioFábrica]])/Tabla1[[#This Row],[Lista 1 (20%)]]</f>
        <v>0.68148696811994602</v>
      </c>
      <c r="N681" s="12">
        <f>(Tabla1[[#This Row],[Lista 2 (30%)]]-Tabla1[[#This Row],[PrecioFábrica]])/Tabla1[[#This Row],[Lista 2 (30%)]]</f>
        <v>0.63598510642279538</v>
      </c>
      <c r="O681" s="12">
        <f>(Tabla1[[#This Row],[Lista 3 (40%)]]-Tabla1[[#This Row],[PrecioFábrica]])/Tabla1[[#This Row],[Lista 3 (40%)]]</f>
        <v>0.57531595749326125</v>
      </c>
    </row>
    <row r="682" spans="1:15">
      <c r="A682" t="s">
        <v>9</v>
      </c>
      <c r="B682" t="s">
        <v>691</v>
      </c>
      <c r="C682" t="s">
        <v>1493</v>
      </c>
      <c r="D682" t="s">
        <v>811</v>
      </c>
      <c r="E682" t="s">
        <v>5</v>
      </c>
      <c r="F682" s="3">
        <v>2.4166666666666665</v>
      </c>
      <c r="G682" s="10">
        <f>VLOOKUP(Tabla1[[#This Row],[Código Unificador]],PRECIOS_COMPETENCIA!B:D,3,FALSE)</f>
        <v>17.569000000000003</v>
      </c>
      <c r="H682" s="10">
        <f>Tabla1[[#This Row],[PVP Competencia]]*0.98</f>
        <v>17.217620000000004</v>
      </c>
      <c r="I682" s="10">
        <f>Tabla1[[#This Row],[Precio Lista CDR]]*0.8</f>
        <v>13.774096000000004</v>
      </c>
      <c r="J682" s="10">
        <f>Tabla1[[#This Row],[Precio Lista CDR]]*0.7</f>
        <v>12.052334000000002</v>
      </c>
      <c r="K682" s="10">
        <f>Tabla1[[#This Row],[Precio Lista CDR]]*0.6</f>
        <v>10.330572000000002</v>
      </c>
      <c r="L682" s="12">
        <f>(Tabla1[[#This Row],[Precio Lista CDR]]-Tabla1[[#This Row],[PrecioFábrica]])/Tabla1[[#This Row],[Precio Lista CDR]]</f>
        <v>0.85963991151700025</v>
      </c>
      <c r="M682" s="12">
        <f>(Tabla1[[#This Row],[Lista 1 (20%)]]-Tabla1[[#This Row],[PrecioFábrica]])/Tabla1[[#This Row],[Lista 1 (20%)]]</f>
        <v>0.8245498893962504</v>
      </c>
      <c r="N682" s="12">
        <f>(Tabla1[[#This Row],[Lista 2 (30%)]]-Tabla1[[#This Row],[PrecioFábrica]])/Tabla1[[#This Row],[Lista 2 (30%)]]</f>
        <v>0.79948558788142898</v>
      </c>
      <c r="O682" s="12">
        <f>(Tabla1[[#This Row],[Lista 3 (40%)]]-Tabla1[[#This Row],[PrecioFábrica]])/Tabla1[[#This Row],[Lista 3 (40%)]]</f>
        <v>0.76606651919500046</v>
      </c>
    </row>
    <row r="683" spans="1:15">
      <c r="A683" t="s">
        <v>9</v>
      </c>
      <c r="B683" t="s">
        <v>692</v>
      </c>
      <c r="C683" t="s">
        <v>1494</v>
      </c>
      <c r="D683" t="s">
        <v>811</v>
      </c>
      <c r="E683" t="s">
        <v>5</v>
      </c>
      <c r="F683" s="3">
        <v>15.766666666666669</v>
      </c>
      <c r="G683" s="10">
        <f>VLOOKUP(Tabla1[[#This Row],[Código Unificador]],PRECIOS_COMPETENCIA!B:D,3,FALSE)</f>
        <v>56.637800000000006</v>
      </c>
      <c r="H683" s="10">
        <f>Tabla1[[#This Row],[PVP Competencia]]*0.98</f>
        <v>55.505044000000005</v>
      </c>
      <c r="I683" s="10">
        <f>Tabla1[[#This Row],[Precio Lista CDR]]*0.8</f>
        <v>44.40403520000001</v>
      </c>
      <c r="J683" s="10">
        <f>Tabla1[[#This Row],[Precio Lista CDR]]*0.7</f>
        <v>38.853530800000001</v>
      </c>
      <c r="K683" s="10">
        <f>Tabla1[[#This Row],[Precio Lista CDR]]*0.6</f>
        <v>33.3030264</v>
      </c>
      <c r="L683" s="12">
        <f>(Tabla1[[#This Row],[Precio Lista CDR]]-Tabla1[[#This Row],[PrecioFábrica]])/Tabla1[[#This Row],[Precio Lista CDR]]</f>
        <v>0.71594173195022293</v>
      </c>
      <c r="M683" s="12">
        <f>(Tabla1[[#This Row],[Lista 1 (20%)]]-Tabla1[[#This Row],[PrecioFábrica]])/Tabla1[[#This Row],[Lista 1 (20%)]]</f>
        <v>0.6449271649377788</v>
      </c>
      <c r="N683" s="12">
        <f>(Tabla1[[#This Row],[Lista 2 (30%)]]-Tabla1[[#This Row],[PrecioFábrica]])/Tabla1[[#This Row],[Lista 2 (30%)]]</f>
        <v>0.59420247421460426</v>
      </c>
      <c r="O683" s="12">
        <f>(Tabla1[[#This Row],[Lista 3 (40%)]]-Tabla1[[#This Row],[PrecioFábrica]])/Tabla1[[#This Row],[Lista 3 (40%)]]</f>
        <v>0.52656955325037158</v>
      </c>
    </row>
    <row r="684" spans="1:15">
      <c r="A684" t="s">
        <v>9</v>
      </c>
      <c r="B684" t="s">
        <v>693</v>
      </c>
      <c r="C684" t="s">
        <v>1495</v>
      </c>
      <c r="D684" t="s">
        <v>811</v>
      </c>
      <c r="E684" t="s">
        <v>5</v>
      </c>
      <c r="F684" s="3">
        <v>8.9500000000000011</v>
      </c>
      <c r="G684" s="10">
        <f>VLOOKUP(Tabla1[[#This Row],[Código Unificador]],PRECIOS_COMPETENCIA!B:D,3,FALSE)</f>
        <v>37.252750000000006</v>
      </c>
      <c r="H684" s="10">
        <f>Tabla1[[#This Row],[PVP Competencia]]*0.98</f>
        <v>36.507695000000005</v>
      </c>
      <c r="I684" s="10">
        <f>Tabla1[[#This Row],[Precio Lista CDR]]*0.8</f>
        <v>29.206156000000007</v>
      </c>
      <c r="J684" s="10">
        <f>Tabla1[[#This Row],[Precio Lista CDR]]*0.7</f>
        <v>25.555386500000001</v>
      </c>
      <c r="K684" s="10">
        <f>Tabla1[[#This Row],[Precio Lista CDR]]*0.6</f>
        <v>21.904617000000002</v>
      </c>
      <c r="L684" s="12">
        <f>(Tabla1[[#This Row],[Precio Lista CDR]]-Tabla1[[#This Row],[PrecioFábrica]])/Tabla1[[#This Row],[Precio Lista CDR]]</f>
        <v>0.75484620434130389</v>
      </c>
      <c r="M684" s="12">
        <f>(Tabla1[[#This Row],[Lista 1 (20%)]]-Tabla1[[#This Row],[PrecioFábrica]])/Tabla1[[#This Row],[Lista 1 (20%)]]</f>
        <v>0.6935577554266299</v>
      </c>
      <c r="N684" s="12">
        <f>(Tabla1[[#This Row],[Lista 2 (30%)]]-Tabla1[[#This Row],[PrecioFábrica]])/Tabla1[[#This Row],[Lista 2 (30%)]]</f>
        <v>0.6497802919161485</v>
      </c>
      <c r="O684" s="12">
        <f>(Tabla1[[#This Row],[Lista 3 (40%)]]-Tabla1[[#This Row],[PrecioFábrica]])/Tabla1[[#This Row],[Lista 3 (40%)]]</f>
        <v>0.5914103405688399</v>
      </c>
    </row>
    <row r="685" spans="1:15">
      <c r="A685" t="s">
        <v>9</v>
      </c>
      <c r="B685" t="s">
        <v>694</v>
      </c>
      <c r="C685" t="s">
        <v>1496</v>
      </c>
      <c r="D685" t="s">
        <v>811</v>
      </c>
      <c r="E685" t="s">
        <v>5</v>
      </c>
      <c r="F685" s="3">
        <v>10.5</v>
      </c>
      <c r="G685" s="10">
        <f>VLOOKUP(Tabla1[[#This Row],[Código Unificador]],PRECIOS_COMPETENCIA!B:D,3,FALSE)</f>
        <v>41.058999999999997</v>
      </c>
      <c r="H685" s="10">
        <f>Tabla1[[#This Row],[PVP Competencia]]*0.98</f>
        <v>40.237819999999999</v>
      </c>
      <c r="I685" s="10">
        <f>Tabla1[[#This Row],[Precio Lista CDR]]*0.8</f>
        <v>32.190255999999998</v>
      </c>
      <c r="J685" s="10">
        <f>Tabla1[[#This Row],[Precio Lista CDR]]*0.7</f>
        <v>28.166473999999997</v>
      </c>
      <c r="K685" s="10">
        <f>Tabla1[[#This Row],[Precio Lista CDR]]*0.6</f>
        <v>24.142692</v>
      </c>
      <c r="L685" s="12">
        <f>(Tabla1[[#This Row],[Precio Lista CDR]]-Tabla1[[#This Row],[PrecioFábrica]])/Tabla1[[#This Row],[Precio Lista CDR]]</f>
        <v>0.73905146948815814</v>
      </c>
      <c r="M685" s="12">
        <f>(Tabla1[[#This Row],[Lista 1 (20%)]]-Tabla1[[#This Row],[PrecioFábrica]])/Tabla1[[#This Row],[Lista 1 (20%)]]</f>
        <v>0.67381433686019765</v>
      </c>
      <c r="N685" s="12">
        <f>(Tabla1[[#This Row],[Lista 2 (30%)]]-Tabla1[[#This Row],[PrecioFábrica]])/Tabla1[[#This Row],[Lista 2 (30%)]]</f>
        <v>0.62721638498308308</v>
      </c>
      <c r="O685" s="12">
        <f>(Tabla1[[#This Row],[Lista 3 (40%)]]-Tabla1[[#This Row],[PrecioFábrica]])/Tabla1[[#This Row],[Lista 3 (40%)]]</f>
        <v>0.56508578248026364</v>
      </c>
    </row>
    <row r="686" spans="1:15">
      <c r="A686" t="s">
        <v>7</v>
      </c>
      <c r="B686" t="s">
        <v>695</v>
      </c>
      <c r="C686" t="s">
        <v>1497</v>
      </c>
      <c r="D686" t="s">
        <v>811</v>
      </c>
      <c r="E686" t="s">
        <v>5</v>
      </c>
      <c r="F686" s="3">
        <v>7.5666666666666673</v>
      </c>
      <c r="G686" s="10">
        <f>VLOOKUP(Tabla1[[#This Row],[Código Unificador]],PRECIOS_COMPETENCIA!B:D,3,FALSE)</f>
        <v>33.259933333333336</v>
      </c>
      <c r="H686" s="10">
        <f>Tabla1[[#This Row],[PVP Competencia]]*0.98</f>
        <v>32.594734666666668</v>
      </c>
      <c r="I686" s="10">
        <f>Tabla1[[#This Row],[Precio Lista CDR]]*0.8</f>
        <v>26.075787733333335</v>
      </c>
      <c r="J686" s="10">
        <f>Tabla1[[#This Row],[Precio Lista CDR]]*0.7</f>
        <v>22.816314266666666</v>
      </c>
      <c r="K686" s="10">
        <f>Tabla1[[#This Row],[Precio Lista CDR]]*0.6</f>
        <v>19.5568408</v>
      </c>
      <c r="L686" s="12">
        <f>(Tabla1[[#This Row],[Precio Lista CDR]]-Tabla1[[#This Row],[PrecioFábrica]])/Tabla1[[#This Row],[Precio Lista CDR]]</f>
        <v>0.76785616621678487</v>
      </c>
      <c r="M686" s="12">
        <f>(Tabla1[[#This Row],[Lista 1 (20%)]]-Tabla1[[#This Row],[PrecioFábrica]])/Tabla1[[#This Row],[Lista 1 (20%)]]</f>
        <v>0.70982020777098109</v>
      </c>
      <c r="N686" s="12">
        <f>(Tabla1[[#This Row],[Lista 2 (30%)]]-Tabla1[[#This Row],[PrecioFábrica]])/Tabla1[[#This Row],[Lista 2 (30%)]]</f>
        <v>0.66836595173826407</v>
      </c>
      <c r="O686" s="12">
        <f>(Tabla1[[#This Row],[Lista 3 (40%)]]-Tabla1[[#This Row],[PrecioFábrica]])/Tabla1[[#This Row],[Lista 3 (40%)]]</f>
        <v>0.61309361036130816</v>
      </c>
    </row>
    <row r="687" spans="1:15">
      <c r="A687" t="s">
        <v>7</v>
      </c>
      <c r="B687" t="s">
        <v>696</v>
      </c>
      <c r="C687" t="s">
        <v>1498</v>
      </c>
      <c r="D687" t="s">
        <v>811</v>
      </c>
      <c r="E687" t="s">
        <v>5</v>
      </c>
      <c r="F687" s="3">
        <v>10.825000000000001</v>
      </c>
      <c r="G687" s="10">
        <f>VLOOKUP(Tabla1[[#This Row],[Código Unificador]],PRECIOS_COMPETENCIA!B:D,3,FALSE)</f>
        <v>43.58997500000001</v>
      </c>
      <c r="H687" s="10">
        <f>Tabla1[[#This Row],[PVP Competencia]]*0.98</f>
        <v>42.718175500000008</v>
      </c>
      <c r="I687" s="10">
        <f>Tabla1[[#This Row],[Precio Lista CDR]]*0.8</f>
        <v>34.174540400000005</v>
      </c>
      <c r="J687" s="10">
        <f>Tabla1[[#This Row],[Precio Lista CDR]]*0.7</f>
        <v>29.902722850000004</v>
      </c>
      <c r="K687" s="10">
        <f>Tabla1[[#This Row],[Precio Lista CDR]]*0.6</f>
        <v>25.630905300000006</v>
      </c>
      <c r="L687" s="12">
        <f>(Tabla1[[#This Row],[Precio Lista CDR]]-Tabla1[[#This Row],[PrecioFábrica]])/Tabla1[[#This Row],[Precio Lista CDR]]</f>
        <v>0.74659498273750013</v>
      </c>
      <c r="M687" s="12">
        <f>(Tabla1[[#This Row],[Lista 1 (20%)]]-Tabla1[[#This Row],[PrecioFábrica]])/Tabla1[[#This Row],[Lista 1 (20%)]]</f>
        <v>0.68324372842187509</v>
      </c>
      <c r="N687" s="12">
        <f>(Tabla1[[#This Row],[Lista 2 (30%)]]-Tabla1[[#This Row],[PrecioFábrica]])/Tabla1[[#This Row],[Lista 2 (30%)]]</f>
        <v>0.637992832482143</v>
      </c>
      <c r="O687" s="12">
        <f>(Tabla1[[#This Row],[Lista 3 (40%)]]-Tabla1[[#This Row],[PrecioFábrica]])/Tabla1[[#This Row],[Lista 3 (40%)]]</f>
        <v>0.57765830456250022</v>
      </c>
    </row>
    <row r="688" spans="1:15">
      <c r="A688" t="s">
        <v>6</v>
      </c>
      <c r="B688" t="s">
        <v>697</v>
      </c>
      <c r="C688" t="s">
        <v>1499</v>
      </c>
      <c r="D688" t="s">
        <v>811</v>
      </c>
      <c r="E688" t="s">
        <v>5</v>
      </c>
      <c r="F688" s="3">
        <v>2.6833333333333331</v>
      </c>
      <c r="G688" s="10">
        <f>VLOOKUP(Tabla1[[#This Row],[Código Unificador]],PRECIOS_COMPETENCIA!B:D,3,FALSE)</f>
        <v>18.092933333333335</v>
      </c>
      <c r="H688" s="10">
        <f>Tabla1[[#This Row],[PVP Competencia]]*0.98</f>
        <v>17.731074666666668</v>
      </c>
      <c r="I688" s="10">
        <f>Tabla1[[#This Row],[Precio Lista CDR]]*0.8</f>
        <v>14.184859733333335</v>
      </c>
      <c r="J688" s="10">
        <f>Tabla1[[#This Row],[Precio Lista CDR]]*0.7</f>
        <v>12.411752266666667</v>
      </c>
      <c r="K688" s="10">
        <f>Tabla1[[#This Row],[Precio Lista CDR]]*0.6</f>
        <v>10.6386448</v>
      </c>
      <c r="L688" s="12">
        <f>(Tabla1[[#This Row],[Precio Lista CDR]]-Tabla1[[#This Row],[PrecioFábrica]])/Tabla1[[#This Row],[Precio Lista CDR]]</f>
        <v>0.84866493521806463</v>
      </c>
      <c r="M688" s="12">
        <f>(Tabla1[[#This Row],[Lista 1 (20%)]]-Tabla1[[#This Row],[PrecioFábrica]])/Tabla1[[#This Row],[Lista 1 (20%)]]</f>
        <v>0.81083116902258079</v>
      </c>
      <c r="N688" s="12">
        <f>(Tabla1[[#This Row],[Lista 2 (30%)]]-Tabla1[[#This Row],[PrecioFábrica]])/Tabla1[[#This Row],[Lista 2 (30%)]]</f>
        <v>0.78380705031152087</v>
      </c>
      <c r="O688" s="12">
        <f>(Tabla1[[#This Row],[Lista 3 (40%)]]-Tabla1[[#This Row],[PrecioFábrica]])/Tabla1[[#This Row],[Lista 3 (40%)]]</f>
        <v>0.74777489203010772</v>
      </c>
    </row>
    <row r="689" spans="1:15">
      <c r="A689" t="s">
        <v>6</v>
      </c>
      <c r="B689" t="s">
        <v>698</v>
      </c>
      <c r="C689" t="s">
        <v>1500</v>
      </c>
      <c r="D689" t="s">
        <v>811</v>
      </c>
      <c r="E689" t="s">
        <v>5</v>
      </c>
      <c r="F689" s="3">
        <v>2.3666666666666667</v>
      </c>
      <c r="G689" s="10">
        <f>VLOOKUP(Tabla1[[#This Row],[Código Unificador]],PRECIOS_COMPETENCIA!B:D,3,FALSE)</f>
        <v>17.343766666666667</v>
      </c>
      <c r="H689" s="10">
        <f>Tabla1[[#This Row],[PVP Competencia]]*0.98</f>
        <v>16.996891333333334</v>
      </c>
      <c r="I689" s="10">
        <f>Tabla1[[#This Row],[Precio Lista CDR]]*0.8</f>
        <v>13.597513066666668</v>
      </c>
      <c r="J689" s="10">
        <f>Tabla1[[#This Row],[Precio Lista CDR]]*0.7</f>
        <v>11.897823933333333</v>
      </c>
      <c r="K689" s="10">
        <f>Tabla1[[#This Row],[Precio Lista CDR]]*0.6</f>
        <v>10.1981348</v>
      </c>
      <c r="L689" s="12">
        <f>(Tabla1[[#This Row],[Precio Lista CDR]]-Tabla1[[#This Row],[PrecioFábrica]])/Tabla1[[#This Row],[Precio Lista CDR]]</f>
        <v>0.86075885170688271</v>
      </c>
      <c r="M689" s="12">
        <f>(Tabla1[[#This Row],[Lista 1 (20%)]]-Tabla1[[#This Row],[PrecioFábrica]])/Tabla1[[#This Row],[Lista 1 (20%)]]</f>
        <v>0.82594856463360333</v>
      </c>
      <c r="N689" s="12">
        <f>(Tabla1[[#This Row],[Lista 2 (30%)]]-Tabla1[[#This Row],[PrecioFábrica]])/Tabla1[[#This Row],[Lista 2 (30%)]]</f>
        <v>0.80108407386697522</v>
      </c>
      <c r="O689" s="12">
        <f>(Tabla1[[#This Row],[Lista 3 (40%)]]-Tabla1[[#This Row],[PrecioFábrica]])/Tabla1[[#This Row],[Lista 3 (40%)]]</f>
        <v>0.76793141951147115</v>
      </c>
    </row>
    <row r="690" spans="1:15">
      <c r="A690" t="s">
        <v>9</v>
      </c>
      <c r="B690" t="s">
        <v>699</v>
      </c>
      <c r="C690" t="s">
        <v>1501</v>
      </c>
      <c r="D690" t="s">
        <v>811</v>
      </c>
      <c r="E690" t="s">
        <v>5</v>
      </c>
      <c r="F690" s="3">
        <v>5.083333333333333</v>
      </c>
      <c r="G690" s="10">
        <f>VLOOKUP(Tabla1[[#This Row],[Código Unificador]],PRECIOS_COMPETENCIA!B:D,3,FALSE)</f>
        <v>25.626166666666666</v>
      </c>
      <c r="H690" s="10">
        <f>Tabla1[[#This Row],[PVP Competencia]]*0.98</f>
        <v>25.113643333333332</v>
      </c>
      <c r="I690" s="10">
        <f>Tabla1[[#This Row],[Precio Lista CDR]]*0.8</f>
        <v>20.090914666666666</v>
      </c>
      <c r="J690" s="10">
        <f>Tabla1[[#This Row],[Precio Lista CDR]]*0.7</f>
        <v>17.57955033333333</v>
      </c>
      <c r="K690" s="10">
        <f>Tabla1[[#This Row],[Precio Lista CDR]]*0.6</f>
        <v>15.068185999999999</v>
      </c>
      <c r="L690" s="12">
        <f>(Tabla1[[#This Row],[Precio Lista CDR]]-Tabla1[[#This Row],[PrecioFábrica]])/Tabla1[[#This Row],[Precio Lista CDR]]</f>
        <v>0.79758678317350218</v>
      </c>
      <c r="M690" s="12">
        <f>(Tabla1[[#This Row],[Lista 1 (20%)]]-Tabla1[[#This Row],[PrecioFábrica]])/Tabla1[[#This Row],[Lista 1 (20%)]]</f>
        <v>0.74698347896687767</v>
      </c>
      <c r="N690" s="12">
        <f>(Tabla1[[#This Row],[Lista 2 (30%)]]-Tabla1[[#This Row],[PrecioFábrica]])/Tabla1[[#This Row],[Lista 2 (30%)]]</f>
        <v>0.7108382616764316</v>
      </c>
      <c r="O690" s="12">
        <f>(Tabla1[[#This Row],[Lista 3 (40%)]]-Tabla1[[#This Row],[PrecioFábrica]])/Tabla1[[#This Row],[Lista 3 (40%)]]</f>
        <v>0.66264463862250345</v>
      </c>
    </row>
    <row r="691" spans="1:15">
      <c r="A691" t="s">
        <v>6</v>
      </c>
      <c r="B691" t="s">
        <v>700</v>
      </c>
      <c r="C691" t="s">
        <v>1502</v>
      </c>
      <c r="D691" t="s">
        <v>811</v>
      </c>
      <c r="E691" t="s">
        <v>5</v>
      </c>
      <c r="F691" s="3">
        <v>13.108333333333334</v>
      </c>
      <c r="G691" s="10">
        <f>VLOOKUP(Tabla1[[#This Row],[Código Unificador]],PRECIOS_COMPETENCIA!B:D,3,FALSE)</f>
        <v>51.055300000000003</v>
      </c>
      <c r="H691" s="10">
        <f>Tabla1[[#This Row],[PVP Competencia]]*0.98</f>
        <v>50.034193999999999</v>
      </c>
      <c r="I691" s="10">
        <f>Tabla1[[#This Row],[Precio Lista CDR]]*0.8</f>
        <v>40.027355200000002</v>
      </c>
      <c r="J691" s="10">
        <f>Tabla1[[#This Row],[Precio Lista CDR]]*0.7</f>
        <v>35.023935799999997</v>
      </c>
      <c r="K691" s="10">
        <f>Tabla1[[#This Row],[Precio Lista CDR]]*0.6</f>
        <v>30.020516399999998</v>
      </c>
      <c r="L691" s="12">
        <f>(Tabla1[[#This Row],[Precio Lista CDR]]-Tabla1[[#This Row],[PrecioFábrica]])/Tabla1[[#This Row],[Precio Lista CDR]]</f>
        <v>0.73801250134391427</v>
      </c>
      <c r="M691" s="12">
        <f>(Tabla1[[#This Row],[Lista 1 (20%)]]-Tabla1[[#This Row],[PrecioFábrica]])/Tabla1[[#This Row],[Lista 1 (20%)]]</f>
        <v>0.67251562667989284</v>
      </c>
      <c r="N691" s="12">
        <f>(Tabla1[[#This Row],[Lista 2 (30%)]]-Tabla1[[#This Row],[PrecioFábrica]])/Tabla1[[#This Row],[Lista 2 (30%)]]</f>
        <v>0.62573214477702033</v>
      </c>
      <c r="O691" s="12">
        <f>(Tabla1[[#This Row],[Lista 3 (40%)]]-Tabla1[[#This Row],[PrecioFábrica]])/Tabla1[[#This Row],[Lista 3 (40%)]]</f>
        <v>0.56335416890652368</v>
      </c>
    </row>
    <row r="692" spans="1:15">
      <c r="A692" t="s">
        <v>9</v>
      </c>
      <c r="B692" t="s">
        <v>701</v>
      </c>
      <c r="C692" t="s">
        <v>1503</v>
      </c>
      <c r="D692" t="s">
        <v>811</v>
      </c>
      <c r="E692" t="s">
        <v>5</v>
      </c>
      <c r="F692" s="3">
        <v>18.766666666666666</v>
      </c>
      <c r="G692" s="10">
        <f>VLOOKUP(Tabla1[[#This Row],[Código Unificador]],PRECIOS_COMPETENCIA!B:D,3,FALSE)</f>
        <v>68.23296666666667</v>
      </c>
      <c r="H692" s="10">
        <f>Tabla1[[#This Row],[PVP Competencia]]*0.98</f>
        <v>66.868307333333334</v>
      </c>
      <c r="I692" s="10">
        <f>Tabla1[[#This Row],[Precio Lista CDR]]*0.8</f>
        <v>53.494645866666673</v>
      </c>
      <c r="J692" s="10">
        <f>Tabla1[[#This Row],[Precio Lista CDR]]*0.7</f>
        <v>46.807815133333328</v>
      </c>
      <c r="K692" s="10">
        <f>Tabla1[[#This Row],[Precio Lista CDR]]*0.6</f>
        <v>40.120984399999998</v>
      </c>
      <c r="L692" s="12">
        <f>(Tabla1[[#This Row],[Precio Lista CDR]]-Tabla1[[#This Row],[PrecioFábrica]])/Tabla1[[#This Row],[Precio Lista CDR]]</f>
        <v>0.71934886024381794</v>
      </c>
      <c r="M692" s="12">
        <f>(Tabla1[[#This Row],[Lista 1 (20%)]]-Tabla1[[#This Row],[PrecioFábrica]])/Tabla1[[#This Row],[Lista 1 (20%)]]</f>
        <v>0.64918607530477246</v>
      </c>
      <c r="N692" s="12">
        <f>(Tabla1[[#This Row],[Lista 2 (30%)]]-Tabla1[[#This Row],[PrecioFábrica]])/Tabla1[[#This Row],[Lista 2 (30%)]]</f>
        <v>0.59906980034831137</v>
      </c>
      <c r="O692" s="12">
        <f>(Tabla1[[#This Row],[Lista 3 (40%)]]-Tabla1[[#This Row],[PrecioFábrica]])/Tabla1[[#This Row],[Lista 3 (40%)]]</f>
        <v>0.53224810040636328</v>
      </c>
    </row>
    <row r="693" spans="1:15">
      <c r="A693" t="s">
        <v>9</v>
      </c>
      <c r="B693" t="s">
        <v>702</v>
      </c>
      <c r="C693" t="s">
        <v>1504</v>
      </c>
      <c r="D693" t="s">
        <v>811</v>
      </c>
      <c r="E693" t="s">
        <v>5</v>
      </c>
      <c r="F693" s="3">
        <v>33.075000000000003</v>
      </c>
      <c r="G693" s="10">
        <f>VLOOKUP(Tabla1[[#This Row],[Código Unificador]],PRECIOS_COMPETENCIA!B:D,3,FALSE)</f>
        <v>117.83585000000002</v>
      </c>
      <c r="H693" s="10">
        <f>Tabla1[[#This Row],[PVP Competencia]]*0.98</f>
        <v>115.47913300000002</v>
      </c>
      <c r="I693" s="10">
        <f>Tabla1[[#This Row],[Precio Lista CDR]]*0.8</f>
        <v>92.383306400000023</v>
      </c>
      <c r="J693" s="10">
        <f>Tabla1[[#This Row],[Precio Lista CDR]]*0.7</f>
        <v>80.835393100000005</v>
      </c>
      <c r="K693" s="10">
        <f>Tabla1[[#This Row],[Precio Lista CDR]]*0.6</f>
        <v>69.287479800000014</v>
      </c>
      <c r="L693" s="12">
        <f>(Tabla1[[#This Row],[Precio Lista CDR]]-Tabla1[[#This Row],[PrecioFábrica]])/Tabla1[[#This Row],[Precio Lista CDR]]</f>
        <v>0.71358461792400196</v>
      </c>
      <c r="M693" s="12">
        <f>(Tabla1[[#This Row],[Lista 1 (20%)]]-Tabla1[[#This Row],[PrecioFábrica]])/Tabla1[[#This Row],[Lista 1 (20%)]]</f>
        <v>0.6419807724050024</v>
      </c>
      <c r="N693" s="12">
        <f>(Tabla1[[#This Row],[Lista 2 (30%)]]-Tabla1[[#This Row],[PrecioFábrica]])/Tabla1[[#This Row],[Lista 2 (30%)]]</f>
        <v>0.59083516846285988</v>
      </c>
      <c r="O693" s="12">
        <f>(Tabla1[[#This Row],[Lista 3 (40%)]]-Tabla1[[#This Row],[PrecioFábrica]])/Tabla1[[#This Row],[Lista 3 (40%)]]</f>
        <v>0.5226410298733366</v>
      </c>
    </row>
    <row r="694" spans="1:15">
      <c r="A694" t="s">
        <v>6</v>
      </c>
      <c r="B694" t="s">
        <v>703</v>
      </c>
      <c r="C694" t="s">
        <v>1505</v>
      </c>
      <c r="D694" t="s">
        <v>811</v>
      </c>
      <c r="E694" t="s">
        <v>5</v>
      </c>
      <c r="F694" s="3">
        <v>9.1416666666666675</v>
      </c>
      <c r="G694" s="10">
        <f>VLOOKUP(Tabla1[[#This Row],[Código Unificador]],PRECIOS_COMPETENCIA!B:D,3,FALSE)</f>
        <v>38.631700000000009</v>
      </c>
      <c r="H694" s="10">
        <f>Tabla1[[#This Row],[PVP Competencia]]*0.98</f>
        <v>37.859066000000006</v>
      </c>
      <c r="I694" s="10">
        <f>Tabla1[[#This Row],[Precio Lista CDR]]*0.8</f>
        <v>30.287252800000005</v>
      </c>
      <c r="J694" s="10">
        <f>Tabla1[[#This Row],[Precio Lista CDR]]*0.7</f>
        <v>26.501346200000004</v>
      </c>
      <c r="K694" s="10">
        <f>Tabla1[[#This Row],[Precio Lista CDR]]*0.6</f>
        <v>22.715439600000003</v>
      </c>
      <c r="L694" s="12">
        <f>(Tabla1[[#This Row],[Precio Lista CDR]]-Tabla1[[#This Row],[PrecioFábrica]])/Tabla1[[#This Row],[Precio Lista CDR]]</f>
        <v>0.75853427903724135</v>
      </c>
      <c r="M694" s="12">
        <f>(Tabla1[[#This Row],[Lista 1 (20%)]]-Tabla1[[#This Row],[PrecioFábrica]])/Tabla1[[#This Row],[Lista 1 (20%)]]</f>
        <v>0.69816784879655169</v>
      </c>
      <c r="N694" s="12">
        <f>(Tabla1[[#This Row],[Lista 2 (30%)]]-Tabla1[[#This Row],[PrecioFábrica]])/Tabla1[[#This Row],[Lista 2 (30%)]]</f>
        <v>0.65504897005320173</v>
      </c>
      <c r="O694" s="12">
        <f>(Tabla1[[#This Row],[Lista 3 (40%)]]-Tabla1[[#This Row],[PrecioFábrica]])/Tabla1[[#This Row],[Lista 3 (40%)]]</f>
        <v>0.59755713172873548</v>
      </c>
    </row>
    <row r="695" spans="1:15">
      <c r="A695" t="s">
        <v>9</v>
      </c>
      <c r="B695" t="s">
        <v>704</v>
      </c>
      <c r="C695" t="s">
        <v>1506</v>
      </c>
      <c r="D695" t="s">
        <v>811</v>
      </c>
      <c r="E695" t="s">
        <v>5</v>
      </c>
      <c r="F695" s="3">
        <v>13.216666666666667</v>
      </c>
      <c r="G695" s="10">
        <f>VLOOKUP(Tabla1[[#This Row],[Código Unificador]],PRECIOS_COMPETENCIA!B:D,3,FALSE)</f>
        <v>49.478183333333334</v>
      </c>
      <c r="H695" s="10">
        <f>Tabla1[[#This Row],[PVP Competencia]]*0.98</f>
        <v>48.488619666666665</v>
      </c>
      <c r="I695" s="10">
        <f>Tabla1[[#This Row],[Precio Lista CDR]]*0.8</f>
        <v>38.790895733333336</v>
      </c>
      <c r="J695" s="10">
        <f>Tabla1[[#This Row],[Precio Lista CDR]]*0.7</f>
        <v>33.942033766666661</v>
      </c>
      <c r="K695" s="10">
        <f>Tabla1[[#This Row],[Precio Lista CDR]]*0.6</f>
        <v>29.093171799999997</v>
      </c>
      <c r="L695" s="12">
        <f>(Tabla1[[#This Row],[Precio Lista CDR]]-Tabla1[[#This Row],[PrecioFábrica]])/Tabla1[[#This Row],[Precio Lista CDR]]</f>
        <v>0.72742745086322969</v>
      </c>
      <c r="M695" s="12">
        <f>(Tabla1[[#This Row],[Lista 1 (20%)]]-Tabla1[[#This Row],[PrecioFábrica]])/Tabla1[[#This Row],[Lista 1 (20%)]]</f>
        <v>0.65928431357903705</v>
      </c>
      <c r="N695" s="12">
        <f>(Tabla1[[#This Row],[Lista 2 (30%)]]-Tabla1[[#This Row],[PrecioFábrica]])/Tabla1[[#This Row],[Lista 2 (30%)]]</f>
        <v>0.61061064409032806</v>
      </c>
      <c r="O695" s="12">
        <f>(Tabla1[[#This Row],[Lista 3 (40%)]]-Tabla1[[#This Row],[PrecioFábrica]])/Tabla1[[#This Row],[Lista 3 (40%)]]</f>
        <v>0.54571241810538273</v>
      </c>
    </row>
    <row r="696" spans="1:15">
      <c r="A696" t="s">
        <v>9</v>
      </c>
      <c r="B696" t="s">
        <v>705</v>
      </c>
      <c r="C696" t="s">
        <v>1507</v>
      </c>
      <c r="D696" t="s">
        <v>811</v>
      </c>
      <c r="E696" t="s">
        <v>5</v>
      </c>
      <c r="F696" s="3">
        <v>23.475000000000001</v>
      </c>
      <c r="G696" s="10">
        <f>VLOOKUP(Tabla1[[#This Row],[Código Unificador]],PRECIOS_COMPETENCIA!B:D,3,FALSE)</f>
        <v>82.162150000000011</v>
      </c>
      <c r="H696" s="10">
        <f>Tabla1[[#This Row],[PVP Competencia]]*0.98</f>
        <v>80.518907000000013</v>
      </c>
      <c r="I696" s="10">
        <f>Tabla1[[#This Row],[Precio Lista CDR]]*0.8</f>
        <v>64.41512560000001</v>
      </c>
      <c r="J696" s="10">
        <f>Tabla1[[#This Row],[Precio Lista CDR]]*0.7</f>
        <v>56.363234900000002</v>
      </c>
      <c r="K696" s="10">
        <f>Tabla1[[#This Row],[Precio Lista CDR]]*0.6</f>
        <v>48.311344200000008</v>
      </c>
      <c r="L696" s="12">
        <f>(Tabla1[[#This Row],[Precio Lista CDR]]-Tabla1[[#This Row],[PrecioFábrica]])/Tabla1[[#This Row],[Precio Lista CDR]]</f>
        <v>0.70845356855129693</v>
      </c>
      <c r="M696" s="12">
        <f>(Tabla1[[#This Row],[Lista 1 (20%)]]-Tabla1[[#This Row],[PrecioFábrica]])/Tabla1[[#This Row],[Lista 1 (20%)]]</f>
        <v>0.63556696068912122</v>
      </c>
      <c r="N696" s="12">
        <f>(Tabla1[[#This Row],[Lista 2 (30%)]]-Tabla1[[#This Row],[PrecioFábrica]])/Tabla1[[#This Row],[Lista 2 (30%)]]</f>
        <v>0.58350509793042415</v>
      </c>
      <c r="O696" s="12">
        <f>(Tabla1[[#This Row],[Lista 3 (40%)]]-Tabla1[[#This Row],[PrecioFábrica]])/Tabla1[[#This Row],[Lista 3 (40%)]]</f>
        <v>0.51408928091882822</v>
      </c>
    </row>
    <row r="697" spans="1:15">
      <c r="A697" t="s">
        <v>6</v>
      </c>
      <c r="B697" t="s">
        <v>706</v>
      </c>
      <c r="C697" t="s">
        <v>1508</v>
      </c>
      <c r="D697" t="s">
        <v>811</v>
      </c>
      <c r="E697" t="s">
        <v>5</v>
      </c>
      <c r="F697" s="3">
        <v>63.166666666666664</v>
      </c>
      <c r="G697" s="10">
        <f>VLOOKUP(Tabla1[[#This Row],[Código Unificador]],PRECIOS_COMPETENCIA!B:D,3,FALSE)</f>
        <v>219.67883333333299</v>
      </c>
      <c r="H697" s="10">
        <f>Tabla1[[#This Row],[PVP Competencia]]*0.98</f>
        <v>215.28525666666633</v>
      </c>
      <c r="I697" s="10">
        <f>Tabla1[[#This Row],[Precio Lista CDR]]*0.8</f>
        <v>172.22820533333308</v>
      </c>
      <c r="J697" s="10">
        <f>Tabla1[[#This Row],[Precio Lista CDR]]*0.7</f>
        <v>150.69967966666641</v>
      </c>
      <c r="K697" s="10">
        <f>Tabla1[[#This Row],[Precio Lista CDR]]*0.6</f>
        <v>129.1711539999998</v>
      </c>
      <c r="L697" s="12">
        <f>(Tabla1[[#This Row],[Precio Lista CDR]]-Tabla1[[#This Row],[PrecioFábrica]])/Tabla1[[#This Row],[Precio Lista CDR]]</f>
        <v>0.7065908383848607</v>
      </c>
      <c r="M697" s="12">
        <f>(Tabla1[[#This Row],[Lista 1 (20%)]]-Tabla1[[#This Row],[PrecioFábrica]])/Tabla1[[#This Row],[Lista 1 (20%)]]</f>
        <v>0.63323854798107582</v>
      </c>
      <c r="N697" s="12">
        <f>(Tabla1[[#This Row],[Lista 2 (30%)]]-Tabla1[[#This Row],[PrecioFábrica]])/Tabla1[[#This Row],[Lista 2 (30%)]]</f>
        <v>0.58084405483551516</v>
      </c>
      <c r="O697" s="12">
        <f>(Tabla1[[#This Row],[Lista 3 (40%)]]-Tabla1[[#This Row],[PrecioFábrica]])/Tabla1[[#This Row],[Lista 3 (40%)]]</f>
        <v>0.51098473064143446</v>
      </c>
    </row>
    <row r="698" spans="1:15">
      <c r="A698" t="s">
        <v>6</v>
      </c>
      <c r="B698" t="s">
        <v>707</v>
      </c>
      <c r="C698" t="s">
        <v>1509</v>
      </c>
      <c r="D698" t="s">
        <v>811</v>
      </c>
      <c r="E698" t="s">
        <v>5</v>
      </c>
      <c r="F698" s="3">
        <v>6.1000000000000005</v>
      </c>
      <c r="G698" s="10">
        <f>VLOOKUP(Tabla1[[#This Row],[Código Unificador]],PRECIOS_COMPETENCIA!B:D,3,FALSE)</f>
        <v>28.220700000000001</v>
      </c>
      <c r="H698" s="10">
        <f>Tabla1[[#This Row],[PVP Competencia]]*0.98</f>
        <v>27.656286000000001</v>
      </c>
      <c r="I698" s="10">
        <f>Tabla1[[#This Row],[Precio Lista CDR]]*0.8</f>
        <v>22.125028800000003</v>
      </c>
      <c r="J698" s="10">
        <f>Tabla1[[#This Row],[Precio Lista CDR]]*0.7</f>
        <v>19.3594002</v>
      </c>
      <c r="K698" s="10">
        <f>Tabla1[[#This Row],[Precio Lista CDR]]*0.6</f>
        <v>16.5937716</v>
      </c>
      <c r="L698" s="12">
        <f>(Tabla1[[#This Row],[Precio Lista CDR]]-Tabla1[[#This Row],[PrecioFábrica]])/Tabla1[[#This Row],[Precio Lista CDR]]</f>
        <v>0.779435315356516</v>
      </c>
      <c r="M698" s="12">
        <f>(Tabla1[[#This Row],[Lista 1 (20%)]]-Tabla1[[#This Row],[PrecioFábrica]])/Tabla1[[#This Row],[Lista 1 (20%)]]</f>
        <v>0.72429414419564508</v>
      </c>
      <c r="N698" s="12">
        <f>(Tabla1[[#This Row],[Lista 2 (30%)]]-Tabla1[[#This Row],[PrecioFábrica]])/Tabla1[[#This Row],[Lista 2 (30%)]]</f>
        <v>0.68490759336645146</v>
      </c>
      <c r="O698" s="12">
        <f>(Tabla1[[#This Row],[Lista 3 (40%)]]-Tabla1[[#This Row],[PrecioFábrica]])/Tabla1[[#This Row],[Lista 3 (40%)]]</f>
        <v>0.63239219226085996</v>
      </c>
    </row>
    <row r="699" spans="1:15">
      <c r="A699" t="s">
        <v>6</v>
      </c>
      <c r="B699" t="s">
        <v>708</v>
      </c>
      <c r="C699" t="s">
        <v>1510</v>
      </c>
      <c r="D699" t="s">
        <v>811</v>
      </c>
      <c r="E699" t="s">
        <v>5</v>
      </c>
      <c r="F699" s="3">
        <v>7.2000000000000011</v>
      </c>
      <c r="G699" s="10">
        <f>VLOOKUP(Tabla1[[#This Row],[Código Unificador]],PRECIOS_COMPETENCIA!B:D,3,FALSE)</f>
        <v>32.132800000000003</v>
      </c>
      <c r="H699" s="10">
        <f>Tabla1[[#This Row],[PVP Competencia]]*0.98</f>
        <v>31.490144000000001</v>
      </c>
      <c r="I699" s="10">
        <f>Tabla1[[#This Row],[Precio Lista CDR]]*0.8</f>
        <v>25.192115200000003</v>
      </c>
      <c r="J699" s="10">
        <f>Tabla1[[#This Row],[Precio Lista CDR]]*0.7</f>
        <v>22.043100799999998</v>
      </c>
      <c r="K699" s="10">
        <f>Tabla1[[#This Row],[Precio Lista CDR]]*0.6</f>
        <v>18.894086399999999</v>
      </c>
      <c r="L699" s="12">
        <f>(Tabla1[[#This Row],[Precio Lista CDR]]-Tabla1[[#This Row],[PrecioFábrica]])/Tabla1[[#This Row],[Precio Lista CDR]]</f>
        <v>0.77135703158423152</v>
      </c>
      <c r="M699" s="12">
        <f>(Tabla1[[#This Row],[Lista 1 (20%)]]-Tabla1[[#This Row],[PrecioFábrica]])/Tabla1[[#This Row],[Lista 1 (20%)]]</f>
        <v>0.71419628948028935</v>
      </c>
      <c r="N699" s="12">
        <f>(Tabla1[[#This Row],[Lista 2 (30%)]]-Tabla1[[#This Row],[PrecioFábrica]])/Tabla1[[#This Row],[Lista 2 (30%)]]</f>
        <v>0.67336718797747352</v>
      </c>
      <c r="O699" s="12">
        <f>(Tabla1[[#This Row],[Lista 3 (40%)]]-Tabla1[[#This Row],[PrecioFábrica]])/Tabla1[[#This Row],[Lista 3 (40%)]]</f>
        <v>0.61892838597371924</v>
      </c>
    </row>
    <row r="700" spans="1:15">
      <c r="A700" t="s">
        <v>9</v>
      </c>
      <c r="B700" t="s">
        <v>709</v>
      </c>
      <c r="C700" t="s">
        <v>1511</v>
      </c>
      <c r="D700" t="s">
        <v>811</v>
      </c>
      <c r="E700" t="s">
        <v>5</v>
      </c>
      <c r="F700" s="3">
        <v>10.658333333333333</v>
      </c>
      <c r="G700" s="10">
        <f>VLOOKUP(Tabla1[[#This Row],[Código Unificador]],PRECIOS_COMPETENCIA!B:D,3,FALSE)</f>
        <v>43.072808333333334</v>
      </c>
      <c r="H700" s="10">
        <f>Tabla1[[#This Row],[PVP Competencia]]*0.98</f>
        <v>42.211352166666664</v>
      </c>
      <c r="I700" s="10">
        <f>Tabla1[[#This Row],[Precio Lista CDR]]*0.8</f>
        <v>33.76908173333333</v>
      </c>
      <c r="J700" s="10">
        <f>Tabla1[[#This Row],[Precio Lista CDR]]*0.7</f>
        <v>29.547946516666663</v>
      </c>
      <c r="K700" s="10">
        <f>Tabla1[[#This Row],[Precio Lista CDR]]*0.6</f>
        <v>25.326811299999999</v>
      </c>
      <c r="L700" s="12">
        <f>(Tabla1[[#This Row],[Precio Lista CDR]]-Tabla1[[#This Row],[PrecioFábrica]])/Tabla1[[#This Row],[Precio Lista CDR]]</f>
        <v>0.74750078388273067</v>
      </c>
      <c r="M700" s="12">
        <f>(Tabla1[[#This Row],[Lista 1 (20%)]]-Tabla1[[#This Row],[PrecioFábrica]])/Tabla1[[#This Row],[Lista 1 (20%)]]</f>
        <v>0.68437597985341336</v>
      </c>
      <c r="N700" s="12">
        <f>(Tabla1[[#This Row],[Lista 2 (30%)]]-Tabla1[[#This Row],[PrecioFábrica]])/Tabla1[[#This Row],[Lista 2 (30%)]]</f>
        <v>0.63928683411818665</v>
      </c>
      <c r="O700" s="12">
        <f>(Tabla1[[#This Row],[Lista 3 (40%)]]-Tabla1[[#This Row],[PrecioFábrica]])/Tabla1[[#This Row],[Lista 3 (40%)]]</f>
        <v>0.57916797313788437</v>
      </c>
    </row>
    <row r="701" spans="1:15">
      <c r="A701" t="s">
        <v>9</v>
      </c>
      <c r="B701" t="s">
        <v>710</v>
      </c>
      <c r="C701" t="s">
        <v>1512</v>
      </c>
      <c r="D701" t="s">
        <v>811</v>
      </c>
      <c r="E701" t="s">
        <v>5</v>
      </c>
      <c r="F701" s="3">
        <v>13.291666666666666</v>
      </c>
      <c r="G701" s="10">
        <f>VLOOKUP(Tabla1[[#This Row],[Código Unificador]],PRECIOS_COMPETENCIA!B:D,3,FALSE)</f>
        <v>50.087666666666671</v>
      </c>
      <c r="H701" s="10">
        <f>Tabla1[[#This Row],[PVP Competencia]]*0.98</f>
        <v>49.085913333333338</v>
      </c>
      <c r="I701" s="10">
        <f>Tabla1[[#This Row],[Precio Lista CDR]]*0.8</f>
        <v>39.26873066666667</v>
      </c>
      <c r="J701" s="10">
        <f>Tabla1[[#This Row],[Precio Lista CDR]]*0.7</f>
        <v>34.360139333333336</v>
      </c>
      <c r="K701" s="10">
        <f>Tabla1[[#This Row],[Precio Lista CDR]]*0.6</f>
        <v>29.451548000000003</v>
      </c>
      <c r="L701" s="12">
        <f>(Tabla1[[#This Row],[Precio Lista CDR]]-Tabla1[[#This Row],[PrecioFábrica]])/Tabla1[[#This Row],[Precio Lista CDR]]</f>
        <v>0.72921627073728013</v>
      </c>
      <c r="M701" s="12">
        <f>(Tabla1[[#This Row],[Lista 1 (20%)]]-Tabla1[[#This Row],[PrecioFábrica]])/Tabla1[[#This Row],[Lista 1 (20%)]]</f>
        <v>0.66152033842160018</v>
      </c>
      <c r="N701" s="12">
        <f>(Tabla1[[#This Row],[Lista 2 (30%)]]-Tabla1[[#This Row],[PrecioFábrica]])/Tabla1[[#This Row],[Lista 2 (30%)]]</f>
        <v>0.61316610105325742</v>
      </c>
      <c r="O701" s="12">
        <f>(Tabla1[[#This Row],[Lista 3 (40%)]]-Tabla1[[#This Row],[PrecioFábrica]])/Tabla1[[#This Row],[Lista 3 (40%)]]</f>
        <v>0.54869378456213358</v>
      </c>
    </row>
    <row r="702" spans="1:15">
      <c r="A702" t="s">
        <v>9</v>
      </c>
      <c r="B702" t="s">
        <v>711</v>
      </c>
      <c r="C702" t="s">
        <v>1513</v>
      </c>
      <c r="D702" t="s">
        <v>811</v>
      </c>
      <c r="E702" t="s">
        <v>5</v>
      </c>
      <c r="F702" s="3">
        <v>58.75833333333334</v>
      </c>
      <c r="G702" s="10">
        <f>VLOOKUP(Tabla1[[#This Row],[Código Unificador]],PRECIOS_COMPETENCIA!B:D,3,FALSE)</f>
        <v>202.32710833333334</v>
      </c>
      <c r="H702" s="10">
        <f>Tabla1[[#This Row],[PVP Competencia]]*0.98</f>
        <v>198.28056616666666</v>
      </c>
      <c r="I702" s="10">
        <f>Tabla1[[#This Row],[Precio Lista CDR]]*0.8</f>
        <v>158.62445293333334</v>
      </c>
      <c r="J702" s="10">
        <f>Tabla1[[#This Row],[Precio Lista CDR]]*0.7</f>
        <v>138.79639631666666</v>
      </c>
      <c r="K702" s="10">
        <f>Tabla1[[#This Row],[Precio Lista CDR]]*0.6</f>
        <v>118.96833969999999</v>
      </c>
      <c r="L702" s="12">
        <f>(Tabla1[[#This Row],[Precio Lista CDR]]-Tabla1[[#This Row],[PrecioFábrica]])/Tabla1[[#This Row],[Precio Lista CDR]]</f>
        <v>0.70366065384368803</v>
      </c>
      <c r="M702" s="12">
        <f>(Tabla1[[#This Row],[Lista 1 (20%)]]-Tabla1[[#This Row],[PrecioFábrica]])/Tabla1[[#This Row],[Lista 1 (20%)]]</f>
        <v>0.6295758173046101</v>
      </c>
      <c r="N702" s="12">
        <f>(Tabla1[[#This Row],[Lista 2 (30%)]]-Tabla1[[#This Row],[PrecioFábrica]])/Tabla1[[#This Row],[Lista 2 (30%)]]</f>
        <v>0.5766580769195544</v>
      </c>
      <c r="O702" s="12">
        <f>(Tabla1[[#This Row],[Lista 3 (40%)]]-Tabla1[[#This Row],[PrecioFábrica]])/Tabla1[[#This Row],[Lista 3 (40%)]]</f>
        <v>0.50610108973948009</v>
      </c>
    </row>
    <row r="703" spans="1:15">
      <c r="A703" t="s">
        <v>7</v>
      </c>
      <c r="B703" t="s">
        <v>712</v>
      </c>
      <c r="C703" t="s">
        <v>1514</v>
      </c>
      <c r="D703" t="s">
        <v>811</v>
      </c>
      <c r="E703" t="s">
        <v>5</v>
      </c>
      <c r="F703" s="3">
        <v>5.0666666666666673</v>
      </c>
      <c r="G703" s="10">
        <f>VLOOKUP(Tabla1[[#This Row],[Código Unificador]],PRECIOS_COMPETENCIA!B:D,3,FALSE)</f>
        <v>25.134133333333338</v>
      </c>
      <c r="H703" s="10">
        <f>Tabla1[[#This Row],[PVP Competencia]]*0.98</f>
        <v>24.631450666666669</v>
      </c>
      <c r="I703" s="10">
        <f>Tabla1[[#This Row],[Precio Lista CDR]]*0.8</f>
        <v>19.705160533333338</v>
      </c>
      <c r="J703" s="10">
        <f>Tabla1[[#This Row],[Precio Lista CDR]]*0.7</f>
        <v>17.242015466666668</v>
      </c>
      <c r="K703" s="10">
        <f>Tabla1[[#This Row],[Precio Lista CDR]]*0.6</f>
        <v>14.778870400000001</v>
      </c>
      <c r="L703" s="12">
        <f>(Tabla1[[#This Row],[Precio Lista CDR]]-Tabla1[[#This Row],[PrecioFábrica]])/Tabla1[[#This Row],[Precio Lista CDR]]</f>
        <v>0.79430092302588973</v>
      </c>
      <c r="M703" s="12">
        <f>(Tabla1[[#This Row],[Lista 1 (20%)]]-Tabla1[[#This Row],[PrecioFábrica]])/Tabla1[[#This Row],[Lista 1 (20%)]]</f>
        <v>0.74287615378236227</v>
      </c>
      <c r="N703" s="12">
        <f>(Tabla1[[#This Row],[Lista 2 (30%)]]-Tabla1[[#This Row],[PrecioFábrica]])/Tabla1[[#This Row],[Lista 2 (30%)]]</f>
        <v>0.70614417575127109</v>
      </c>
      <c r="O703" s="12">
        <f>(Tabla1[[#This Row],[Lista 3 (40%)]]-Tabla1[[#This Row],[PrecioFábrica]])/Tabla1[[#This Row],[Lista 3 (40%)]]</f>
        <v>0.65716820504314943</v>
      </c>
    </row>
    <row r="704" spans="1:15">
      <c r="A704" t="s">
        <v>9</v>
      </c>
      <c r="B704" t="s">
        <v>713</v>
      </c>
      <c r="C704" t="s">
        <v>1515</v>
      </c>
      <c r="D704" t="s">
        <v>811</v>
      </c>
      <c r="E704" t="s">
        <v>5</v>
      </c>
      <c r="F704" s="3">
        <v>9.5416666666666661</v>
      </c>
      <c r="G704" s="10">
        <f>VLOOKUP(Tabla1[[#This Row],[Código Unificador]],PRECIOS_COMPETENCIA!B:D,3,FALSE)</f>
        <v>39.331083333333339</v>
      </c>
      <c r="H704" s="10">
        <f>Tabla1[[#This Row],[PVP Competencia]]*0.98</f>
        <v>38.54446166666667</v>
      </c>
      <c r="I704" s="10">
        <f>Tabla1[[#This Row],[Precio Lista CDR]]*0.8</f>
        <v>30.835569333333339</v>
      </c>
      <c r="J704" s="10">
        <f>Tabla1[[#This Row],[Precio Lista CDR]]*0.7</f>
        <v>26.981123166666666</v>
      </c>
      <c r="K704" s="10">
        <f>Tabla1[[#This Row],[Precio Lista CDR]]*0.6</f>
        <v>23.126677000000001</v>
      </c>
      <c r="L704" s="12">
        <f>(Tabla1[[#This Row],[Precio Lista CDR]]-Tabla1[[#This Row],[PrecioFábrica]])/Tabla1[[#This Row],[Precio Lista CDR]]</f>
        <v>0.75245038446293011</v>
      </c>
      <c r="M704" s="12">
        <f>(Tabla1[[#This Row],[Lista 1 (20%)]]-Tabla1[[#This Row],[PrecioFábrica]])/Tabla1[[#This Row],[Lista 1 (20%)]]</f>
        <v>0.69056298057866261</v>
      </c>
      <c r="N704" s="12">
        <f>(Tabla1[[#This Row],[Lista 2 (30%)]]-Tabla1[[#This Row],[PrecioFábrica]])/Tabla1[[#This Row],[Lista 2 (30%)]]</f>
        <v>0.6463576920898999</v>
      </c>
      <c r="O704" s="12">
        <f>(Tabla1[[#This Row],[Lista 3 (40%)]]-Tabla1[[#This Row],[PrecioFábrica]])/Tabla1[[#This Row],[Lista 3 (40%)]]</f>
        <v>0.58741730743821663</v>
      </c>
    </row>
    <row r="705" spans="1:15">
      <c r="A705" t="s">
        <v>9</v>
      </c>
      <c r="B705" t="s">
        <v>714</v>
      </c>
      <c r="C705" t="s">
        <v>1516</v>
      </c>
      <c r="D705" t="s">
        <v>811</v>
      </c>
      <c r="E705" t="s">
        <v>5</v>
      </c>
      <c r="F705" s="3">
        <v>9.7083333333333339</v>
      </c>
      <c r="G705" s="10">
        <f>VLOOKUP(Tabla1[[#This Row],[Código Unificador]],PRECIOS_COMPETENCIA!B:D,3,FALSE)</f>
        <v>40.406500000000001</v>
      </c>
      <c r="H705" s="10">
        <f>Tabla1[[#This Row],[PVP Competencia]]*0.98</f>
        <v>39.598370000000003</v>
      </c>
      <c r="I705" s="10">
        <f>Tabla1[[#This Row],[Precio Lista CDR]]*0.8</f>
        <v>31.678696000000002</v>
      </c>
      <c r="J705" s="10">
        <f>Tabla1[[#This Row],[Precio Lista CDR]]*0.7</f>
        <v>27.718859000000002</v>
      </c>
      <c r="K705" s="10">
        <f>Tabla1[[#This Row],[Precio Lista CDR]]*0.6</f>
        <v>23.759022000000002</v>
      </c>
      <c r="L705" s="12">
        <f>(Tabla1[[#This Row],[Precio Lista CDR]]-Tabla1[[#This Row],[PrecioFábrica]])/Tabla1[[#This Row],[Precio Lista CDR]]</f>
        <v>0.7548299757456346</v>
      </c>
      <c r="M705" s="12">
        <f>(Tabla1[[#This Row],[Lista 1 (20%)]]-Tabla1[[#This Row],[PrecioFábrica]])/Tabla1[[#This Row],[Lista 1 (20%)]]</f>
        <v>0.69353746968204322</v>
      </c>
      <c r="N705" s="12">
        <f>(Tabla1[[#This Row],[Lista 2 (30%)]]-Tabla1[[#This Row],[PrecioFábrica]])/Tabla1[[#This Row],[Lista 2 (30%)]]</f>
        <v>0.64975710820804944</v>
      </c>
      <c r="O705" s="12">
        <f>(Tabla1[[#This Row],[Lista 3 (40%)]]-Tabla1[[#This Row],[PrecioFábrica]])/Tabla1[[#This Row],[Lista 3 (40%)]]</f>
        <v>0.59138329290939107</v>
      </c>
    </row>
    <row r="706" spans="1:15">
      <c r="A706" t="s">
        <v>7</v>
      </c>
      <c r="B706" t="s">
        <v>715</v>
      </c>
      <c r="C706" t="s">
        <v>1517</v>
      </c>
      <c r="D706" t="s">
        <v>811</v>
      </c>
      <c r="E706" t="s">
        <v>5</v>
      </c>
      <c r="F706" s="3">
        <v>22.8</v>
      </c>
      <c r="G706" s="10">
        <f>VLOOKUP(Tabla1[[#This Row],[Código Unificador]],PRECIOS_COMPETENCIA!B:D,3,FALSE)</f>
        <v>79.426000000000002</v>
      </c>
      <c r="H706" s="10">
        <f>Tabla1[[#This Row],[PVP Competencia]]*0.98</f>
        <v>77.837479999999999</v>
      </c>
      <c r="I706" s="10">
        <f>Tabla1[[#This Row],[Precio Lista CDR]]*0.8</f>
        <v>62.269984000000001</v>
      </c>
      <c r="J706" s="10">
        <f>Tabla1[[#This Row],[Precio Lista CDR]]*0.7</f>
        <v>54.486235999999998</v>
      </c>
      <c r="K706" s="10">
        <f>Tabla1[[#This Row],[Precio Lista CDR]]*0.6</f>
        <v>46.702487999999995</v>
      </c>
      <c r="L706" s="12">
        <f>(Tabla1[[#This Row],[Precio Lista CDR]]-Tabla1[[#This Row],[PrecioFábrica]])/Tabla1[[#This Row],[Precio Lista CDR]]</f>
        <v>0.70708198672413347</v>
      </c>
      <c r="M706" s="12">
        <f>(Tabla1[[#This Row],[Lista 1 (20%)]]-Tabla1[[#This Row],[PrecioFábrica]])/Tabla1[[#This Row],[Lista 1 (20%)]]</f>
        <v>0.63385248340516676</v>
      </c>
      <c r="N706" s="12">
        <f>(Tabla1[[#This Row],[Lista 2 (30%)]]-Tabla1[[#This Row],[PrecioFábrica]])/Tabla1[[#This Row],[Lista 2 (30%)]]</f>
        <v>0.58154569532019051</v>
      </c>
      <c r="O706" s="12">
        <f>(Tabla1[[#This Row],[Lista 3 (40%)]]-Tabla1[[#This Row],[PrecioFábrica]])/Tabla1[[#This Row],[Lista 3 (40%)]]</f>
        <v>0.51180331120688893</v>
      </c>
    </row>
    <row r="707" spans="1:15">
      <c r="A707" t="s">
        <v>9</v>
      </c>
      <c r="B707" t="s">
        <v>716</v>
      </c>
      <c r="C707" t="s">
        <v>1518</v>
      </c>
      <c r="D707" t="s">
        <v>811</v>
      </c>
      <c r="E707" t="s">
        <v>5</v>
      </c>
      <c r="F707" s="3">
        <v>35.650000000000006</v>
      </c>
      <c r="G707" s="10">
        <f>VLOOKUP(Tabla1[[#This Row],[Código Unificador]],PRECIOS_COMPETENCIA!B:D,3,FALSE)</f>
        <v>126.48655000000002</v>
      </c>
      <c r="H707" s="10">
        <f>Tabla1[[#This Row],[PVP Competencia]]*0.98</f>
        <v>123.95681900000002</v>
      </c>
      <c r="I707" s="10">
        <f>Tabla1[[#This Row],[Precio Lista CDR]]*0.8</f>
        <v>99.165455200000025</v>
      </c>
      <c r="J707" s="10">
        <f>Tabla1[[#This Row],[Precio Lista CDR]]*0.7</f>
        <v>86.769773300000011</v>
      </c>
      <c r="K707" s="10">
        <f>Tabla1[[#This Row],[Precio Lista CDR]]*0.6</f>
        <v>74.374091400000012</v>
      </c>
      <c r="L707" s="12">
        <f>(Tabla1[[#This Row],[Precio Lista CDR]]-Tabla1[[#This Row],[PrecioFábrica]])/Tabla1[[#This Row],[Precio Lista CDR]]</f>
        <v>0.7123998478857384</v>
      </c>
      <c r="M707" s="12">
        <f>(Tabla1[[#This Row],[Lista 1 (20%)]]-Tabla1[[#This Row],[PrecioFábrica]])/Tabla1[[#This Row],[Lista 1 (20%)]]</f>
        <v>0.64049980985717292</v>
      </c>
      <c r="N707" s="12">
        <f>(Tabla1[[#This Row],[Lista 2 (30%)]]-Tabla1[[#This Row],[PrecioFábrica]])/Tabla1[[#This Row],[Lista 2 (30%)]]</f>
        <v>0.58914263983676907</v>
      </c>
      <c r="O707" s="12">
        <f>(Tabla1[[#This Row],[Lista 3 (40%)]]-Tabla1[[#This Row],[PrecioFábrica]])/Tabla1[[#This Row],[Lista 3 (40%)]]</f>
        <v>0.52066641314289719</v>
      </c>
    </row>
    <row r="708" spans="1:15">
      <c r="A708" t="s">
        <v>6</v>
      </c>
      <c r="B708" t="s">
        <v>717</v>
      </c>
      <c r="C708" t="s">
        <v>1519</v>
      </c>
      <c r="D708" t="s">
        <v>811</v>
      </c>
      <c r="E708" t="s">
        <v>5</v>
      </c>
      <c r="F708" s="3">
        <v>37.091666666666669</v>
      </c>
      <c r="G708" s="10">
        <f>VLOOKUP(Tabla1[[#This Row],[Código Unificador]],PRECIOS_COMPETENCIA!B:D,3,FALSE)</f>
        <v>129.71715</v>
      </c>
      <c r="H708" s="10">
        <f>Tabla1[[#This Row],[PVP Competencia]]*0.98</f>
        <v>127.12280699999999</v>
      </c>
      <c r="I708" s="10">
        <f>Tabla1[[#This Row],[Precio Lista CDR]]*0.8</f>
        <v>101.69824560000001</v>
      </c>
      <c r="J708" s="10">
        <f>Tabla1[[#This Row],[Precio Lista CDR]]*0.7</f>
        <v>88.985964899999985</v>
      </c>
      <c r="K708" s="10">
        <f>Tabla1[[#This Row],[Precio Lista CDR]]*0.6</f>
        <v>76.273684199999991</v>
      </c>
      <c r="L708" s="12">
        <f>(Tabla1[[#This Row],[Precio Lista CDR]]-Tabla1[[#This Row],[PrecioFábrica]])/Tabla1[[#This Row],[Precio Lista CDR]]</f>
        <v>0.7082217774921642</v>
      </c>
      <c r="M708" s="12">
        <f>(Tabla1[[#This Row],[Lista 1 (20%)]]-Tabla1[[#This Row],[PrecioFábrica]])/Tabla1[[#This Row],[Lista 1 (20%)]]</f>
        <v>0.6352772218652053</v>
      </c>
      <c r="N708" s="12">
        <f>(Tabla1[[#This Row],[Lista 2 (30%)]]-Tabla1[[#This Row],[PrecioFábrica]])/Tabla1[[#This Row],[Lista 2 (30%)]]</f>
        <v>0.58317396784594877</v>
      </c>
      <c r="O708" s="12">
        <f>(Tabla1[[#This Row],[Lista 3 (40%)]]-Tabla1[[#This Row],[PrecioFábrica]])/Tabla1[[#This Row],[Lista 3 (40%)]]</f>
        <v>0.51370296248694025</v>
      </c>
    </row>
    <row r="709" spans="1:15">
      <c r="A709" t="s">
        <v>6</v>
      </c>
      <c r="B709" t="s">
        <v>718</v>
      </c>
      <c r="C709" t="s">
        <v>1520</v>
      </c>
      <c r="D709" t="s">
        <v>811</v>
      </c>
      <c r="E709" t="s">
        <v>5</v>
      </c>
      <c r="F709" s="3">
        <v>51.7</v>
      </c>
      <c r="G709" s="10">
        <f>VLOOKUP(Tabla1[[#This Row],[Código Unificador]],PRECIOS_COMPETENCIA!B:D,3,FALSE)</f>
        <v>154.42789999999999</v>
      </c>
      <c r="H709" s="10">
        <f>Tabla1[[#This Row],[PVP Competencia]]*0.98</f>
        <v>151.33934199999999</v>
      </c>
      <c r="I709" s="10">
        <f>Tabla1[[#This Row],[Precio Lista CDR]]*0.8</f>
        <v>121.07147359999999</v>
      </c>
      <c r="J709" s="10">
        <f>Tabla1[[#This Row],[Precio Lista CDR]]*0.7</f>
        <v>105.93753939999999</v>
      </c>
      <c r="K709" s="10">
        <f>Tabla1[[#This Row],[Precio Lista CDR]]*0.6</f>
        <v>90.803605199999993</v>
      </c>
      <c r="L709" s="12">
        <f>(Tabla1[[#This Row],[Precio Lista CDR]]-Tabla1[[#This Row],[PrecioFábrica]])/Tabla1[[#This Row],[Precio Lista CDR]]</f>
        <v>0.65838360787904038</v>
      </c>
      <c r="M709" s="12">
        <f>(Tabla1[[#This Row],[Lista 1 (20%)]]-Tabla1[[#This Row],[PrecioFábrica]])/Tabla1[[#This Row],[Lista 1 (20%)]]</f>
        <v>0.57297950984880053</v>
      </c>
      <c r="N709" s="12">
        <f>(Tabla1[[#This Row],[Lista 2 (30%)]]-Tabla1[[#This Row],[PrecioFábrica]])/Tabla1[[#This Row],[Lista 2 (30%)]]</f>
        <v>0.51197658268434343</v>
      </c>
      <c r="O709" s="12">
        <f>(Tabla1[[#This Row],[Lista 3 (40%)]]-Tabla1[[#This Row],[PrecioFábrica]])/Tabla1[[#This Row],[Lista 3 (40%)]]</f>
        <v>0.43063934646506735</v>
      </c>
    </row>
    <row r="710" spans="1:15">
      <c r="A710" t="s">
        <v>9</v>
      </c>
      <c r="B710" t="s">
        <v>719</v>
      </c>
      <c r="C710" t="s">
        <v>1521</v>
      </c>
      <c r="D710" t="s">
        <v>811</v>
      </c>
      <c r="E710" t="s">
        <v>5</v>
      </c>
      <c r="F710" s="3">
        <v>23.616666666666667</v>
      </c>
      <c r="G710" s="10">
        <f>VLOOKUP(Tabla1[[#This Row],[Código Unificador]],PRECIOS_COMPETENCIA!B:D,3,FALSE)</f>
        <v>83.282516666666666</v>
      </c>
      <c r="H710" s="10">
        <f>Tabla1[[#This Row],[PVP Competencia]]*0.98</f>
        <v>81.616866333333334</v>
      </c>
      <c r="I710" s="10">
        <f>Tabla1[[#This Row],[Precio Lista CDR]]*0.8</f>
        <v>65.29349306666667</v>
      </c>
      <c r="J710" s="10">
        <f>Tabla1[[#This Row],[Precio Lista CDR]]*0.7</f>
        <v>57.131806433333331</v>
      </c>
      <c r="K710" s="10">
        <f>Tabla1[[#This Row],[Precio Lista CDR]]*0.6</f>
        <v>48.970119799999999</v>
      </c>
      <c r="L710" s="12">
        <f>(Tabla1[[#This Row],[Precio Lista CDR]]-Tabla1[[#This Row],[PrecioFábrica]])/Tabla1[[#This Row],[Precio Lista CDR]]</f>
        <v>0.71063987472622026</v>
      </c>
      <c r="M710" s="12">
        <f>(Tabla1[[#This Row],[Lista 1 (20%)]]-Tabla1[[#This Row],[PrecioFábrica]])/Tabla1[[#This Row],[Lista 1 (20%)]]</f>
        <v>0.63829984340777535</v>
      </c>
      <c r="N710" s="12">
        <f>(Tabla1[[#This Row],[Lista 2 (30%)]]-Tabla1[[#This Row],[PrecioFábrica]])/Tabla1[[#This Row],[Lista 2 (30%)]]</f>
        <v>0.58662839246602894</v>
      </c>
      <c r="O710" s="12">
        <f>(Tabla1[[#This Row],[Lista 3 (40%)]]-Tabla1[[#This Row],[PrecioFábrica]])/Tabla1[[#This Row],[Lista 3 (40%)]]</f>
        <v>0.51773312454370046</v>
      </c>
    </row>
    <row r="711" spans="1:15">
      <c r="A711" t="s">
        <v>9</v>
      </c>
      <c r="B711" t="s">
        <v>720</v>
      </c>
      <c r="C711" t="s">
        <v>1522</v>
      </c>
      <c r="D711" t="s">
        <v>811</v>
      </c>
      <c r="E711" t="s">
        <v>5</v>
      </c>
      <c r="F711" s="3">
        <v>26.941666666666666</v>
      </c>
      <c r="G711" s="10">
        <f>VLOOKUP(Tabla1[[#This Row],[Código Unificador]],PRECIOS_COMPETENCIA!B:D,3,FALSE)</f>
        <v>92.037374999999997</v>
      </c>
      <c r="H711" s="10">
        <f>Tabla1[[#This Row],[PVP Competencia]]*0.98</f>
        <v>90.196627499999991</v>
      </c>
      <c r="I711" s="10">
        <f>Tabla1[[#This Row],[Precio Lista CDR]]*0.8</f>
        <v>72.157302000000001</v>
      </c>
      <c r="J711" s="10">
        <f>Tabla1[[#This Row],[Precio Lista CDR]]*0.7</f>
        <v>63.137639249999992</v>
      </c>
      <c r="K711" s="10">
        <f>Tabla1[[#This Row],[Precio Lista CDR]]*0.6</f>
        <v>54.11797649999999</v>
      </c>
      <c r="L711" s="12">
        <f>(Tabla1[[#This Row],[Precio Lista CDR]]-Tabla1[[#This Row],[PrecioFábrica]])/Tabla1[[#This Row],[Precio Lista CDR]]</f>
        <v>0.70130073137527604</v>
      </c>
      <c r="M711" s="12">
        <f>(Tabla1[[#This Row],[Lista 1 (20%)]]-Tabla1[[#This Row],[PrecioFábrica]])/Tabla1[[#This Row],[Lista 1 (20%)]]</f>
        <v>0.62662591421909508</v>
      </c>
      <c r="N711" s="12">
        <f>(Tabla1[[#This Row],[Lista 2 (30%)]]-Tabla1[[#This Row],[PrecioFábrica]])/Tabla1[[#This Row],[Lista 2 (30%)]]</f>
        <v>0.57328675910753712</v>
      </c>
      <c r="O711" s="12">
        <f>(Tabla1[[#This Row],[Lista 3 (40%)]]-Tabla1[[#This Row],[PrecioFábrica]])/Tabla1[[#This Row],[Lista 3 (40%)]]</f>
        <v>0.50216788562545989</v>
      </c>
    </row>
    <row r="712" spans="1:15">
      <c r="A712" t="s">
        <v>9</v>
      </c>
      <c r="B712" t="s">
        <v>721</v>
      </c>
      <c r="C712" t="s">
        <v>1523</v>
      </c>
      <c r="D712" t="s">
        <v>811</v>
      </c>
      <c r="E712" t="s">
        <v>5</v>
      </c>
      <c r="F712" s="3">
        <v>23.708333333333332</v>
      </c>
      <c r="G712" s="10">
        <f>VLOOKUP(Tabla1[[#This Row],[Código Unificador]],PRECIOS_COMPETENCIA!B:D,3,FALSE)</f>
        <v>83.566958333333332</v>
      </c>
      <c r="H712" s="10">
        <f>Tabla1[[#This Row],[PVP Competencia]]*0.98</f>
        <v>81.895619166666663</v>
      </c>
      <c r="I712" s="10">
        <f>Tabla1[[#This Row],[Precio Lista CDR]]*0.8</f>
        <v>65.516495333333339</v>
      </c>
      <c r="J712" s="10">
        <f>Tabla1[[#This Row],[Precio Lista CDR]]*0.7</f>
        <v>57.326933416666662</v>
      </c>
      <c r="K712" s="10">
        <f>Tabla1[[#This Row],[Precio Lista CDR]]*0.6</f>
        <v>49.137371499999993</v>
      </c>
      <c r="L712" s="12">
        <f>(Tabla1[[#This Row],[Precio Lista CDR]]-Tabla1[[#This Row],[PrecioFábrica]])/Tabla1[[#This Row],[Precio Lista CDR]]</f>
        <v>0.71050547545059473</v>
      </c>
      <c r="M712" s="12">
        <f>(Tabla1[[#This Row],[Lista 1 (20%)]]-Tabla1[[#This Row],[PrecioFábrica]])/Tabla1[[#This Row],[Lista 1 (20%)]]</f>
        <v>0.63813184431324343</v>
      </c>
      <c r="N712" s="12">
        <f>(Tabla1[[#This Row],[Lista 2 (30%)]]-Tabla1[[#This Row],[PrecioFábrica]])/Tabla1[[#This Row],[Lista 2 (30%)]]</f>
        <v>0.58643639350084953</v>
      </c>
      <c r="O712" s="12">
        <f>(Tabla1[[#This Row],[Lista 3 (40%)]]-Tabla1[[#This Row],[PrecioFábrica]])/Tabla1[[#This Row],[Lista 3 (40%)]]</f>
        <v>0.51750912575099106</v>
      </c>
    </row>
    <row r="713" spans="1:15">
      <c r="A713" t="s">
        <v>9</v>
      </c>
      <c r="B713" t="s">
        <v>722</v>
      </c>
      <c r="C713" t="s">
        <v>1524</v>
      </c>
      <c r="D713" t="s">
        <v>811</v>
      </c>
      <c r="E713" t="s">
        <v>5</v>
      </c>
      <c r="F713" s="3">
        <v>31.125000000000004</v>
      </c>
      <c r="G713" s="10">
        <f>VLOOKUP(Tabla1[[#This Row],[Código Unificador]],PRECIOS_COMPETENCIA!B:D,3,FALSE)</f>
        <v>112.97037500000003</v>
      </c>
      <c r="H713" s="10">
        <f>Tabla1[[#This Row],[PVP Competencia]]*0.98</f>
        <v>110.71096750000002</v>
      </c>
      <c r="I713" s="10">
        <f>Tabla1[[#This Row],[Precio Lista CDR]]*0.8</f>
        <v>88.568774000000019</v>
      </c>
      <c r="J713" s="10">
        <f>Tabla1[[#This Row],[Precio Lista CDR]]*0.7</f>
        <v>77.49767725000001</v>
      </c>
      <c r="K713" s="10">
        <f>Tabla1[[#This Row],[Precio Lista CDR]]*0.6</f>
        <v>66.426580500000014</v>
      </c>
      <c r="L713" s="12">
        <f>(Tabla1[[#This Row],[Precio Lista CDR]]-Tabla1[[#This Row],[PrecioFábrica]])/Tabla1[[#This Row],[Precio Lista CDR]]</f>
        <v>0.71886254178024422</v>
      </c>
      <c r="M713" s="12">
        <f>(Tabla1[[#This Row],[Lista 1 (20%)]]-Tabla1[[#This Row],[PrecioFábrica]])/Tabla1[[#This Row],[Lista 1 (20%)]]</f>
        <v>0.6485781772253052</v>
      </c>
      <c r="N713" s="12">
        <f>(Tabla1[[#This Row],[Lista 2 (30%)]]-Tabla1[[#This Row],[PrecioFábrica]])/Tabla1[[#This Row],[Lista 2 (30%)]]</f>
        <v>0.59837505968606308</v>
      </c>
      <c r="O713" s="12">
        <f>(Tabla1[[#This Row],[Lista 3 (40%)]]-Tabla1[[#This Row],[PrecioFábrica]])/Tabla1[[#This Row],[Lista 3 (40%)]]</f>
        <v>0.53143756963374034</v>
      </c>
    </row>
    <row r="714" spans="1:15">
      <c r="A714" t="s">
        <v>9</v>
      </c>
      <c r="B714" t="s">
        <v>723</v>
      </c>
      <c r="C714" t="s">
        <v>1525</v>
      </c>
      <c r="D714" t="s">
        <v>811</v>
      </c>
      <c r="E714" t="s">
        <v>5</v>
      </c>
      <c r="F714" s="3">
        <v>30.45</v>
      </c>
      <c r="G714" s="10">
        <f>VLOOKUP(Tabla1[[#This Row],[Código Unificador]],PRECIOS_COMPETENCIA!B:D,3,FALSE)</f>
        <v>105.3694</v>
      </c>
      <c r="H714" s="10">
        <f>Tabla1[[#This Row],[PVP Competencia]]*0.98</f>
        <v>103.262012</v>
      </c>
      <c r="I714" s="10">
        <f>Tabla1[[#This Row],[Precio Lista CDR]]*0.8</f>
        <v>82.609609599999999</v>
      </c>
      <c r="J714" s="10">
        <f>Tabla1[[#This Row],[Precio Lista CDR]]*0.7</f>
        <v>72.283408399999999</v>
      </c>
      <c r="K714" s="10">
        <f>Tabla1[[#This Row],[Precio Lista CDR]]*0.6</f>
        <v>61.957207199999999</v>
      </c>
      <c r="L714" s="12">
        <f>(Tabla1[[#This Row],[Precio Lista CDR]]-Tabla1[[#This Row],[PrecioFábrica]])/Tabla1[[#This Row],[Precio Lista CDR]]</f>
        <v>0.70511905191233337</v>
      </c>
      <c r="M714" s="12">
        <f>(Tabla1[[#This Row],[Lista 1 (20%)]]-Tabla1[[#This Row],[PrecioFábrica]])/Tabla1[[#This Row],[Lista 1 (20%)]]</f>
        <v>0.63139881489041683</v>
      </c>
      <c r="N714" s="12">
        <f>(Tabla1[[#This Row],[Lista 2 (30%)]]-Tabla1[[#This Row],[PrecioFábrica]])/Tabla1[[#This Row],[Lista 2 (30%)]]</f>
        <v>0.57874150273190483</v>
      </c>
      <c r="O714" s="12">
        <f>(Tabla1[[#This Row],[Lista 3 (40%)]]-Tabla1[[#This Row],[PrecioFábrica]])/Tabla1[[#This Row],[Lista 3 (40%)]]</f>
        <v>0.50853175318722244</v>
      </c>
    </row>
    <row r="715" spans="1:15">
      <c r="A715" t="s">
        <v>9</v>
      </c>
      <c r="B715" t="s">
        <v>724</v>
      </c>
      <c r="C715" t="s">
        <v>1526</v>
      </c>
      <c r="D715" t="s">
        <v>811</v>
      </c>
      <c r="E715" t="s">
        <v>5</v>
      </c>
      <c r="F715" s="3">
        <v>34.158333333333339</v>
      </c>
      <c r="G715" s="10">
        <f>VLOOKUP(Tabla1[[#This Row],[Código Unificador]],PRECIOS_COMPETENCIA!B:D,3,FALSE)</f>
        <v>125.00271666666669</v>
      </c>
      <c r="H715" s="10">
        <f>Tabla1[[#This Row],[PVP Competencia]]*0.98</f>
        <v>122.50266233333335</v>
      </c>
      <c r="I715" s="10">
        <f>Tabla1[[#This Row],[Precio Lista CDR]]*0.8</f>
        <v>98.002129866666678</v>
      </c>
      <c r="J715" s="10">
        <f>Tabla1[[#This Row],[Precio Lista CDR]]*0.7</f>
        <v>85.751863633333343</v>
      </c>
      <c r="K715" s="10">
        <f>Tabla1[[#This Row],[Precio Lista CDR]]*0.6</f>
        <v>73.501597400000009</v>
      </c>
      <c r="L715" s="12">
        <f>(Tabla1[[#This Row],[Precio Lista CDR]]-Tabla1[[#This Row],[PrecioFábrica]])/Tabla1[[#This Row],[Precio Lista CDR]]</f>
        <v>0.72116252265287506</v>
      </c>
      <c r="M715" s="12">
        <f>(Tabla1[[#This Row],[Lista 1 (20%)]]-Tabla1[[#This Row],[PrecioFábrica]])/Tabla1[[#This Row],[Lista 1 (20%)]]</f>
        <v>0.65145315331609377</v>
      </c>
      <c r="N715" s="12">
        <f>(Tabla1[[#This Row],[Lista 2 (30%)]]-Tabla1[[#This Row],[PrecioFábrica]])/Tabla1[[#This Row],[Lista 2 (30%)]]</f>
        <v>0.60166074664696434</v>
      </c>
      <c r="O715" s="12">
        <f>(Tabla1[[#This Row],[Lista 3 (40%)]]-Tabla1[[#This Row],[PrecioFábrica]])/Tabla1[[#This Row],[Lista 3 (40%)]]</f>
        <v>0.53527087108812499</v>
      </c>
    </row>
    <row r="716" spans="1:15">
      <c r="A716" t="s">
        <v>9</v>
      </c>
      <c r="B716" t="s">
        <v>725</v>
      </c>
      <c r="C716" t="s">
        <v>1527</v>
      </c>
      <c r="D716" t="s">
        <v>811</v>
      </c>
      <c r="E716" t="s">
        <v>5</v>
      </c>
      <c r="F716" s="3">
        <v>35.625</v>
      </c>
      <c r="G716" s="10">
        <f>VLOOKUP(Tabla1[[#This Row],[Código Unificador]],PRECIOS_COMPETENCIA!B:D,3,FALSE)</f>
        <v>130.544375</v>
      </c>
      <c r="H716" s="10">
        <f>Tabla1[[#This Row],[PVP Competencia]]*0.98</f>
        <v>127.9334875</v>
      </c>
      <c r="I716" s="10">
        <f>Tabla1[[#This Row],[Precio Lista CDR]]*0.8</f>
        <v>102.34679</v>
      </c>
      <c r="J716" s="10">
        <f>Tabla1[[#This Row],[Precio Lista CDR]]*0.7</f>
        <v>89.553441249999992</v>
      </c>
      <c r="K716" s="10">
        <f>Tabla1[[#This Row],[Precio Lista CDR]]*0.6</f>
        <v>76.760092499999999</v>
      </c>
      <c r="L716" s="12">
        <f>(Tabla1[[#This Row],[Precio Lista CDR]]-Tabla1[[#This Row],[PrecioFábrica]])/Tabla1[[#This Row],[Precio Lista CDR]]</f>
        <v>0.72153498903092128</v>
      </c>
      <c r="M716" s="12">
        <f>(Tabla1[[#This Row],[Lista 1 (20%)]]-Tabla1[[#This Row],[PrecioFábrica]])/Tabla1[[#This Row],[Lista 1 (20%)]]</f>
        <v>0.6519187362886516</v>
      </c>
      <c r="N716" s="12">
        <f>(Tabla1[[#This Row],[Lista 2 (30%)]]-Tabla1[[#This Row],[PrecioFábrica]])/Tabla1[[#This Row],[Lista 2 (30%)]]</f>
        <v>0.60219284147274454</v>
      </c>
      <c r="O716" s="12">
        <f>(Tabla1[[#This Row],[Lista 3 (40%)]]-Tabla1[[#This Row],[PrecioFábrica]])/Tabla1[[#This Row],[Lista 3 (40%)]]</f>
        <v>0.53589164838486869</v>
      </c>
    </row>
    <row r="717" spans="1:15">
      <c r="A717" t="s">
        <v>9</v>
      </c>
      <c r="B717" t="s">
        <v>726</v>
      </c>
      <c r="C717" t="s">
        <v>1528</v>
      </c>
      <c r="D717" t="s">
        <v>811</v>
      </c>
      <c r="E717" t="s">
        <v>5</v>
      </c>
      <c r="F717" s="3">
        <v>35.625</v>
      </c>
      <c r="G717" s="10">
        <f>VLOOKUP(Tabla1[[#This Row],[Código Unificador]],PRECIOS_COMPETENCIA!B:D,3,FALSE)</f>
        <v>125.37875</v>
      </c>
      <c r="H717" s="10">
        <f>Tabla1[[#This Row],[PVP Competencia]]*0.98</f>
        <v>122.87117499999999</v>
      </c>
      <c r="I717" s="10">
        <f>Tabla1[[#This Row],[Precio Lista CDR]]*0.8</f>
        <v>98.296940000000006</v>
      </c>
      <c r="J717" s="10">
        <f>Tabla1[[#This Row],[Precio Lista CDR]]*0.7</f>
        <v>86.009822499999984</v>
      </c>
      <c r="K717" s="10">
        <f>Tabla1[[#This Row],[Precio Lista CDR]]*0.6</f>
        <v>73.722704999999991</v>
      </c>
      <c r="L717" s="12">
        <f>(Tabla1[[#This Row],[Precio Lista CDR]]-Tabla1[[#This Row],[PrecioFábrica]])/Tabla1[[#This Row],[Precio Lista CDR]]</f>
        <v>0.71006218504869023</v>
      </c>
      <c r="M717" s="12">
        <f>(Tabla1[[#This Row],[Lista 1 (20%)]]-Tabla1[[#This Row],[PrecioFábrica]])/Tabla1[[#This Row],[Lista 1 (20%)]]</f>
        <v>0.63757773131086282</v>
      </c>
      <c r="N717" s="12">
        <f>(Tabla1[[#This Row],[Lista 2 (30%)]]-Tabla1[[#This Row],[PrecioFábrica]])/Tabla1[[#This Row],[Lista 2 (30%)]]</f>
        <v>0.58580312149812885</v>
      </c>
      <c r="O717" s="12">
        <f>(Tabla1[[#This Row],[Lista 3 (40%)]]-Tabla1[[#This Row],[PrecioFábrica]])/Tabla1[[#This Row],[Lista 3 (40%)]]</f>
        <v>0.51677030841448368</v>
      </c>
    </row>
    <row r="718" spans="1:15">
      <c r="A718" t="s">
        <v>6</v>
      </c>
      <c r="B718" t="s">
        <v>727</v>
      </c>
      <c r="C718" t="s">
        <v>1529</v>
      </c>
      <c r="D718" t="s">
        <v>811</v>
      </c>
      <c r="E718" t="s">
        <v>5</v>
      </c>
      <c r="F718" s="3">
        <v>43.524999999999999</v>
      </c>
      <c r="G718" s="10">
        <f>VLOOKUP(Tabla1[[#This Row],[Código Unificador]],PRECIOS_COMPETENCIA!B:D,3,FALSE)</f>
        <v>152.533625</v>
      </c>
      <c r="H718" s="10">
        <f>Tabla1[[#This Row],[PVP Competencia]]*0.98</f>
        <v>149.48295250000001</v>
      </c>
      <c r="I718" s="10">
        <f>Tabla1[[#This Row],[Precio Lista CDR]]*0.8</f>
        <v>119.58636200000001</v>
      </c>
      <c r="J718" s="10">
        <f>Tabla1[[#This Row],[Precio Lista CDR]]*0.7</f>
        <v>104.63806675000001</v>
      </c>
      <c r="K718" s="10">
        <f>Tabla1[[#This Row],[Precio Lista CDR]]*0.6</f>
        <v>89.689771500000006</v>
      </c>
      <c r="L718" s="12">
        <f>(Tabla1[[#This Row],[Precio Lista CDR]]-Tabla1[[#This Row],[PrecioFábrica]])/Tabla1[[#This Row],[Precio Lista CDR]]</f>
        <v>0.7088296740727007</v>
      </c>
      <c r="M718" s="12">
        <f>(Tabla1[[#This Row],[Lista 1 (20%)]]-Tabla1[[#This Row],[PrecioFábrica]])/Tabla1[[#This Row],[Lista 1 (20%)]]</f>
        <v>0.63603709259087582</v>
      </c>
      <c r="N718" s="12">
        <f>(Tabla1[[#This Row],[Lista 2 (30%)]]-Tabla1[[#This Row],[PrecioFábrica]])/Tabla1[[#This Row],[Lista 2 (30%)]]</f>
        <v>0.58404239153242965</v>
      </c>
      <c r="O718" s="12">
        <f>(Tabla1[[#This Row],[Lista 3 (40%)]]-Tabla1[[#This Row],[PrecioFábrica]])/Tabla1[[#This Row],[Lista 3 (40%)]]</f>
        <v>0.51471612345450124</v>
      </c>
    </row>
    <row r="719" spans="1:15">
      <c r="A719" t="s">
        <v>9</v>
      </c>
      <c r="B719" t="s">
        <v>728</v>
      </c>
      <c r="C719" t="s">
        <v>1530</v>
      </c>
      <c r="D719" t="s">
        <v>811</v>
      </c>
      <c r="E719" t="s">
        <v>5</v>
      </c>
      <c r="F719" s="3">
        <v>43.524999999999999</v>
      </c>
      <c r="G719" s="10">
        <f>VLOOKUP(Tabla1[[#This Row],[Código Unificador]],PRECIOS_COMPETENCIA!B:D,3,FALSE)</f>
        <v>153.79585</v>
      </c>
      <c r="H719" s="10">
        <f>Tabla1[[#This Row],[PVP Competencia]]*0.98</f>
        <v>150.719933</v>
      </c>
      <c r="I719" s="10">
        <f>Tabla1[[#This Row],[Precio Lista CDR]]*0.8</f>
        <v>120.57594640000001</v>
      </c>
      <c r="J719" s="10">
        <f>Tabla1[[#This Row],[Precio Lista CDR]]*0.7</f>
        <v>105.50395309999999</v>
      </c>
      <c r="K719" s="10">
        <f>Tabla1[[#This Row],[Precio Lista CDR]]*0.6</f>
        <v>90.431959800000001</v>
      </c>
      <c r="L719" s="12">
        <f>(Tabla1[[#This Row],[Precio Lista CDR]]-Tabla1[[#This Row],[PrecioFábrica]])/Tabla1[[#This Row],[Precio Lista CDR]]</f>
        <v>0.71121935145764692</v>
      </c>
      <c r="M719" s="12">
        <f>(Tabla1[[#This Row],[Lista 1 (20%)]]-Tabla1[[#This Row],[PrecioFábrica]])/Tabla1[[#This Row],[Lista 1 (20%)]]</f>
        <v>0.63902418932205873</v>
      </c>
      <c r="N719" s="12">
        <f>(Tabla1[[#This Row],[Lista 2 (30%)]]-Tabla1[[#This Row],[PrecioFábrica]])/Tabla1[[#This Row],[Lista 2 (30%)]]</f>
        <v>0.587456216368067</v>
      </c>
      <c r="O719" s="12">
        <f>(Tabla1[[#This Row],[Lista 3 (40%)]]-Tabla1[[#This Row],[PrecioFábrica]])/Tabla1[[#This Row],[Lista 3 (40%)]]</f>
        <v>0.51869891909607824</v>
      </c>
    </row>
    <row r="720" spans="1:15">
      <c r="A720" t="s">
        <v>7</v>
      </c>
      <c r="B720" t="s">
        <v>729</v>
      </c>
      <c r="C720" t="s">
        <v>1531</v>
      </c>
      <c r="D720" t="s">
        <v>811</v>
      </c>
      <c r="E720" t="s">
        <v>5</v>
      </c>
      <c r="F720" s="3">
        <v>48.933333333333337</v>
      </c>
      <c r="G720" s="10">
        <f>VLOOKUP(Tabla1[[#This Row],[Código Unificador]],PRECIOS_COMPETENCIA!B:D,3,FALSE)</f>
        <v>167.58293333333336</v>
      </c>
      <c r="H720" s="10">
        <f>Tabla1[[#This Row],[PVP Competencia]]*0.98</f>
        <v>164.23127466666668</v>
      </c>
      <c r="I720" s="10">
        <f>Tabla1[[#This Row],[Precio Lista CDR]]*0.8</f>
        <v>131.38501973333334</v>
      </c>
      <c r="J720" s="10">
        <f>Tabla1[[#This Row],[Precio Lista CDR]]*0.7</f>
        <v>114.96189226666667</v>
      </c>
      <c r="K720" s="10">
        <f>Tabla1[[#This Row],[Precio Lista CDR]]*0.6</f>
        <v>98.53876480000001</v>
      </c>
      <c r="L720" s="12">
        <f>(Tabla1[[#This Row],[Precio Lista CDR]]-Tabla1[[#This Row],[PrecioFábrica]])/Tabla1[[#This Row],[Precio Lista CDR]]</f>
        <v>0.70204619410857483</v>
      </c>
      <c r="M720" s="12">
        <f>(Tabla1[[#This Row],[Lista 1 (20%)]]-Tabla1[[#This Row],[PrecioFábrica]])/Tabla1[[#This Row],[Lista 1 (20%)]]</f>
        <v>0.62755774263571851</v>
      </c>
      <c r="N720" s="12">
        <f>(Tabla1[[#This Row],[Lista 2 (30%)]]-Tabla1[[#This Row],[PrecioFábrica]])/Tabla1[[#This Row],[Lista 2 (30%)]]</f>
        <v>0.57435170586939255</v>
      </c>
      <c r="O720" s="12">
        <f>(Tabla1[[#This Row],[Lista 3 (40%)]]-Tabla1[[#This Row],[PrecioFábrica]])/Tabla1[[#This Row],[Lista 3 (40%)]]</f>
        <v>0.50341032351429138</v>
      </c>
    </row>
    <row r="721" spans="1:15">
      <c r="A721" t="s">
        <v>9</v>
      </c>
      <c r="B721" t="s">
        <v>730</v>
      </c>
      <c r="C721" t="s">
        <v>1532</v>
      </c>
      <c r="D721" t="s">
        <v>811</v>
      </c>
      <c r="E721" t="s">
        <v>5</v>
      </c>
      <c r="F721" s="3">
        <v>49.550000000000004</v>
      </c>
      <c r="G721" s="10">
        <f>VLOOKUP(Tabla1[[#This Row],[Código Unificador]],PRECIOS_COMPETENCIA!B:D,3,FALSE)</f>
        <v>175.19060000000005</v>
      </c>
      <c r="H721" s="10">
        <f>Tabla1[[#This Row],[PVP Competencia]]*0.98</f>
        <v>171.68678800000004</v>
      </c>
      <c r="I721" s="10">
        <f>Tabla1[[#This Row],[Precio Lista CDR]]*0.8</f>
        <v>137.34943040000005</v>
      </c>
      <c r="J721" s="10">
        <f>Tabla1[[#This Row],[Precio Lista CDR]]*0.7</f>
        <v>120.18075160000002</v>
      </c>
      <c r="K721" s="10">
        <f>Tabla1[[#This Row],[Precio Lista CDR]]*0.6</f>
        <v>103.01207280000001</v>
      </c>
      <c r="L721" s="12">
        <f>(Tabla1[[#This Row],[Precio Lista CDR]]-Tabla1[[#This Row],[PrecioFábrica]])/Tabla1[[#This Row],[Precio Lista CDR]]</f>
        <v>0.7113930513977581</v>
      </c>
      <c r="M721" s="12">
        <f>(Tabla1[[#This Row],[Lista 1 (20%)]]-Tabla1[[#This Row],[PrecioFábrica]])/Tabla1[[#This Row],[Lista 1 (20%)]]</f>
        <v>0.63924131424719766</v>
      </c>
      <c r="N721" s="12">
        <f>(Tabla1[[#This Row],[Lista 2 (30%)]]-Tabla1[[#This Row],[PrecioFábrica]])/Tabla1[[#This Row],[Lista 2 (30%)]]</f>
        <v>0.58770435913965458</v>
      </c>
      <c r="O721" s="12">
        <f>(Tabla1[[#This Row],[Lista 3 (40%)]]-Tabla1[[#This Row],[PrecioFábrica]])/Tabla1[[#This Row],[Lista 3 (40%)]]</f>
        <v>0.51898841899626358</v>
      </c>
    </row>
    <row r="722" spans="1:15">
      <c r="A722" t="s">
        <v>9</v>
      </c>
      <c r="B722" t="s">
        <v>731</v>
      </c>
      <c r="C722" t="s">
        <v>1533</v>
      </c>
      <c r="D722" t="s">
        <v>811</v>
      </c>
      <c r="E722" t="s">
        <v>5</v>
      </c>
      <c r="F722" s="3">
        <v>65.63333333333334</v>
      </c>
      <c r="G722" s="10">
        <f>VLOOKUP(Tabla1[[#This Row],[Código Unificador]],PRECIOS_COMPETENCIA!B:D,3,FALSE)</f>
        <v>223.66023333333337</v>
      </c>
      <c r="H722" s="10">
        <f>Tabla1[[#This Row],[PVP Competencia]]*0.98</f>
        <v>219.18702866666669</v>
      </c>
      <c r="I722" s="10">
        <f>Tabla1[[#This Row],[Precio Lista CDR]]*0.8</f>
        <v>175.34962293333336</v>
      </c>
      <c r="J722" s="10">
        <f>Tabla1[[#This Row],[Precio Lista CDR]]*0.7</f>
        <v>153.43092006666669</v>
      </c>
      <c r="K722" s="10">
        <f>Tabla1[[#This Row],[Precio Lista CDR]]*0.6</f>
        <v>131.51221720000001</v>
      </c>
      <c r="L722" s="12">
        <f>(Tabla1[[#This Row],[Precio Lista CDR]]-Tabla1[[#This Row],[PrecioFábrica]])/Tabla1[[#This Row],[Precio Lista CDR]]</f>
        <v>0.70056013929023764</v>
      </c>
      <c r="M722" s="12">
        <f>(Tabla1[[#This Row],[Lista 1 (20%)]]-Tabla1[[#This Row],[PrecioFábrica]])/Tabla1[[#This Row],[Lista 1 (20%)]]</f>
        <v>0.62570017411279721</v>
      </c>
      <c r="N722" s="12">
        <f>(Tabla1[[#This Row],[Lista 2 (30%)]]-Tabla1[[#This Row],[PrecioFábrica]])/Tabla1[[#This Row],[Lista 2 (30%)]]</f>
        <v>0.57222877041462539</v>
      </c>
      <c r="O722" s="12">
        <f>(Tabla1[[#This Row],[Lista 3 (40%)]]-Tabla1[[#This Row],[PrecioFábrica]])/Tabla1[[#This Row],[Lista 3 (40%)]]</f>
        <v>0.50093356548372958</v>
      </c>
    </row>
    <row r="723" spans="1:15">
      <c r="A723" t="s">
        <v>9</v>
      </c>
      <c r="B723" t="s">
        <v>732</v>
      </c>
      <c r="C723" t="s">
        <v>1534</v>
      </c>
      <c r="D723" t="s">
        <v>811</v>
      </c>
      <c r="E723" t="s">
        <v>5</v>
      </c>
      <c r="F723" s="3">
        <v>8.4166666666666661</v>
      </c>
      <c r="G723" s="10">
        <f>VLOOKUP(Tabla1[[#This Row],[Código Unificador]],PRECIOS_COMPETENCIA!B:D,3,FALSE)</f>
        <v>35.140583333333339</v>
      </c>
      <c r="H723" s="10">
        <f>Tabla1[[#This Row],[PVP Competencia]]*0.98</f>
        <v>34.43777166666667</v>
      </c>
      <c r="I723" s="10">
        <f>Tabla1[[#This Row],[Precio Lista CDR]]*0.8</f>
        <v>27.550217333333336</v>
      </c>
      <c r="J723" s="10">
        <f>Tabla1[[#This Row],[Precio Lista CDR]]*0.7</f>
        <v>24.106440166666669</v>
      </c>
      <c r="K723" s="10">
        <f>Tabla1[[#This Row],[Precio Lista CDR]]*0.6</f>
        <v>20.662663000000002</v>
      </c>
      <c r="L723" s="12">
        <f>(Tabla1[[#This Row],[Precio Lista CDR]]-Tabla1[[#This Row],[PrecioFábrica]])/Tabla1[[#This Row],[Precio Lista CDR]]</f>
        <v>0.75559781427979544</v>
      </c>
      <c r="M723" s="12">
        <f>(Tabla1[[#This Row],[Lista 1 (20%)]]-Tabla1[[#This Row],[PrecioFábrica]])/Tabla1[[#This Row],[Lista 1 (20%)]]</f>
        <v>0.69449726784974442</v>
      </c>
      <c r="N723" s="12">
        <f>(Tabla1[[#This Row],[Lista 2 (30%)]]-Tabla1[[#This Row],[PrecioFábrica]])/Tabla1[[#This Row],[Lista 2 (30%)]]</f>
        <v>0.65085402039970774</v>
      </c>
      <c r="O723" s="12">
        <f>(Tabla1[[#This Row],[Lista 3 (40%)]]-Tabla1[[#This Row],[PrecioFábrica]])/Tabla1[[#This Row],[Lista 3 (40%)]]</f>
        <v>0.59266302379965907</v>
      </c>
    </row>
    <row r="724" spans="1:15">
      <c r="A724" t="s">
        <v>6</v>
      </c>
      <c r="B724" t="s">
        <v>733</v>
      </c>
      <c r="C724" t="s">
        <v>1535</v>
      </c>
      <c r="D724" t="s">
        <v>811</v>
      </c>
      <c r="E724" t="s">
        <v>5</v>
      </c>
      <c r="F724" s="3">
        <v>9.15</v>
      </c>
      <c r="G724" s="10">
        <f>VLOOKUP(Tabla1[[#This Row],[Código Unificador]],PRECIOS_COMPETENCIA!B:D,3,FALSE)</f>
        <v>37.331050000000005</v>
      </c>
      <c r="H724" s="10">
        <f>Tabla1[[#This Row],[PVP Competencia]]*0.98</f>
        <v>36.584429000000007</v>
      </c>
      <c r="I724" s="10">
        <f>Tabla1[[#This Row],[Precio Lista CDR]]*0.8</f>
        <v>29.267543200000006</v>
      </c>
      <c r="J724" s="10">
        <f>Tabla1[[#This Row],[Precio Lista CDR]]*0.7</f>
        <v>25.609100300000005</v>
      </c>
      <c r="K724" s="10">
        <f>Tabla1[[#This Row],[Precio Lista CDR]]*0.6</f>
        <v>21.950657400000004</v>
      </c>
      <c r="L724" s="12">
        <f>(Tabla1[[#This Row],[Precio Lista CDR]]-Tabla1[[#This Row],[PrecioFábrica]])/Tabla1[[#This Row],[Precio Lista CDR]]</f>
        <v>0.74989359544192979</v>
      </c>
      <c r="M724" s="12">
        <f>(Tabla1[[#This Row],[Lista 1 (20%)]]-Tabla1[[#This Row],[PrecioFábrica]])/Tabla1[[#This Row],[Lista 1 (20%)]]</f>
        <v>0.68736699430241222</v>
      </c>
      <c r="N724" s="12">
        <f>(Tabla1[[#This Row],[Lista 2 (30%)]]-Tabla1[[#This Row],[PrecioFábrica]])/Tabla1[[#This Row],[Lista 2 (30%)]]</f>
        <v>0.64270513634561377</v>
      </c>
      <c r="O724" s="12">
        <f>(Tabla1[[#This Row],[Lista 3 (40%)]]-Tabla1[[#This Row],[PrecioFábrica]])/Tabla1[[#This Row],[Lista 3 (40%)]]</f>
        <v>0.58315599240321625</v>
      </c>
    </row>
    <row r="725" spans="1:15">
      <c r="A725" t="s">
        <v>6</v>
      </c>
      <c r="B725" t="s">
        <v>734</v>
      </c>
      <c r="C725" t="s">
        <v>1536</v>
      </c>
      <c r="D725" t="s">
        <v>811</v>
      </c>
      <c r="E725" t="s">
        <v>5</v>
      </c>
      <c r="F725" s="3">
        <v>8.9166666666666661</v>
      </c>
      <c r="G725" s="10">
        <f>VLOOKUP(Tabla1[[#This Row],[Código Unificador]],PRECIOS_COMPETENCIA!B:D,3,FALSE)</f>
        <v>36.375500000000002</v>
      </c>
      <c r="H725" s="10">
        <f>Tabla1[[#This Row],[PVP Competencia]]*0.98</f>
        <v>35.64799</v>
      </c>
      <c r="I725" s="10">
        <f>Tabla1[[#This Row],[Precio Lista CDR]]*0.8</f>
        <v>28.518392000000002</v>
      </c>
      <c r="J725" s="10">
        <f>Tabla1[[#This Row],[Precio Lista CDR]]*0.7</f>
        <v>24.953592999999998</v>
      </c>
      <c r="K725" s="10">
        <f>Tabla1[[#This Row],[Precio Lista CDR]]*0.6</f>
        <v>21.388794000000001</v>
      </c>
      <c r="L725" s="12">
        <f>(Tabla1[[#This Row],[Precio Lista CDR]]-Tabla1[[#This Row],[PrecioFábrica]])/Tabla1[[#This Row],[Precio Lista CDR]]</f>
        <v>0.74986902019814683</v>
      </c>
      <c r="M725" s="12">
        <f>(Tabla1[[#This Row],[Lista 1 (20%)]]-Tabla1[[#This Row],[PrecioFábrica]])/Tabla1[[#This Row],[Lista 1 (20%)]]</f>
        <v>0.68733627524768337</v>
      </c>
      <c r="N725" s="12">
        <f>(Tabla1[[#This Row],[Lista 2 (30%)]]-Tabla1[[#This Row],[PrecioFábrica]])/Tabla1[[#This Row],[Lista 2 (30%)]]</f>
        <v>0.64267002885449542</v>
      </c>
      <c r="O725" s="12">
        <f>(Tabla1[[#This Row],[Lista 3 (40%)]]-Tabla1[[#This Row],[PrecioFábrica]])/Tabla1[[#This Row],[Lista 3 (40%)]]</f>
        <v>0.58311503366357798</v>
      </c>
    </row>
    <row r="726" spans="1:15">
      <c r="A726" t="s">
        <v>9</v>
      </c>
      <c r="B726" t="s">
        <v>735</v>
      </c>
      <c r="C726" t="s">
        <v>1537</v>
      </c>
      <c r="D726" t="s">
        <v>811</v>
      </c>
      <c r="E726" t="s">
        <v>5</v>
      </c>
      <c r="F726" s="3">
        <v>9.1583333333333332</v>
      </c>
      <c r="G726" s="10">
        <f>VLOOKUP(Tabla1[[#This Row],[Código Unificador]],PRECIOS_COMPETENCIA!B:D,3,FALSE)</f>
        <v>38.683900000000001</v>
      </c>
      <c r="H726" s="10">
        <f>Tabla1[[#This Row],[PVP Competencia]]*0.98</f>
        <v>37.910221999999997</v>
      </c>
      <c r="I726" s="10">
        <f>Tabla1[[#This Row],[Precio Lista CDR]]*0.8</f>
        <v>30.3281776</v>
      </c>
      <c r="J726" s="10">
        <f>Tabla1[[#This Row],[Precio Lista CDR]]*0.7</f>
        <v>26.537155399999996</v>
      </c>
      <c r="K726" s="10">
        <f>Tabla1[[#This Row],[Precio Lista CDR]]*0.6</f>
        <v>22.746133199999999</v>
      </c>
      <c r="L726" s="12">
        <f>(Tabla1[[#This Row],[Precio Lista CDR]]-Tabla1[[#This Row],[PrecioFábrica]])/Tabla1[[#This Row],[Precio Lista CDR]]</f>
        <v>0.75842047737590845</v>
      </c>
      <c r="M726" s="12">
        <f>(Tabla1[[#This Row],[Lista 1 (20%)]]-Tabla1[[#This Row],[PrecioFábrica]])/Tabla1[[#This Row],[Lista 1 (20%)]]</f>
        <v>0.69802559671988551</v>
      </c>
      <c r="N726" s="12">
        <f>(Tabla1[[#This Row],[Lista 2 (30%)]]-Tabla1[[#This Row],[PrecioFábrica]])/Tabla1[[#This Row],[Lista 2 (30%)]]</f>
        <v>0.65488639625129785</v>
      </c>
      <c r="O726" s="12">
        <f>(Tabla1[[#This Row],[Lista 3 (40%)]]-Tabla1[[#This Row],[PrecioFábrica]])/Tabla1[[#This Row],[Lista 3 (40%)]]</f>
        <v>0.59736746229318072</v>
      </c>
    </row>
    <row r="727" spans="1:15">
      <c r="A727" t="s">
        <v>9</v>
      </c>
      <c r="B727" t="s">
        <v>736</v>
      </c>
      <c r="C727" t="s">
        <v>1538</v>
      </c>
      <c r="D727" t="s">
        <v>811</v>
      </c>
      <c r="E727" t="s">
        <v>5</v>
      </c>
      <c r="F727" s="3">
        <v>11.041666666666668</v>
      </c>
      <c r="G727" s="10">
        <f>VLOOKUP(Tabla1[[#This Row],[Código Unificador]],PRECIOS_COMPETENCIA!B:D,3,FALSE)</f>
        <v>44.26229166666667</v>
      </c>
      <c r="H727" s="10">
        <f>Tabla1[[#This Row],[PVP Competencia]]*0.98</f>
        <v>43.377045833333334</v>
      </c>
      <c r="I727" s="10">
        <f>Tabla1[[#This Row],[Precio Lista CDR]]*0.8</f>
        <v>34.701636666666666</v>
      </c>
      <c r="J727" s="10">
        <f>Tabla1[[#This Row],[Precio Lista CDR]]*0.7</f>
        <v>30.363932083333331</v>
      </c>
      <c r="K727" s="10">
        <f>Tabla1[[#This Row],[Precio Lista CDR]]*0.6</f>
        <v>26.026227500000001</v>
      </c>
      <c r="L727" s="12">
        <f>(Tabla1[[#This Row],[Precio Lista CDR]]-Tabla1[[#This Row],[PrecioFábrica]])/Tabla1[[#This Row],[Precio Lista CDR]]</f>
        <v>0.74544908592687897</v>
      </c>
      <c r="M727" s="12">
        <f>(Tabla1[[#This Row],[Lista 1 (20%)]]-Tabla1[[#This Row],[PrecioFábrica]])/Tabla1[[#This Row],[Lista 1 (20%)]]</f>
        <v>0.68181135740859866</v>
      </c>
      <c r="N727" s="12">
        <f>(Tabla1[[#This Row],[Lista 2 (30%)]]-Tabla1[[#This Row],[PrecioFábrica]])/Tabla1[[#This Row],[Lista 2 (30%)]]</f>
        <v>0.63635583703839849</v>
      </c>
      <c r="O727" s="12">
        <f>(Tabla1[[#This Row],[Lista 3 (40%)]]-Tabla1[[#This Row],[PrecioFábrica]])/Tabla1[[#This Row],[Lista 3 (40%)]]</f>
        <v>0.57574847654479822</v>
      </c>
    </row>
    <row r="728" spans="1:15">
      <c r="A728" t="s">
        <v>6</v>
      </c>
      <c r="B728" t="s">
        <v>737</v>
      </c>
      <c r="C728" t="s">
        <v>1539</v>
      </c>
      <c r="D728" t="s">
        <v>811</v>
      </c>
      <c r="E728" t="s">
        <v>5</v>
      </c>
      <c r="F728" s="3">
        <v>14.241666666666667</v>
      </c>
      <c r="G728" s="10">
        <f>VLOOKUP(Tabla1[[#This Row],[Código Unificador]],PRECIOS_COMPETENCIA!B:D,3,FALSE)</f>
        <v>53.365875000000003</v>
      </c>
      <c r="H728" s="10">
        <f>Tabla1[[#This Row],[PVP Competencia]]*0.98</f>
        <v>52.298557500000001</v>
      </c>
      <c r="I728" s="10">
        <f>Tabla1[[#This Row],[Precio Lista CDR]]*0.8</f>
        <v>41.838846000000004</v>
      </c>
      <c r="J728" s="10">
        <f>Tabla1[[#This Row],[Precio Lista CDR]]*0.7</f>
        <v>36.608990249999998</v>
      </c>
      <c r="K728" s="10">
        <f>Tabla1[[#This Row],[Precio Lista CDR]]*0.6</f>
        <v>31.379134499999999</v>
      </c>
      <c r="L728" s="12">
        <f>(Tabla1[[#This Row],[Precio Lista CDR]]-Tabla1[[#This Row],[PrecioFábrica]])/Tabla1[[#This Row],[Precio Lista CDR]]</f>
        <v>0.72768528717705705</v>
      </c>
      <c r="M728" s="12">
        <f>(Tabla1[[#This Row],[Lista 1 (20%)]]-Tabla1[[#This Row],[PrecioFábrica]])/Tabla1[[#This Row],[Lista 1 (20%)]]</f>
        <v>0.6596066089713214</v>
      </c>
      <c r="N728" s="12">
        <f>(Tabla1[[#This Row],[Lista 2 (30%)]]-Tabla1[[#This Row],[PrecioFábrica]])/Tabla1[[#This Row],[Lista 2 (30%)]]</f>
        <v>0.6109789816815101</v>
      </c>
      <c r="O728" s="12">
        <f>(Tabla1[[#This Row],[Lista 3 (40%)]]-Tabla1[[#This Row],[PrecioFábrica]])/Tabla1[[#This Row],[Lista 3 (40%)]]</f>
        <v>0.54614214529509508</v>
      </c>
    </row>
    <row r="729" spans="1:15">
      <c r="A729" t="s">
        <v>6</v>
      </c>
      <c r="B729" t="s">
        <v>738</v>
      </c>
      <c r="C729" t="s">
        <v>1540</v>
      </c>
      <c r="D729" t="s">
        <v>811</v>
      </c>
      <c r="E729" t="s">
        <v>5</v>
      </c>
      <c r="F729" s="3">
        <v>29.183333333333337</v>
      </c>
      <c r="G729" s="10">
        <f>VLOOKUP(Tabla1[[#This Row],[Código Unificador]],PRECIOS_COMPETENCIA!B:D,3,FALSE)</f>
        <v>107.17061666666667</v>
      </c>
      <c r="H729" s="10">
        <f>Tabla1[[#This Row],[PVP Competencia]]*0.98</f>
        <v>105.02720433333334</v>
      </c>
      <c r="I729" s="10">
        <f>Tabla1[[#This Row],[Precio Lista CDR]]*0.8</f>
        <v>84.021763466666684</v>
      </c>
      <c r="J729" s="10">
        <f>Tabla1[[#This Row],[Precio Lista CDR]]*0.7</f>
        <v>73.519043033333332</v>
      </c>
      <c r="K729" s="10">
        <f>Tabla1[[#This Row],[Precio Lista CDR]]*0.6</f>
        <v>63.016322600000002</v>
      </c>
      <c r="L729" s="12">
        <f>(Tabla1[[#This Row],[Precio Lista CDR]]-Tabla1[[#This Row],[PrecioFábrica]])/Tabla1[[#This Row],[Precio Lista CDR]]</f>
        <v>0.72213548367228908</v>
      </c>
      <c r="M729" s="12">
        <f>(Tabla1[[#This Row],[Lista 1 (20%)]]-Tabla1[[#This Row],[PrecioFábrica]])/Tabla1[[#This Row],[Lista 1 (20%)]]</f>
        <v>0.65266935459036135</v>
      </c>
      <c r="N729" s="12">
        <f>(Tabla1[[#This Row],[Lista 2 (30%)]]-Tabla1[[#This Row],[PrecioFábrica]])/Tabla1[[#This Row],[Lista 2 (30%)]]</f>
        <v>0.60305069096041286</v>
      </c>
      <c r="O729" s="12">
        <f>(Tabla1[[#This Row],[Lista 3 (40%)]]-Tabla1[[#This Row],[PrecioFábrica]])/Tabla1[[#This Row],[Lista 3 (40%)]]</f>
        <v>0.53689247278714836</v>
      </c>
    </row>
    <row r="730" spans="1:15">
      <c r="A730" t="s">
        <v>6</v>
      </c>
      <c r="B730" t="s">
        <v>739</v>
      </c>
      <c r="C730" t="s">
        <v>1541</v>
      </c>
      <c r="D730" t="s">
        <v>811</v>
      </c>
      <c r="E730" t="s">
        <v>5</v>
      </c>
      <c r="F730" s="3">
        <v>19.733333333333334</v>
      </c>
      <c r="G730" s="10">
        <f>VLOOKUP(Tabla1[[#This Row],[Código Unificador]],PRECIOS_COMPETENCIA!B:D,3,FALSE)</f>
        <v>68.943466666666666</v>
      </c>
      <c r="H730" s="10">
        <f>Tabla1[[#This Row],[PVP Competencia]]*0.98</f>
        <v>67.564597333333325</v>
      </c>
      <c r="I730" s="10">
        <f>Tabla1[[#This Row],[Precio Lista CDR]]*0.8</f>
        <v>54.051677866666665</v>
      </c>
      <c r="J730" s="10">
        <f>Tabla1[[#This Row],[Precio Lista CDR]]*0.7</f>
        <v>47.295218133333321</v>
      </c>
      <c r="K730" s="10">
        <f>Tabla1[[#This Row],[Precio Lista CDR]]*0.6</f>
        <v>40.538758399999992</v>
      </c>
      <c r="L730" s="12">
        <f>(Tabla1[[#This Row],[Precio Lista CDR]]-Tabla1[[#This Row],[PrecioFábrica]])/Tabla1[[#This Row],[Precio Lista CDR]]</f>
        <v>0.70793382759349621</v>
      </c>
      <c r="M730" s="12">
        <f>(Tabla1[[#This Row],[Lista 1 (20%)]]-Tabla1[[#This Row],[PrecioFábrica]])/Tabla1[[#This Row],[Lista 1 (20%)]]</f>
        <v>0.63491728449187035</v>
      </c>
      <c r="N730" s="12">
        <f>(Tabla1[[#This Row],[Lista 2 (30%)]]-Tabla1[[#This Row],[PrecioFábrica]])/Tabla1[[#This Row],[Lista 2 (30%)]]</f>
        <v>0.58276261084785175</v>
      </c>
      <c r="O730" s="12">
        <f>(Tabla1[[#This Row],[Lista 3 (40%)]]-Tabla1[[#This Row],[PrecioFábrica]])/Tabla1[[#This Row],[Lista 3 (40%)]]</f>
        <v>0.51322304598916035</v>
      </c>
    </row>
    <row r="731" spans="1:15">
      <c r="A731" t="s">
        <v>6</v>
      </c>
      <c r="B731" t="s">
        <v>740</v>
      </c>
      <c r="C731" t="s">
        <v>1542</v>
      </c>
      <c r="D731" t="s">
        <v>811</v>
      </c>
      <c r="E731" t="s">
        <v>5</v>
      </c>
      <c r="F731" s="3">
        <v>26</v>
      </c>
      <c r="G731" s="10">
        <f>VLOOKUP(Tabla1[[#This Row],[Código Unificador]],PRECIOS_COMPETENCIA!B:D,3,FALSE)</f>
        <v>89.169999999999987</v>
      </c>
      <c r="H731" s="10">
        <f>Tabla1[[#This Row],[PVP Competencia]]*0.98</f>
        <v>87.386599999999987</v>
      </c>
      <c r="I731" s="10">
        <f>Tabla1[[#This Row],[Precio Lista CDR]]*0.8</f>
        <v>69.909279999999995</v>
      </c>
      <c r="J731" s="10">
        <f>Tabla1[[#This Row],[Precio Lista CDR]]*0.7</f>
        <v>61.170619999999985</v>
      </c>
      <c r="K731" s="10">
        <f>Tabla1[[#This Row],[Precio Lista CDR]]*0.6</f>
        <v>52.431959999999989</v>
      </c>
      <c r="L731" s="12">
        <f>(Tabla1[[#This Row],[Precio Lista CDR]]-Tabla1[[#This Row],[PrecioFábrica]])/Tabla1[[#This Row],[Precio Lista CDR]]</f>
        <v>0.7024715459807338</v>
      </c>
      <c r="M731" s="12">
        <f>(Tabla1[[#This Row],[Lista 1 (20%)]]-Tabla1[[#This Row],[PrecioFábrica]])/Tabla1[[#This Row],[Lista 1 (20%)]]</f>
        <v>0.62808943247591731</v>
      </c>
      <c r="N731" s="12">
        <f>(Tabla1[[#This Row],[Lista 2 (30%)]]-Tabla1[[#This Row],[PrecioFábrica]])/Tabla1[[#This Row],[Lista 2 (30%)]]</f>
        <v>0.57495935140104826</v>
      </c>
      <c r="O731" s="12">
        <f>(Tabla1[[#This Row],[Lista 3 (40%)]]-Tabla1[[#This Row],[PrecioFábrica]])/Tabla1[[#This Row],[Lista 3 (40%)]]</f>
        <v>0.50411924330122304</v>
      </c>
    </row>
    <row r="732" spans="1:15">
      <c r="A732" t="s">
        <v>6</v>
      </c>
      <c r="B732" t="s">
        <v>741</v>
      </c>
      <c r="C732" t="s">
        <v>1543</v>
      </c>
      <c r="D732" t="s">
        <v>811</v>
      </c>
      <c r="E732" t="s">
        <v>5</v>
      </c>
      <c r="F732" s="3">
        <v>26.575000000000003</v>
      </c>
      <c r="G732" s="10">
        <f>VLOOKUP(Tabla1[[#This Row],[Código Unificador]],PRECIOS_COMPETENCIA!B:D,3,FALSE)</f>
        <v>98.608850000000018</v>
      </c>
      <c r="H732" s="10">
        <f>Tabla1[[#This Row],[PVP Competencia]]*0.98</f>
        <v>96.636673000000016</v>
      </c>
      <c r="I732" s="10">
        <f>Tabla1[[#This Row],[Precio Lista CDR]]*0.8</f>
        <v>77.309338400000016</v>
      </c>
      <c r="J732" s="10">
        <f>Tabla1[[#This Row],[Precio Lista CDR]]*0.7</f>
        <v>67.645671100000001</v>
      </c>
      <c r="K732" s="10">
        <f>Tabla1[[#This Row],[Precio Lista CDR]]*0.6</f>
        <v>57.982003800000008</v>
      </c>
      <c r="L732" s="12">
        <f>(Tabla1[[#This Row],[Precio Lista CDR]]-Tabla1[[#This Row],[PrecioFábrica]])/Tabla1[[#This Row],[Precio Lista CDR]]</f>
        <v>0.72500088035936416</v>
      </c>
      <c r="M732" s="12">
        <f>(Tabla1[[#This Row],[Lista 1 (20%)]]-Tabla1[[#This Row],[PrecioFábrica]])/Tabla1[[#This Row],[Lista 1 (20%)]]</f>
        <v>0.65625110044920532</v>
      </c>
      <c r="N732" s="12">
        <f>(Tabla1[[#This Row],[Lista 2 (30%)]]-Tabla1[[#This Row],[PrecioFábrica]])/Tabla1[[#This Row],[Lista 2 (30%)]]</f>
        <v>0.60714411479909169</v>
      </c>
      <c r="O732" s="12">
        <f>(Tabla1[[#This Row],[Lista 3 (40%)]]-Tabla1[[#This Row],[PrecioFábrica]])/Tabla1[[#This Row],[Lista 3 (40%)]]</f>
        <v>0.54166813393227364</v>
      </c>
    </row>
    <row r="733" spans="1:15">
      <c r="A733" t="s">
        <v>9</v>
      </c>
      <c r="B733" t="s">
        <v>742</v>
      </c>
      <c r="C733" t="s">
        <v>1544</v>
      </c>
      <c r="D733" t="s">
        <v>811</v>
      </c>
      <c r="E733" t="s">
        <v>5</v>
      </c>
      <c r="F733" s="3">
        <v>48.591666666666669</v>
      </c>
      <c r="G733" s="10">
        <f>VLOOKUP(Tabla1[[#This Row],[Código Unificador]],PRECIOS_COMPETENCIA!B:D,3,FALSE)</f>
        <v>169.14330833333301</v>
      </c>
      <c r="H733" s="10">
        <f>Tabla1[[#This Row],[PVP Competencia]]*0.98</f>
        <v>165.76044216666634</v>
      </c>
      <c r="I733" s="10">
        <f>Tabla1[[#This Row],[Precio Lista CDR]]*0.8</f>
        <v>132.60835373333308</v>
      </c>
      <c r="J733" s="10">
        <f>Tabla1[[#This Row],[Precio Lista CDR]]*0.7</f>
        <v>116.03230951666643</v>
      </c>
      <c r="K733" s="10">
        <f>Tabla1[[#This Row],[Precio Lista CDR]]*0.6</f>
        <v>99.456265299999799</v>
      </c>
      <c r="L733" s="12">
        <f>(Tabla1[[#This Row],[Precio Lista CDR]]-Tabla1[[#This Row],[PrecioFábrica]])/Tabla1[[#This Row],[Precio Lista CDR]]</f>
        <v>0.706856074757514</v>
      </c>
      <c r="M733" s="12">
        <f>(Tabla1[[#This Row],[Lista 1 (20%)]]-Tabla1[[#This Row],[PrecioFábrica]])/Tabla1[[#This Row],[Lista 1 (20%)]]</f>
        <v>0.63357009344689241</v>
      </c>
      <c r="N733" s="12">
        <f>(Tabla1[[#This Row],[Lista 2 (30%)]]-Tabla1[[#This Row],[PrecioFábrica]])/Tabla1[[#This Row],[Lista 2 (30%)]]</f>
        <v>0.58122296393930561</v>
      </c>
      <c r="O733" s="12">
        <f>(Tabla1[[#This Row],[Lista 3 (40%)]]-Tabla1[[#This Row],[PrecioFábrica]])/Tabla1[[#This Row],[Lista 3 (40%)]]</f>
        <v>0.51142679126252322</v>
      </c>
    </row>
    <row r="734" spans="1:15">
      <c r="A734" t="s">
        <v>9</v>
      </c>
      <c r="B734" t="s">
        <v>743</v>
      </c>
      <c r="C734" t="s">
        <v>1545</v>
      </c>
      <c r="D734" t="s">
        <v>811</v>
      </c>
      <c r="E734" t="s">
        <v>5</v>
      </c>
      <c r="F734" s="3">
        <v>37.258333333333333</v>
      </c>
      <c r="G734" s="10">
        <f>VLOOKUP(Tabla1[[#This Row],[Código Unificador]],PRECIOS_COMPETENCIA!B:D,3,FALSE)</f>
        <v>126.6931</v>
      </c>
      <c r="H734" s="10">
        <f>Tabla1[[#This Row],[PVP Competencia]]*0.98</f>
        <v>124.159238</v>
      </c>
      <c r="I734" s="10">
        <f>Tabla1[[#This Row],[Precio Lista CDR]]*0.8</f>
        <v>99.327390400000013</v>
      </c>
      <c r="J734" s="10">
        <f>Tabla1[[#This Row],[Precio Lista CDR]]*0.7</f>
        <v>86.911466599999997</v>
      </c>
      <c r="K734" s="10">
        <f>Tabla1[[#This Row],[Precio Lista CDR]]*0.6</f>
        <v>74.495542799999996</v>
      </c>
      <c r="L734" s="12">
        <f>(Tabla1[[#This Row],[Precio Lista CDR]]-Tabla1[[#This Row],[PrecioFábrica]])/Tabla1[[#This Row],[Precio Lista CDR]]</f>
        <v>0.69991493236022162</v>
      </c>
      <c r="M734" s="12">
        <f>(Tabla1[[#This Row],[Lista 1 (20%)]]-Tabla1[[#This Row],[PrecioFábrica]])/Tabla1[[#This Row],[Lista 1 (20%)]]</f>
        <v>0.62489366545027714</v>
      </c>
      <c r="N734" s="12">
        <f>(Tabla1[[#This Row],[Lista 2 (30%)]]-Tabla1[[#This Row],[PrecioFábrica]])/Tabla1[[#This Row],[Lista 2 (30%)]]</f>
        <v>0.57130704622888817</v>
      </c>
      <c r="O734" s="12">
        <f>(Tabla1[[#This Row],[Lista 3 (40%)]]-Tabla1[[#This Row],[PrecioFábrica]])/Tabla1[[#This Row],[Lista 3 (40%)]]</f>
        <v>0.49985822060036944</v>
      </c>
    </row>
    <row r="735" spans="1:15">
      <c r="A735" t="s">
        <v>6</v>
      </c>
      <c r="B735" t="s">
        <v>744</v>
      </c>
      <c r="C735" t="s">
        <v>1546</v>
      </c>
      <c r="D735" t="s">
        <v>811</v>
      </c>
      <c r="E735" t="s">
        <v>5</v>
      </c>
      <c r="F735" s="3">
        <v>32.016666666666666</v>
      </c>
      <c r="G735" s="10">
        <f>VLOOKUP(Tabla1[[#This Row],[Código Unificador]],PRECIOS_COMPETENCIA!B:D,3,FALSE)</f>
        <v>115.63378333333334</v>
      </c>
      <c r="H735" s="10">
        <f>Tabla1[[#This Row],[PVP Competencia]]*0.98</f>
        <v>113.32110766666668</v>
      </c>
      <c r="I735" s="10">
        <f>Tabla1[[#This Row],[Precio Lista CDR]]*0.8</f>
        <v>90.656886133333344</v>
      </c>
      <c r="J735" s="10">
        <f>Tabla1[[#This Row],[Precio Lista CDR]]*0.7</f>
        <v>79.324775366666671</v>
      </c>
      <c r="K735" s="10">
        <f>Tabla1[[#This Row],[Precio Lista CDR]]*0.6</f>
        <v>67.992664599999998</v>
      </c>
      <c r="L735" s="12">
        <f>(Tabla1[[#This Row],[Precio Lista CDR]]-Tabla1[[#This Row],[PrecioFábrica]])/Tabla1[[#This Row],[Precio Lista CDR]]</f>
        <v>0.71746952244021922</v>
      </c>
      <c r="M735" s="12">
        <f>(Tabla1[[#This Row],[Lista 1 (20%)]]-Tabla1[[#This Row],[PrecioFábrica]])/Tabla1[[#This Row],[Lista 1 (20%)]]</f>
        <v>0.64683690305027408</v>
      </c>
      <c r="N735" s="12">
        <f>(Tabla1[[#This Row],[Lista 2 (30%)]]-Tabla1[[#This Row],[PrecioFábrica]])/Tabla1[[#This Row],[Lista 2 (30%)]]</f>
        <v>0.59638503205745608</v>
      </c>
      <c r="O735" s="12">
        <f>(Tabla1[[#This Row],[Lista 3 (40%)]]-Tabla1[[#This Row],[PrecioFábrica]])/Tabla1[[#This Row],[Lista 3 (40%)]]</f>
        <v>0.5291158707336987</v>
      </c>
    </row>
    <row r="736" spans="1:15">
      <c r="A736" t="s">
        <v>9</v>
      </c>
      <c r="B736" t="s">
        <v>745</v>
      </c>
      <c r="C736" t="s">
        <v>1547</v>
      </c>
      <c r="D736" t="s">
        <v>811</v>
      </c>
      <c r="E736" t="s">
        <v>5</v>
      </c>
      <c r="F736" s="3">
        <v>36.683333333333337</v>
      </c>
      <c r="G736" s="10">
        <f>VLOOKUP(Tabla1[[#This Row],[Código Unificador]],PRECIOS_COMPETENCIA!B:D,3,FALSE)</f>
        <v>128.5093</v>
      </c>
      <c r="H736" s="10">
        <f>Tabla1[[#This Row],[PVP Competencia]]*0.98</f>
        <v>125.93911399999999</v>
      </c>
      <c r="I736" s="10">
        <f>Tabla1[[#This Row],[Precio Lista CDR]]*0.8</f>
        <v>100.7512912</v>
      </c>
      <c r="J736" s="10">
        <f>Tabla1[[#This Row],[Precio Lista CDR]]*0.7</f>
        <v>88.157379799999987</v>
      </c>
      <c r="K736" s="10">
        <f>Tabla1[[#This Row],[Precio Lista CDR]]*0.6</f>
        <v>75.563468399999991</v>
      </c>
      <c r="L736" s="12">
        <f>(Tabla1[[#This Row],[Precio Lista CDR]]-Tabla1[[#This Row],[PrecioFábrica]])/Tabla1[[#This Row],[Precio Lista CDR]]</f>
        <v>0.70872168170618277</v>
      </c>
      <c r="M736" s="12">
        <f>(Tabla1[[#This Row],[Lista 1 (20%)]]-Tabla1[[#This Row],[PrecioFábrica]])/Tabla1[[#This Row],[Lista 1 (20%)]]</f>
        <v>0.63590210213272846</v>
      </c>
      <c r="N736" s="12">
        <f>(Tabla1[[#This Row],[Lista 2 (30%)]]-Tabla1[[#This Row],[PrecioFábrica]])/Tabla1[[#This Row],[Lista 2 (30%)]]</f>
        <v>0.58388811672311813</v>
      </c>
      <c r="O736" s="12">
        <f>(Tabla1[[#This Row],[Lista 3 (40%)]]-Tabla1[[#This Row],[PrecioFábrica]])/Tabla1[[#This Row],[Lista 3 (40%)]]</f>
        <v>0.51453613617697114</v>
      </c>
    </row>
    <row r="737" spans="1:15">
      <c r="A737" t="s">
        <v>9</v>
      </c>
      <c r="B737" t="s">
        <v>746</v>
      </c>
      <c r="C737" t="s">
        <v>1548</v>
      </c>
      <c r="D737" t="s">
        <v>811</v>
      </c>
      <c r="E737" t="s">
        <v>5</v>
      </c>
      <c r="F737" s="3">
        <v>36.683333333333337</v>
      </c>
      <c r="G737" s="10">
        <f>VLOOKUP(Tabla1[[#This Row],[Código Unificador]],PRECIOS_COMPETENCIA!B:D,3,FALSE)</f>
        <v>129.57311666666669</v>
      </c>
      <c r="H737" s="10">
        <f>Tabla1[[#This Row],[PVP Competencia]]*0.98</f>
        <v>126.98165433333335</v>
      </c>
      <c r="I737" s="10">
        <f>Tabla1[[#This Row],[Precio Lista CDR]]*0.8</f>
        <v>101.58532346666669</v>
      </c>
      <c r="J737" s="10">
        <f>Tabla1[[#This Row],[Precio Lista CDR]]*0.7</f>
        <v>88.887158033333336</v>
      </c>
      <c r="K737" s="10">
        <f>Tabla1[[#This Row],[Precio Lista CDR]]*0.6</f>
        <v>76.188992600000006</v>
      </c>
      <c r="L737" s="12">
        <f>(Tabla1[[#This Row],[Precio Lista CDR]]-Tabla1[[#This Row],[PrecioFábrica]])/Tabla1[[#This Row],[Precio Lista CDR]]</f>
        <v>0.7111131247586544</v>
      </c>
      <c r="M737" s="12">
        <f>(Tabla1[[#This Row],[Lista 1 (20%)]]-Tabla1[[#This Row],[PrecioFábrica]])/Tabla1[[#This Row],[Lista 1 (20%)]]</f>
        <v>0.63889140594831806</v>
      </c>
      <c r="N737" s="12">
        <f>(Tabla1[[#This Row],[Lista 2 (30%)]]-Tabla1[[#This Row],[PrecioFábrica]])/Tabla1[[#This Row],[Lista 2 (30%)]]</f>
        <v>0.58730446394093483</v>
      </c>
      <c r="O737" s="12">
        <f>(Tabla1[[#This Row],[Lista 3 (40%)]]-Tabla1[[#This Row],[PrecioFábrica]])/Tabla1[[#This Row],[Lista 3 (40%)]]</f>
        <v>0.51852187459775734</v>
      </c>
    </row>
    <row r="738" spans="1:15">
      <c r="A738" t="s">
        <v>6</v>
      </c>
      <c r="B738" t="s">
        <v>747</v>
      </c>
      <c r="C738" t="s">
        <v>1549</v>
      </c>
      <c r="D738" t="s">
        <v>811</v>
      </c>
      <c r="E738" t="s">
        <v>5</v>
      </c>
      <c r="F738" s="3">
        <v>51.475000000000001</v>
      </c>
      <c r="G738" s="10">
        <f>VLOOKUP(Tabla1[[#This Row],[Código Unificador]],PRECIOS_COMPETENCIA!B:D,3,FALSE)</f>
        <v>179.75582499999999</v>
      </c>
      <c r="H738" s="10">
        <f>Tabla1[[#This Row],[PVP Competencia]]*0.98</f>
        <v>176.1607085</v>
      </c>
      <c r="I738" s="10">
        <f>Tabla1[[#This Row],[Precio Lista CDR]]*0.8</f>
        <v>140.9285668</v>
      </c>
      <c r="J738" s="10">
        <f>Tabla1[[#This Row],[Precio Lista CDR]]*0.7</f>
        <v>123.31249594999998</v>
      </c>
      <c r="K738" s="10">
        <f>Tabla1[[#This Row],[Precio Lista CDR]]*0.6</f>
        <v>105.6964251</v>
      </c>
      <c r="L738" s="12">
        <f>(Tabla1[[#This Row],[Precio Lista CDR]]-Tabla1[[#This Row],[PrecioFábrica]])/Tabla1[[#This Row],[Precio Lista CDR]]</f>
        <v>0.70779522608470891</v>
      </c>
      <c r="M738" s="12">
        <f>(Tabla1[[#This Row],[Lista 1 (20%)]]-Tabla1[[#This Row],[PrecioFábrica]])/Tabla1[[#This Row],[Lista 1 (20%)]]</f>
        <v>0.63474403260588619</v>
      </c>
      <c r="N738" s="12">
        <f>(Tabla1[[#This Row],[Lista 2 (30%)]]-Tabla1[[#This Row],[PrecioFábrica]])/Tabla1[[#This Row],[Lista 2 (30%)]]</f>
        <v>0.5825646086924412</v>
      </c>
      <c r="O738" s="12">
        <f>(Tabla1[[#This Row],[Lista 3 (40%)]]-Tabla1[[#This Row],[PrecioFábrica]])/Tabla1[[#This Row],[Lista 3 (40%)]]</f>
        <v>0.51299204347451477</v>
      </c>
    </row>
    <row r="739" spans="1:15">
      <c r="A739" t="s">
        <v>6</v>
      </c>
      <c r="B739" t="s">
        <v>748</v>
      </c>
      <c r="C739" t="s">
        <v>1550</v>
      </c>
      <c r="D739" t="s">
        <v>811</v>
      </c>
      <c r="E739" t="s">
        <v>5</v>
      </c>
      <c r="F739" s="3">
        <v>44.716666666666669</v>
      </c>
      <c r="G739" s="10">
        <f>VLOOKUP(Tabla1[[#This Row],[Código Unificador]],PRECIOS_COMPETENCIA!B:D,3,FALSE)</f>
        <v>153.56868333333335</v>
      </c>
      <c r="H739" s="10">
        <f>Tabla1[[#This Row],[PVP Competencia]]*0.98</f>
        <v>150.49730966666669</v>
      </c>
      <c r="I739" s="10">
        <f>Tabla1[[#This Row],[Precio Lista CDR]]*0.8</f>
        <v>120.39784773333336</v>
      </c>
      <c r="J739" s="10">
        <f>Tabla1[[#This Row],[Precio Lista CDR]]*0.7</f>
        <v>105.34811676666668</v>
      </c>
      <c r="K739" s="10">
        <f>Tabla1[[#This Row],[Precio Lista CDR]]*0.6</f>
        <v>90.29838580000002</v>
      </c>
      <c r="L739" s="12">
        <f>(Tabla1[[#This Row],[Precio Lista CDR]]-Tabla1[[#This Row],[PrecioFábrica]])/Tabla1[[#This Row],[Precio Lista CDR]]</f>
        <v>0.70287397983586108</v>
      </c>
      <c r="M739" s="12">
        <f>(Tabla1[[#This Row],[Lista 1 (20%)]]-Tabla1[[#This Row],[PrecioFábrica]])/Tabla1[[#This Row],[Lista 1 (20%)]]</f>
        <v>0.62859247479482638</v>
      </c>
      <c r="N739" s="12">
        <f>(Tabla1[[#This Row],[Lista 2 (30%)]]-Tabla1[[#This Row],[PrecioFábrica]])/Tabla1[[#This Row],[Lista 2 (30%)]]</f>
        <v>0.5755342569083729</v>
      </c>
      <c r="O739" s="12">
        <f>(Tabla1[[#This Row],[Lista 3 (40%)]]-Tabla1[[#This Row],[PrecioFábrica]])/Tabla1[[#This Row],[Lista 3 (40%)]]</f>
        <v>0.50478996639310181</v>
      </c>
    </row>
    <row r="740" spans="1:15">
      <c r="A740" t="s">
        <v>9</v>
      </c>
      <c r="B740" t="s">
        <v>749</v>
      </c>
      <c r="C740" t="s">
        <v>1551</v>
      </c>
      <c r="D740" t="s">
        <v>811</v>
      </c>
      <c r="E740" t="s">
        <v>5</v>
      </c>
      <c r="F740" s="3">
        <v>44.716666666666669</v>
      </c>
      <c r="G740" s="10">
        <f>VLOOKUP(Tabla1[[#This Row],[Código Unificador]],PRECIOS_COMPETENCIA!B:D,3,FALSE)</f>
        <v>158.75581666666668</v>
      </c>
      <c r="H740" s="10">
        <f>Tabla1[[#This Row],[PVP Competencia]]*0.98</f>
        <v>155.58070033333334</v>
      </c>
      <c r="I740" s="10">
        <f>Tabla1[[#This Row],[Precio Lista CDR]]*0.8</f>
        <v>124.46456026666668</v>
      </c>
      <c r="J740" s="10">
        <f>Tabla1[[#This Row],[Precio Lista CDR]]*0.7</f>
        <v>108.90649023333333</v>
      </c>
      <c r="K740" s="10">
        <f>Tabla1[[#This Row],[Precio Lista CDR]]*0.6</f>
        <v>93.348420200000007</v>
      </c>
      <c r="L740" s="12">
        <f>(Tabla1[[#This Row],[Precio Lista CDR]]-Tabla1[[#This Row],[PrecioFábrica]])/Tabla1[[#This Row],[Precio Lista CDR]]</f>
        <v>0.71258217394020773</v>
      </c>
      <c r="M740" s="12">
        <f>(Tabla1[[#This Row],[Lista 1 (20%)]]-Tabla1[[#This Row],[PrecioFábrica]])/Tabla1[[#This Row],[Lista 1 (20%)]]</f>
        <v>0.64072771742525969</v>
      </c>
      <c r="N740" s="12">
        <f>(Tabla1[[#This Row],[Lista 2 (30%)]]-Tabla1[[#This Row],[PrecioFábrica]])/Tabla1[[#This Row],[Lista 2 (30%)]]</f>
        <v>0.58940310562886811</v>
      </c>
      <c r="O740" s="12">
        <f>(Tabla1[[#This Row],[Lista 3 (40%)]]-Tabla1[[#This Row],[PrecioFábrica]])/Tabla1[[#This Row],[Lista 3 (40%)]]</f>
        <v>0.52097028990034622</v>
      </c>
    </row>
    <row r="741" spans="1:15">
      <c r="A741" t="s">
        <v>6</v>
      </c>
      <c r="B741" t="s">
        <v>750</v>
      </c>
      <c r="C741" t="s">
        <v>1552</v>
      </c>
      <c r="D741" t="s">
        <v>811</v>
      </c>
      <c r="E741" t="s">
        <v>5</v>
      </c>
      <c r="F741" s="3">
        <v>46.966666666666669</v>
      </c>
      <c r="G741" s="10">
        <f>VLOOKUP(Tabla1[[#This Row],[Código Unificador]],PRECIOS_COMPETENCIA!B:D,3,FALSE)</f>
        <v>165.73756666666665</v>
      </c>
      <c r="H741" s="10">
        <f>Tabla1[[#This Row],[PVP Competencia]]*0.98</f>
        <v>162.42281533333332</v>
      </c>
      <c r="I741" s="10">
        <f>Tabla1[[#This Row],[Precio Lista CDR]]*0.8</f>
        <v>129.93825226666667</v>
      </c>
      <c r="J741" s="10">
        <f>Tabla1[[#This Row],[Precio Lista CDR]]*0.7</f>
        <v>113.69597073333331</v>
      </c>
      <c r="K741" s="10">
        <f>Tabla1[[#This Row],[Precio Lista CDR]]*0.6</f>
        <v>97.453689199999985</v>
      </c>
      <c r="L741" s="12">
        <f>(Tabla1[[#This Row],[Precio Lista CDR]]-Tabla1[[#This Row],[PrecioFábrica]])/Tabla1[[#This Row],[Precio Lista CDR]]</f>
        <v>0.71083701159668355</v>
      </c>
      <c r="M741" s="12">
        <f>(Tabla1[[#This Row],[Lista 1 (20%)]]-Tabla1[[#This Row],[PrecioFábrica]])/Tabla1[[#This Row],[Lista 1 (20%)]]</f>
        <v>0.6385462644958545</v>
      </c>
      <c r="N741" s="12">
        <f>(Tabla1[[#This Row],[Lista 2 (30%)]]-Tabla1[[#This Row],[PrecioFábrica]])/Tabla1[[#This Row],[Lista 2 (30%)]]</f>
        <v>0.58691001656669073</v>
      </c>
      <c r="O741" s="12">
        <f>(Tabla1[[#This Row],[Lista 3 (40%)]]-Tabla1[[#This Row],[PrecioFábrica]])/Tabla1[[#This Row],[Lista 3 (40%)]]</f>
        <v>0.51806168599447255</v>
      </c>
    </row>
    <row r="742" spans="1:15">
      <c r="A742" t="s">
        <v>7</v>
      </c>
      <c r="B742" t="s">
        <v>751</v>
      </c>
      <c r="C742" t="s">
        <v>1553</v>
      </c>
      <c r="D742" t="s">
        <v>811</v>
      </c>
      <c r="E742" t="s">
        <v>5</v>
      </c>
      <c r="F742" s="3">
        <v>46.966666666666669</v>
      </c>
      <c r="G742" s="10">
        <f>VLOOKUP(Tabla1[[#This Row],[Código Unificador]],PRECIOS_COMPETENCIA!B:D,3,FALSE)</f>
        <v>164.37553333333332</v>
      </c>
      <c r="H742" s="10">
        <f>Tabla1[[#This Row],[PVP Competencia]]*0.98</f>
        <v>161.08802266666666</v>
      </c>
      <c r="I742" s="10">
        <f>Tabla1[[#This Row],[Precio Lista CDR]]*0.8</f>
        <v>128.87041813333335</v>
      </c>
      <c r="J742" s="10">
        <f>Tabla1[[#This Row],[Precio Lista CDR]]*0.7</f>
        <v>112.76161586666666</v>
      </c>
      <c r="K742" s="10">
        <f>Tabla1[[#This Row],[Precio Lista CDR]]*0.6</f>
        <v>96.652813599999988</v>
      </c>
      <c r="L742" s="12">
        <f>(Tabla1[[#This Row],[Precio Lista CDR]]-Tabla1[[#This Row],[PrecioFábrica]])/Tabla1[[#This Row],[Precio Lista CDR]]</f>
        <v>0.70844097600072342</v>
      </c>
      <c r="M742" s="12">
        <f>(Tabla1[[#This Row],[Lista 1 (20%)]]-Tabla1[[#This Row],[PrecioFábrica]])/Tabla1[[#This Row],[Lista 1 (20%)]]</f>
        <v>0.63555122000090436</v>
      </c>
      <c r="N742" s="12">
        <f>(Tabla1[[#This Row],[Lista 2 (30%)]]-Tabla1[[#This Row],[PrecioFábrica]])/Tabla1[[#This Row],[Lista 2 (30%)]]</f>
        <v>0.58348710857246211</v>
      </c>
      <c r="O742" s="12">
        <f>(Tabla1[[#This Row],[Lista 3 (40%)]]-Tabla1[[#This Row],[PrecioFábrica]])/Tabla1[[#This Row],[Lista 3 (40%)]]</f>
        <v>0.51406829333453907</v>
      </c>
    </row>
    <row r="743" spans="1:15">
      <c r="A743" t="s">
        <v>6</v>
      </c>
      <c r="B743" t="s">
        <v>752</v>
      </c>
      <c r="C743" t="s">
        <v>1554</v>
      </c>
      <c r="D743" t="s">
        <v>811</v>
      </c>
      <c r="E743" t="s">
        <v>5</v>
      </c>
      <c r="F743" s="3">
        <v>60.458333333333336</v>
      </c>
      <c r="G743" s="10">
        <f>VLOOKUP(Tabla1[[#This Row],[Código Unificador]],PRECIOS_COMPETENCIA!B:D,3,FALSE)</f>
        <v>209.34233333333299</v>
      </c>
      <c r="H743" s="10">
        <f>Tabla1[[#This Row],[PVP Competencia]]*0.98</f>
        <v>205.15548666666632</v>
      </c>
      <c r="I743" s="10">
        <f>Tabla1[[#This Row],[Precio Lista CDR]]*0.8</f>
        <v>164.12438933333306</v>
      </c>
      <c r="J743" s="10">
        <f>Tabla1[[#This Row],[Precio Lista CDR]]*0.7</f>
        <v>143.60884066666642</v>
      </c>
      <c r="K743" s="10">
        <f>Tabla1[[#This Row],[Precio Lista CDR]]*0.6</f>
        <v>123.09329199999979</v>
      </c>
      <c r="L743" s="12">
        <f>(Tabla1[[#This Row],[Precio Lista CDR]]-Tabla1[[#This Row],[PrecioFábrica]])/Tabla1[[#This Row],[Precio Lista CDR]]</f>
        <v>0.70530481872237138</v>
      </c>
      <c r="M743" s="12">
        <f>(Tabla1[[#This Row],[Lista 1 (20%)]]-Tabla1[[#This Row],[PrecioFábrica]])/Tabla1[[#This Row],[Lista 1 (20%)]]</f>
        <v>0.63163102340296429</v>
      </c>
      <c r="N743" s="12">
        <f>(Tabla1[[#This Row],[Lista 2 (30%)]]-Tabla1[[#This Row],[PrecioFábrica]])/Tabla1[[#This Row],[Lista 2 (30%)]]</f>
        <v>0.57900688388910204</v>
      </c>
      <c r="O743" s="12">
        <f>(Tabla1[[#This Row],[Lista 3 (40%)]]-Tabla1[[#This Row],[PrecioFábrica]])/Tabla1[[#This Row],[Lista 3 (40%)]]</f>
        <v>0.50884136453728579</v>
      </c>
    </row>
    <row r="744" spans="1:15">
      <c r="A744" t="s">
        <v>6</v>
      </c>
      <c r="B744" t="s">
        <v>753</v>
      </c>
      <c r="C744" t="s">
        <v>1555</v>
      </c>
      <c r="D744" t="s">
        <v>811</v>
      </c>
      <c r="E744" t="s">
        <v>5</v>
      </c>
      <c r="F744" s="3">
        <v>60.458333333333336</v>
      </c>
      <c r="G744" s="10">
        <f>VLOOKUP(Tabla1[[#This Row],[Código Unificador]],PRECIOS_COMPETENCIA!B:D,3,FALSE)</f>
        <v>175.83574999999999</v>
      </c>
      <c r="H744" s="10">
        <f>Tabla1[[#This Row],[PVP Competencia]]*0.98</f>
        <v>172.31903499999999</v>
      </c>
      <c r="I744" s="10">
        <f>Tabla1[[#This Row],[Precio Lista CDR]]*0.8</f>
        <v>137.85522799999998</v>
      </c>
      <c r="J744" s="10">
        <f>Tabla1[[#This Row],[Precio Lista CDR]]*0.7</f>
        <v>120.62332449999998</v>
      </c>
      <c r="K744" s="10">
        <f>Tabla1[[#This Row],[Precio Lista CDR]]*0.6</f>
        <v>103.39142099999999</v>
      </c>
      <c r="L744" s="12">
        <f>(Tabla1[[#This Row],[Precio Lista CDR]]-Tabla1[[#This Row],[PrecioFábrica]])/Tabla1[[#This Row],[Precio Lista CDR]]</f>
        <v>0.64914883992164096</v>
      </c>
      <c r="M744" s="12">
        <f>(Tabla1[[#This Row],[Lista 1 (20%)]]-Tabla1[[#This Row],[PrecioFábrica]])/Tabla1[[#This Row],[Lista 1 (20%)]]</f>
        <v>0.5614360499020512</v>
      </c>
      <c r="N744" s="12">
        <f>(Tabla1[[#This Row],[Lista 2 (30%)]]-Tabla1[[#This Row],[PrecioFábrica]])/Tabla1[[#This Row],[Lista 2 (30%)]]</f>
        <v>0.49878405703091572</v>
      </c>
      <c r="O744" s="12">
        <f>(Tabla1[[#This Row],[Lista 3 (40%)]]-Tabla1[[#This Row],[PrecioFábrica]])/Tabla1[[#This Row],[Lista 3 (40%)]]</f>
        <v>0.41524806653606844</v>
      </c>
    </row>
    <row r="745" spans="1:15">
      <c r="A745" t="s">
        <v>9</v>
      </c>
      <c r="B745" t="s">
        <v>754</v>
      </c>
      <c r="C745" t="s">
        <v>1556</v>
      </c>
      <c r="D745" t="s">
        <v>811</v>
      </c>
      <c r="E745" t="s">
        <v>5</v>
      </c>
      <c r="F745" s="3">
        <v>8.3750000000000018</v>
      </c>
      <c r="G745" s="10">
        <f>VLOOKUP(Tabla1[[#This Row],[Código Unificador]],PRECIOS_COMPETENCIA!B:D,3,FALSE)</f>
        <v>36.230500000000006</v>
      </c>
      <c r="H745" s="10">
        <f>Tabla1[[#This Row],[PVP Competencia]]*0.98</f>
        <v>35.505890000000008</v>
      </c>
      <c r="I745" s="10">
        <f>Tabla1[[#This Row],[Precio Lista CDR]]*0.8</f>
        <v>28.404712000000007</v>
      </c>
      <c r="J745" s="10">
        <f>Tabla1[[#This Row],[Precio Lista CDR]]*0.7</f>
        <v>24.854123000000005</v>
      </c>
      <c r="K745" s="10">
        <f>Tabla1[[#This Row],[Precio Lista CDR]]*0.6</f>
        <v>21.303534000000003</v>
      </c>
      <c r="L745" s="12">
        <f>(Tabla1[[#This Row],[Precio Lista CDR]]-Tabla1[[#This Row],[PrecioFábrica]])/Tabla1[[#This Row],[Precio Lista CDR]]</f>
        <v>0.76412364258437127</v>
      </c>
      <c r="M745" s="12">
        <f>(Tabla1[[#This Row],[Lista 1 (20%)]]-Tabla1[[#This Row],[PrecioFábrica]])/Tabla1[[#This Row],[Lista 1 (20%)]]</f>
        <v>0.70515455323046394</v>
      </c>
      <c r="N745" s="12">
        <f>(Tabla1[[#This Row],[Lista 2 (30%)]]-Tabla1[[#This Row],[PrecioFábrica]])/Tabla1[[#This Row],[Lista 2 (30%)]]</f>
        <v>0.66303377512053019</v>
      </c>
      <c r="O745" s="12">
        <f>(Tabla1[[#This Row],[Lista 3 (40%)]]-Tabla1[[#This Row],[PrecioFábrica]])/Tabla1[[#This Row],[Lista 3 (40%)]]</f>
        <v>0.60687273764061866</v>
      </c>
    </row>
    <row r="746" spans="1:15">
      <c r="A746" t="s">
        <v>9</v>
      </c>
      <c r="B746" t="s">
        <v>755</v>
      </c>
      <c r="C746" t="s">
        <v>1557</v>
      </c>
      <c r="D746" t="s">
        <v>811</v>
      </c>
      <c r="E746" t="s">
        <v>5</v>
      </c>
      <c r="F746" s="3">
        <v>10.291666666666666</v>
      </c>
      <c r="G746" s="10">
        <f>VLOOKUP(Tabla1[[#This Row],[Código Unificador]],PRECIOS_COMPETENCIA!B:D,3,FALSE)</f>
        <v>40.442750000000004</v>
      </c>
      <c r="H746" s="10">
        <f>Tabla1[[#This Row],[PVP Competencia]]*0.98</f>
        <v>39.633895000000003</v>
      </c>
      <c r="I746" s="10">
        <f>Tabla1[[#This Row],[Precio Lista CDR]]*0.8</f>
        <v>31.707116000000003</v>
      </c>
      <c r="J746" s="10">
        <f>Tabla1[[#This Row],[Precio Lista CDR]]*0.7</f>
        <v>27.743726500000001</v>
      </c>
      <c r="K746" s="10">
        <f>Tabla1[[#This Row],[Precio Lista CDR]]*0.6</f>
        <v>23.780336999999999</v>
      </c>
      <c r="L746" s="12">
        <f>(Tabla1[[#This Row],[Precio Lista CDR]]-Tabla1[[#This Row],[PrecioFábrica]])/Tabla1[[#This Row],[Precio Lista CDR]]</f>
        <v>0.74033168663673699</v>
      </c>
      <c r="M746" s="12">
        <f>(Tabla1[[#This Row],[Lista 1 (20%)]]-Tabla1[[#This Row],[PrecioFábrica]])/Tabla1[[#This Row],[Lista 1 (20%)]]</f>
        <v>0.67541460829592115</v>
      </c>
      <c r="N746" s="12">
        <f>(Tabla1[[#This Row],[Lista 2 (30%)]]-Tabla1[[#This Row],[PrecioFábrica]])/Tabla1[[#This Row],[Lista 2 (30%)]]</f>
        <v>0.62904526662390992</v>
      </c>
      <c r="O746" s="12">
        <f>(Tabla1[[#This Row],[Lista 3 (40%)]]-Tabla1[[#This Row],[PrecioFábrica]])/Tabla1[[#This Row],[Lista 3 (40%)]]</f>
        <v>0.56721947772789483</v>
      </c>
    </row>
    <row r="747" spans="1:15">
      <c r="A747" t="s">
        <v>9</v>
      </c>
      <c r="B747" t="s">
        <v>756</v>
      </c>
      <c r="C747" t="s">
        <v>1558</v>
      </c>
      <c r="D747" t="s">
        <v>811</v>
      </c>
      <c r="E747" t="s">
        <v>5</v>
      </c>
      <c r="F747" s="3">
        <v>10.5</v>
      </c>
      <c r="G747" s="10">
        <f>VLOOKUP(Tabla1[[#This Row],[Código Unificador]],PRECIOS_COMPETENCIA!B:D,3,FALSE)</f>
        <v>41.667999999999999</v>
      </c>
      <c r="H747" s="10">
        <f>Tabla1[[#This Row],[PVP Competencia]]*0.98</f>
        <v>40.83464</v>
      </c>
      <c r="I747" s="10">
        <f>Tabla1[[#This Row],[Precio Lista CDR]]*0.8</f>
        <v>32.667712000000002</v>
      </c>
      <c r="J747" s="10">
        <f>Tabla1[[#This Row],[Precio Lista CDR]]*0.7</f>
        <v>28.584247999999999</v>
      </c>
      <c r="K747" s="10">
        <f>Tabla1[[#This Row],[Precio Lista CDR]]*0.6</f>
        <v>24.500783999999999</v>
      </c>
      <c r="L747" s="12">
        <f>(Tabla1[[#This Row],[Precio Lista CDR]]-Tabla1[[#This Row],[PrecioFábrica]])/Tabla1[[#This Row],[Precio Lista CDR]]</f>
        <v>0.74286537116526552</v>
      </c>
      <c r="M747" s="12">
        <f>(Tabla1[[#This Row],[Lista 1 (20%)]]-Tabla1[[#This Row],[PrecioFábrica]])/Tabla1[[#This Row],[Lista 1 (20%)]]</f>
        <v>0.67858171395658196</v>
      </c>
      <c r="N747" s="12">
        <f>(Tabla1[[#This Row],[Lista 2 (30%)]]-Tabla1[[#This Row],[PrecioFábrica]])/Tabla1[[#This Row],[Lista 2 (30%)]]</f>
        <v>0.63266481595037938</v>
      </c>
      <c r="O747" s="12">
        <f>(Tabla1[[#This Row],[Lista 3 (40%)]]-Tabla1[[#This Row],[PrecioFábrica]])/Tabla1[[#This Row],[Lista 3 (40%)]]</f>
        <v>0.57144228527544261</v>
      </c>
    </row>
    <row r="748" spans="1:15">
      <c r="A748" t="s">
        <v>9</v>
      </c>
      <c r="B748" t="s">
        <v>757</v>
      </c>
      <c r="C748" t="s">
        <v>1559</v>
      </c>
      <c r="D748" t="s">
        <v>811</v>
      </c>
      <c r="E748" t="s">
        <v>5</v>
      </c>
      <c r="F748" s="3">
        <v>13.633333333333333</v>
      </c>
      <c r="G748" s="10">
        <f>VLOOKUP(Tabla1[[#This Row],[Código Unificador]],PRECIOS_COMPETENCIA!B:D,3,FALSE)</f>
        <v>50.327399999999997</v>
      </c>
      <c r="H748" s="10">
        <f>Tabla1[[#This Row],[PVP Competencia]]*0.98</f>
        <v>49.320851999999995</v>
      </c>
      <c r="I748" s="10">
        <f>Tabla1[[#This Row],[Precio Lista CDR]]*0.8</f>
        <v>39.456681599999996</v>
      </c>
      <c r="J748" s="10">
        <f>Tabla1[[#This Row],[Precio Lista CDR]]*0.7</f>
        <v>34.524596399999993</v>
      </c>
      <c r="K748" s="10">
        <f>Tabla1[[#This Row],[Precio Lista CDR]]*0.6</f>
        <v>29.592511199999997</v>
      </c>
      <c r="L748" s="12">
        <f>(Tabla1[[#This Row],[Precio Lista CDR]]-Tabla1[[#This Row],[PrecioFábrica]])/Tabla1[[#This Row],[Precio Lista CDR]]</f>
        <v>0.72357871406330665</v>
      </c>
      <c r="M748" s="12">
        <f>(Tabla1[[#This Row],[Lista 1 (20%)]]-Tabla1[[#This Row],[PrecioFábrica]])/Tabla1[[#This Row],[Lista 1 (20%)]]</f>
        <v>0.65447339257913328</v>
      </c>
      <c r="N748" s="12">
        <f>(Tabla1[[#This Row],[Lista 2 (30%)]]-Tabla1[[#This Row],[PrecioFábrica]])/Tabla1[[#This Row],[Lista 2 (30%)]]</f>
        <v>0.60511244866186664</v>
      </c>
      <c r="O748" s="12">
        <f>(Tabla1[[#This Row],[Lista 3 (40%)]]-Tabla1[[#This Row],[PrecioFábrica]])/Tabla1[[#This Row],[Lista 3 (40%)]]</f>
        <v>0.53929785677217779</v>
      </c>
    </row>
    <row r="749" spans="1:15">
      <c r="A749" t="s">
        <v>6</v>
      </c>
      <c r="B749" t="s">
        <v>758</v>
      </c>
      <c r="C749" t="s">
        <v>1560</v>
      </c>
      <c r="D749" t="s">
        <v>811</v>
      </c>
      <c r="E749" t="s">
        <v>5</v>
      </c>
      <c r="F749" s="10">
        <v>73.17</v>
      </c>
      <c r="G749" s="10">
        <f>VLOOKUP(Tabla1[[#This Row],[Código Unificador]],PRECIOS_COMPETENCIA!B:D,3,FALSE)</f>
        <v>136.42699999999999</v>
      </c>
      <c r="H749" s="10">
        <f>Tabla1[[#This Row],[PVP Competencia]]*0.98</f>
        <v>133.69845999999998</v>
      </c>
      <c r="I749" s="10">
        <f>Tabla1[[#This Row],[Precio Lista CDR]]*0.8</f>
        <v>106.95876799999999</v>
      </c>
      <c r="J749" s="10">
        <f>Tabla1[[#This Row],[Precio Lista CDR]]*0.7</f>
        <v>93.588921999999982</v>
      </c>
      <c r="K749" s="10">
        <f>Tabla1[[#This Row],[Precio Lista CDR]]*0.6</f>
        <v>80.219075999999987</v>
      </c>
      <c r="L749" s="12">
        <f>(Tabla1[[#This Row],[Precio Lista CDR]]-Tabla1[[#This Row],[PrecioFábrica]])/Tabla1[[#This Row],[Precio Lista CDR]]</f>
        <v>0.4527236888143662</v>
      </c>
      <c r="M749" s="12">
        <f>(Tabla1[[#This Row],[Lista 1 (20%)]]-Tabla1[[#This Row],[PrecioFábrica]])/Tabla1[[#This Row],[Lista 1 (20%)]]</f>
        <v>0.3159046110179578</v>
      </c>
      <c r="N749" s="12">
        <f>(Tabla1[[#This Row],[Lista 2 (30%)]]-Tabla1[[#This Row],[PrecioFábrica]])/Tabla1[[#This Row],[Lista 2 (30%)]]</f>
        <v>0.2181766983062374</v>
      </c>
      <c r="O749" s="12">
        <f>(Tabla1[[#This Row],[Lista 3 (40%)]]-Tabla1[[#This Row],[PrecioFábrica]])/Tabla1[[#This Row],[Lista 3 (40%)]]</f>
        <v>8.7872814690610326E-2</v>
      </c>
    </row>
    <row r="750" spans="1:15">
      <c r="A750" t="s">
        <v>6</v>
      </c>
      <c r="B750" t="s">
        <v>759</v>
      </c>
      <c r="C750" t="s">
        <v>1561</v>
      </c>
      <c r="D750" t="s">
        <v>811</v>
      </c>
      <c r="E750" t="s">
        <v>5</v>
      </c>
      <c r="F750" s="3">
        <v>10.45</v>
      </c>
      <c r="G750" s="10">
        <f>VLOOKUP(Tabla1[[#This Row],[Código Unificador]],PRECIOS_COMPETENCIA!B:D,3,FALSE)</f>
        <v>40.911100000000005</v>
      </c>
      <c r="H750" s="10">
        <f>Tabla1[[#This Row],[PVP Competencia]]*0.98</f>
        <v>40.092878000000006</v>
      </c>
      <c r="I750" s="10">
        <f>Tabla1[[#This Row],[Precio Lista CDR]]*0.8</f>
        <v>32.074302400000008</v>
      </c>
      <c r="J750" s="10">
        <f>Tabla1[[#This Row],[Precio Lista CDR]]*0.7</f>
        <v>28.065014600000001</v>
      </c>
      <c r="K750" s="10">
        <f>Tabla1[[#This Row],[Precio Lista CDR]]*0.6</f>
        <v>24.055726800000002</v>
      </c>
      <c r="L750" s="12">
        <f>(Tabla1[[#This Row],[Precio Lista CDR]]-Tabla1[[#This Row],[PrecioFábrica]])/Tabla1[[#This Row],[Precio Lista CDR]]</f>
        <v>0.73935520418364586</v>
      </c>
      <c r="M750" s="12">
        <f>(Tabla1[[#This Row],[Lista 1 (20%)]]-Tabla1[[#This Row],[PrecioFábrica]])/Tabla1[[#This Row],[Lista 1 (20%)]]</f>
        <v>0.6741940052295573</v>
      </c>
      <c r="N750" s="12">
        <f>(Tabla1[[#This Row],[Lista 2 (30%)]]-Tabla1[[#This Row],[PrecioFábrica]])/Tabla1[[#This Row],[Lista 2 (30%)]]</f>
        <v>0.62765029169092257</v>
      </c>
      <c r="O750" s="12">
        <f>(Tabla1[[#This Row],[Lista 3 (40%)]]-Tabla1[[#This Row],[PrecioFábrica]])/Tabla1[[#This Row],[Lista 3 (40%)]]</f>
        <v>0.56559200697274303</v>
      </c>
    </row>
    <row r="751" spans="1:15">
      <c r="A751" t="s">
        <v>6</v>
      </c>
      <c r="B751" t="s">
        <v>760</v>
      </c>
      <c r="C751" t="s">
        <v>1562</v>
      </c>
      <c r="D751" t="s">
        <v>811</v>
      </c>
      <c r="E751" t="s">
        <v>5</v>
      </c>
      <c r="F751" s="3">
        <v>14.341666666666669</v>
      </c>
      <c r="G751" s="10">
        <f>VLOOKUP(Tabla1[[#This Row],[Código Unificador]],PRECIOS_COMPETENCIA!B:D,3,FALSE)</f>
        <v>52.422650000000004</v>
      </c>
      <c r="H751" s="10">
        <f>Tabla1[[#This Row],[PVP Competencia]]*0.98</f>
        <v>51.374197000000002</v>
      </c>
      <c r="I751" s="10">
        <f>Tabla1[[#This Row],[Precio Lista CDR]]*0.8</f>
        <v>41.099357600000005</v>
      </c>
      <c r="J751" s="10">
        <f>Tabla1[[#This Row],[Precio Lista CDR]]*0.7</f>
        <v>35.961937900000002</v>
      </c>
      <c r="K751" s="10">
        <f>Tabla1[[#This Row],[Precio Lista CDR]]*0.6</f>
        <v>30.8245182</v>
      </c>
      <c r="L751" s="12">
        <f>(Tabla1[[#This Row],[Precio Lista CDR]]-Tabla1[[#This Row],[PrecioFábrica]])/Tabla1[[#This Row],[Precio Lista CDR]]</f>
        <v>0.72083910787614514</v>
      </c>
      <c r="M751" s="12">
        <f>(Tabla1[[#This Row],[Lista 1 (20%)]]-Tabla1[[#This Row],[PrecioFábrica]])/Tabla1[[#This Row],[Lista 1 (20%)]]</f>
        <v>0.65104888484518142</v>
      </c>
      <c r="N751" s="12">
        <f>(Tabla1[[#This Row],[Lista 2 (30%)]]-Tabla1[[#This Row],[PrecioFábrica]])/Tabla1[[#This Row],[Lista 2 (30%)]]</f>
        <v>0.60119872553735021</v>
      </c>
      <c r="O751" s="12">
        <f>(Tabla1[[#This Row],[Lista 3 (40%)]]-Tabla1[[#This Row],[PrecioFábrica]])/Tabla1[[#This Row],[Lista 3 (40%)]]</f>
        <v>0.53473184646024186</v>
      </c>
    </row>
    <row r="752" spans="1:15">
      <c r="A752" t="s">
        <v>6</v>
      </c>
      <c r="B752" t="s">
        <v>761</v>
      </c>
      <c r="C752" t="s">
        <v>1563</v>
      </c>
      <c r="D752" t="s">
        <v>811</v>
      </c>
      <c r="E752" t="s">
        <v>5</v>
      </c>
      <c r="F752" s="10">
        <v>80.25</v>
      </c>
      <c r="G752" s="10">
        <f>VLOOKUP(Tabla1[[#This Row],[Código Unificador]],PRECIOS_COMPETENCIA!B:D,3,FALSE)</f>
        <v>164.36125000000001</v>
      </c>
      <c r="H752" s="10">
        <f>Tabla1[[#This Row],[PVP Competencia]]*0.98</f>
        <v>161.07402500000001</v>
      </c>
      <c r="I752" s="10">
        <f>Tabla1[[#This Row],[Precio Lista CDR]]*0.8</f>
        <v>128.85922000000002</v>
      </c>
      <c r="J752" s="10">
        <f>Tabla1[[#This Row],[Precio Lista CDR]]*0.7</f>
        <v>112.7518175</v>
      </c>
      <c r="K752" s="10">
        <f>Tabla1[[#This Row],[Precio Lista CDR]]*0.6</f>
        <v>96.644414999999995</v>
      </c>
      <c r="L752" s="12">
        <f>(Tabla1[[#This Row],[Precio Lista CDR]]-Tabla1[[#This Row],[PrecioFábrica]])/Tabla1[[#This Row],[Precio Lista CDR]]</f>
        <v>0.5017818670639167</v>
      </c>
      <c r="M752" s="12">
        <f>(Tabla1[[#This Row],[Lista 1 (20%)]]-Tabla1[[#This Row],[PrecioFábrica]])/Tabla1[[#This Row],[Lista 1 (20%)]]</f>
        <v>0.37722733382989604</v>
      </c>
      <c r="N752" s="12">
        <f>(Tabla1[[#This Row],[Lista 2 (30%)]]-Tabla1[[#This Row],[PrecioFábrica]])/Tabla1[[#This Row],[Lista 2 (30%)]]</f>
        <v>0.28825981009130963</v>
      </c>
      <c r="O752" s="12">
        <f>(Tabla1[[#This Row],[Lista 3 (40%)]]-Tabla1[[#This Row],[PrecioFábrica]])/Tabla1[[#This Row],[Lista 3 (40%)]]</f>
        <v>0.16963644510652784</v>
      </c>
    </row>
    <row r="753" spans="1:15">
      <c r="A753" t="s">
        <v>6</v>
      </c>
      <c r="B753" t="s">
        <v>762</v>
      </c>
      <c r="C753" t="s">
        <v>1564</v>
      </c>
      <c r="D753" t="s">
        <v>811</v>
      </c>
      <c r="E753" t="s">
        <v>5</v>
      </c>
      <c r="F753" s="10">
        <v>80.290000000000006</v>
      </c>
      <c r="G753" s="10">
        <f>VLOOKUP(Tabla1[[#This Row],[Código Unificador]],PRECIOS_COMPETENCIA!B:D,3,FALSE)</f>
        <v>169.145041666667</v>
      </c>
      <c r="H753" s="10">
        <f>Tabla1[[#This Row],[PVP Competencia]]*0.98</f>
        <v>165.76214083333366</v>
      </c>
      <c r="I753" s="10">
        <f>Tabla1[[#This Row],[Precio Lista CDR]]*0.8</f>
        <v>132.60971266666692</v>
      </c>
      <c r="J753" s="10">
        <f>Tabla1[[#This Row],[Precio Lista CDR]]*0.7</f>
        <v>116.03349858333355</v>
      </c>
      <c r="K753" s="10">
        <f>Tabla1[[#This Row],[Precio Lista CDR]]*0.6</f>
        <v>99.457284500000199</v>
      </c>
      <c r="L753" s="12">
        <f>(Tabla1[[#This Row],[Precio Lista CDR]]-Tabla1[[#This Row],[PrecioFábrica]])/Tabla1[[#This Row],[Precio Lista CDR]]</f>
        <v>0.51563125574778879</v>
      </c>
      <c r="M753" s="12">
        <f>(Tabla1[[#This Row],[Lista 1 (20%)]]-Tabla1[[#This Row],[PrecioFábrica]])/Tabla1[[#This Row],[Lista 1 (20%)]]</f>
        <v>0.39453906968473595</v>
      </c>
      <c r="N753" s="12">
        <f>(Tabla1[[#This Row],[Lista 2 (30%)]]-Tabla1[[#This Row],[PrecioFábrica]])/Tabla1[[#This Row],[Lista 2 (30%)]]</f>
        <v>0.30804465106826967</v>
      </c>
      <c r="O753" s="12">
        <f>(Tabla1[[#This Row],[Lista 3 (40%)]]-Tabla1[[#This Row],[PrecioFábrica]])/Tabla1[[#This Row],[Lista 3 (40%)]]</f>
        <v>0.19271875957964804</v>
      </c>
    </row>
    <row r="754" spans="1:15">
      <c r="A754" t="s">
        <v>6</v>
      </c>
      <c r="B754" t="s">
        <v>763</v>
      </c>
      <c r="C754" t="s">
        <v>1565</v>
      </c>
      <c r="D754" t="s">
        <v>811</v>
      </c>
      <c r="E754" t="s">
        <v>5</v>
      </c>
      <c r="F754" s="3">
        <v>37.916666666666671</v>
      </c>
      <c r="G754" s="10">
        <f>VLOOKUP(Tabla1[[#This Row],[Código Unificador]],PRECIOS_COMPETENCIA!B:D,3,FALSE)</f>
        <v>136.55583333333337</v>
      </c>
      <c r="H754" s="10">
        <f>Tabla1[[#This Row],[PVP Competencia]]*0.98</f>
        <v>133.82471666666669</v>
      </c>
      <c r="I754" s="10">
        <f>Tabla1[[#This Row],[Precio Lista CDR]]*0.8</f>
        <v>107.05977333333335</v>
      </c>
      <c r="J754" s="10">
        <f>Tabla1[[#This Row],[Precio Lista CDR]]*0.7</f>
        <v>93.677301666666679</v>
      </c>
      <c r="K754" s="10">
        <f>Tabla1[[#This Row],[Precio Lista CDR]]*0.6</f>
        <v>80.294830000000005</v>
      </c>
      <c r="L754" s="12">
        <f>(Tabla1[[#This Row],[Precio Lista CDR]]-Tabla1[[#This Row],[PrecioFábrica]])/Tabla1[[#This Row],[Precio Lista CDR]]</f>
        <v>0.71666918031957971</v>
      </c>
      <c r="M754" s="12">
        <f>(Tabla1[[#This Row],[Lista 1 (20%)]]-Tabla1[[#This Row],[PrecioFábrica]])/Tabla1[[#This Row],[Lista 1 (20%)]]</f>
        <v>0.64583647539947464</v>
      </c>
      <c r="N754" s="12">
        <f>(Tabla1[[#This Row],[Lista 2 (30%)]]-Tabla1[[#This Row],[PrecioFábrica]])/Tabla1[[#This Row],[Lista 2 (30%)]]</f>
        <v>0.59524168617082818</v>
      </c>
      <c r="O754" s="12">
        <f>(Tabla1[[#This Row],[Lista 3 (40%)]]-Tabla1[[#This Row],[PrecioFábrica]])/Tabla1[[#This Row],[Lista 3 (40%)]]</f>
        <v>0.52778196719929948</v>
      </c>
    </row>
    <row r="755" spans="1:15">
      <c r="A755" t="s">
        <v>9</v>
      </c>
      <c r="B755" t="s">
        <v>764</v>
      </c>
      <c r="C755" t="s">
        <v>1566</v>
      </c>
      <c r="D755" t="s">
        <v>811</v>
      </c>
      <c r="E755" t="s">
        <v>5</v>
      </c>
      <c r="F755" s="3">
        <v>11.708333333333334</v>
      </c>
      <c r="G755" s="10">
        <f>VLOOKUP(Tabla1[[#This Row],[Código Unificador]],PRECIOS_COMPETENCIA!B:D,3,FALSE)</f>
        <v>44.972791666666666</v>
      </c>
      <c r="H755" s="10">
        <f>Tabla1[[#This Row],[PVP Competencia]]*0.98</f>
        <v>44.073335833333331</v>
      </c>
      <c r="I755" s="10">
        <f>Tabla1[[#This Row],[Precio Lista CDR]]*0.8</f>
        <v>35.258668666666665</v>
      </c>
      <c r="J755" s="10">
        <f>Tabla1[[#This Row],[Precio Lista CDR]]*0.7</f>
        <v>30.851335083333328</v>
      </c>
      <c r="K755" s="10">
        <f>Tabla1[[#This Row],[Precio Lista CDR]]*0.6</f>
        <v>26.444001499999999</v>
      </c>
      <c r="L755" s="12">
        <f>(Tabla1[[#This Row],[Precio Lista CDR]]-Tabla1[[#This Row],[PrecioFábrica]])/Tabla1[[#This Row],[Precio Lista CDR]]</f>
        <v>0.73434428976265176</v>
      </c>
      <c r="M755" s="12">
        <f>(Tabla1[[#This Row],[Lista 1 (20%)]]-Tabla1[[#This Row],[PrecioFábrica]])/Tabla1[[#This Row],[Lista 1 (20%)]]</f>
        <v>0.6679303622033147</v>
      </c>
      <c r="N755" s="12">
        <f>(Tabla1[[#This Row],[Lista 2 (30%)]]-Tabla1[[#This Row],[PrecioFábrica]])/Tabla1[[#This Row],[Lista 2 (30%)]]</f>
        <v>0.62049184251807399</v>
      </c>
      <c r="O755" s="12">
        <f>(Tabla1[[#This Row],[Lista 3 (40%)]]-Tabla1[[#This Row],[PrecioFábrica]])/Tabla1[[#This Row],[Lista 3 (40%)]]</f>
        <v>0.55724048293775308</v>
      </c>
    </row>
    <row r="756" spans="1:15">
      <c r="A756" t="s">
        <v>9</v>
      </c>
      <c r="B756" t="s">
        <v>765</v>
      </c>
      <c r="C756" t="s">
        <v>1567</v>
      </c>
      <c r="D756" t="s">
        <v>811</v>
      </c>
      <c r="E756" t="s">
        <v>5</v>
      </c>
      <c r="F756" s="3">
        <v>17.208333333333332</v>
      </c>
      <c r="G756" s="10">
        <f>VLOOKUP(Tabla1[[#This Row],[Código Unificador]],PRECIOS_COMPETENCIA!B:D,3,FALSE)</f>
        <v>63.397458333333333</v>
      </c>
      <c r="H756" s="10">
        <f>Tabla1[[#This Row],[PVP Competencia]]*0.98</f>
        <v>62.129509166666665</v>
      </c>
      <c r="I756" s="10">
        <f>Tabla1[[#This Row],[Precio Lista CDR]]*0.8</f>
        <v>49.703607333333338</v>
      </c>
      <c r="J756" s="10">
        <f>Tabla1[[#This Row],[Precio Lista CDR]]*0.7</f>
        <v>43.49065641666666</v>
      </c>
      <c r="K756" s="10">
        <f>Tabla1[[#This Row],[Precio Lista CDR]]*0.6</f>
        <v>37.277705499999996</v>
      </c>
      <c r="L756" s="12">
        <f>(Tabla1[[#This Row],[Precio Lista CDR]]-Tabla1[[#This Row],[PrecioFábrica]])/Tabla1[[#This Row],[Precio Lista CDR]]</f>
        <v>0.72302479829398303</v>
      </c>
      <c r="M756" s="12">
        <f>(Tabla1[[#This Row],[Lista 1 (20%)]]-Tabla1[[#This Row],[PrecioFábrica]])/Tabla1[[#This Row],[Lista 1 (20%)]]</f>
        <v>0.6537809978674789</v>
      </c>
      <c r="N756" s="12">
        <f>(Tabla1[[#This Row],[Lista 2 (30%)]]-Tabla1[[#This Row],[PrecioFábrica]])/Tabla1[[#This Row],[Lista 2 (30%)]]</f>
        <v>0.60432114041997564</v>
      </c>
      <c r="O756" s="12">
        <f>(Tabla1[[#This Row],[Lista 3 (40%)]]-Tabla1[[#This Row],[PrecioFábrica]])/Tabla1[[#This Row],[Lista 3 (40%)]]</f>
        <v>0.5383746638233049</v>
      </c>
    </row>
    <row r="757" spans="1:15">
      <c r="A757" t="s">
        <v>6</v>
      </c>
      <c r="B757" t="s">
        <v>766</v>
      </c>
      <c r="C757" t="s">
        <v>1568</v>
      </c>
      <c r="D757" t="s">
        <v>811</v>
      </c>
      <c r="E757" t="s">
        <v>5</v>
      </c>
      <c r="F757" s="3">
        <v>11.333333333333334</v>
      </c>
      <c r="G757" s="10">
        <f>VLOOKUP(Tabla1[[#This Row],[Código Unificador]],PRECIOS_COMPETENCIA!B:D,3,FALSE)</f>
        <v>43.852666666666678</v>
      </c>
      <c r="H757" s="10">
        <f>Tabla1[[#This Row],[PVP Competencia]]*0.98</f>
        <v>42.975613333333342</v>
      </c>
      <c r="I757" s="10">
        <f>Tabla1[[#This Row],[Precio Lista CDR]]*0.8</f>
        <v>34.380490666666674</v>
      </c>
      <c r="J757" s="10">
        <f>Tabla1[[#This Row],[Precio Lista CDR]]*0.7</f>
        <v>30.082929333333336</v>
      </c>
      <c r="K757" s="10">
        <f>Tabla1[[#This Row],[Precio Lista CDR]]*0.6</f>
        <v>25.785368000000005</v>
      </c>
      <c r="L757" s="12">
        <f>(Tabla1[[#This Row],[Precio Lista CDR]]-Tabla1[[#This Row],[PrecioFábrica]])/Tabla1[[#This Row],[Precio Lista CDR]]</f>
        <v>0.73628454711214519</v>
      </c>
      <c r="M757" s="12">
        <f>(Tabla1[[#This Row],[Lista 1 (20%)]]-Tabla1[[#This Row],[PrecioFábrica]])/Tabla1[[#This Row],[Lista 1 (20%)]]</f>
        <v>0.67035568389018141</v>
      </c>
      <c r="N757" s="12">
        <f>(Tabla1[[#This Row],[Lista 2 (30%)]]-Tabla1[[#This Row],[PrecioFábrica]])/Tabla1[[#This Row],[Lista 2 (30%)]]</f>
        <v>0.62326363873163604</v>
      </c>
      <c r="O757" s="12">
        <f>(Tabla1[[#This Row],[Lista 3 (40%)]]-Tabla1[[#This Row],[PrecioFábrica]])/Tabla1[[#This Row],[Lista 3 (40%)]]</f>
        <v>0.56047424518690869</v>
      </c>
    </row>
    <row r="758" spans="1:15">
      <c r="A758" t="s">
        <v>6</v>
      </c>
      <c r="B758" t="s">
        <v>767</v>
      </c>
      <c r="C758" t="s">
        <v>1569</v>
      </c>
      <c r="D758" t="s">
        <v>811</v>
      </c>
      <c r="E758" t="s">
        <v>5</v>
      </c>
      <c r="F758" s="3">
        <v>23.833333333333336</v>
      </c>
      <c r="G758" s="10">
        <f>VLOOKUP(Tabla1[[#This Row],[Código Unificador]],PRECIOS_COMPETENCIA!B:D,3,FALSE)</f>
        <v>83.26366666666668</v>
      </c>
      <c r="H758" s="10">
        <f>Tabla1[[#This Row],[PVP Competencia]]*0.98</f>
        <v>81.598393333333348</v>
      </c>
      <c r="I758" s="10">
        <f>Tabla1[[#This Row],[Precio Lista CDR]]*0.8</f>
        <v>65.278714666666687</v>
      </c>
      <c r="J758" s="10">
        <f>Tabla1[[#This Row],[Precio Lista CDR]]*0.7</f>
        <v>57.118875333333342</v>
      </c>
      <c r="K758" s="10">
        <f>Tabla1[[#This Row],[Precio Lista CDR]]*0.6</f>
        <v>48.959036000000005</v>
      </c>
      <c r="L758" s="12">
        <f>(Tabla1[[#This Row],[Precio Lista CDR]]-Tabla1[[#This Row],[PrecioFábrica]])/Tabla1[[#This Row],[Precio Lista CDR]]</f>
        <v>0.70791908566173567</v>
      </c>
      <c r="M758" s="12">
        <f>(Tabla1[[#This Row],[Lista 1 (20%)]]-Tabla1[[#This Row],[PrecioFábrica]])/Tabla1[[#This Row],[Lista 1 (20%)]]</f>
        <v>0.63489885707716964</v>
      </c>
      <c r="N758" s="12">
        <f>(Tabla1[[#This Row],[Lista 2 (30%)]]-Tabla1[[#This Row],[PrecioFábrica]])/Tabla1[[#This Row],[Lista 2 (30%)]]</f>
        <v>0.58274155094533664</v>
      </c>
      <c r="O758" s="12">
        <f>(Tabla1[[#This Row],[Lista 3 (40%)]]-Tabla1[[#This Row],[PrecioFábrica]])/Tabla1[[#This Row],[Lista 3 (40%)]]</f>
        <v>0.51319847610289282</v>
      </c>
    </row>
    <row r="759" spans="1:15">
      <c r="A759" t="s">
        <v>6</v>
      </c>
      <c r="B759" t="s">
        <v>768</v>
      </c>
      <c r="C759" t="s">
        <v>1570</v>
      </c>
      <c r="D759" t="s">
        <v>811</v>
      </c>
      <c r="E759" t="s">
        <v>5</v>
      </c>
      <c r="F759" s="3">
        <v>24.075000000000003</v>
      </c>
      <c r="G759" s="10">
        <f>VLOOKUP(Tabla1[[#This Row],[Código Unificador]],PRECIOS_COMPETENCIA!B:D,3,FALSE)</f>
        <v>91.213849999999994</v>
      </c>
      <c r="H759" s="10">
        <f>Tabla1[[#This Row],[PVP Competencia]]*0.98</f>
        <v>89.389572999999999</v>
      </c>
      <c r="I759" s="10">
        <f>Tabla1[[#This Row],[Precio Lista CDR]]*0.8</f>
        <v>71.511658400000002</v>
      </c>
      <c r="J759" s="10">
        <f>Tabla1[[#This Row],[Precio Lista CDR]]*0.7</f>
        <v>62.572701099999996</v>
      </c>
      <c r="K759" s="10">
        <f>Tabla1[[#This Row],[Precio Lista CDR]]*0.6</f>
        <v>53.633743799999998</v>
      </c>
      <c r="L759" s="12">
        <f>(Tabla1[[#This Row],[Precio Lista CDR]]-Tabla1[[#This Row],[PrecioFábrica]])/Tabla1[[#This Row],[Precio Lista CDR]]</f>
        <v>0.73067328557437006</v>
      </c>
      <c r="M759" s="12">
        <f>(Tabla1[[#This Row],[Lista 1 (20%)]]-Tabla1[[#This Row],[PrecioFábrica]])/Tabla1[[#This Row],[Lista 1 (20%)]]</f>
        <v>0.66334160696796252</v>
      </c>
      <c r="N759" s="12">
        <f>(Tabla1[[#This Row],[Lista 2 (30%)]]-Tabla1[[#This Row],[PrecioFábrica]])/Tabla1[[#This Row],[Lista 2 (30%)]]</f>
        <v>0.61524755082052862</v>
      </c>
      <c r="O759" s="12">
        <f>(Tabla1[[#This Row],[Lista 3 (40%)]]-Tabla1[[#This Row],[PrecioFábrica]])/Tabla1[[#This Row],[Lista 3 (40%)]]</f>
        <v>0.55112214262394998</v>
      </c>
    </row>
    <row r="760" spans="1:15">
      <c r="A760" t="s">
        <v>6</v>
      </c>
      <c r="B760" t="s">
        <v>769</v>
      </c>
      <c r="C760" t="s">
        <v>1571</v>
      </c>
      <c r="D760" t="s">
        <v>811</v>
      </c>
      <c r="E760" t="s">
        <v>5</v>
      </c>
      <c r="F760" s="3">
        <v>64.475000000000009</v>
      </c>
      <c r="G760" s="10">
        <f>VLOOKUP(Tabla1[[#This Row],[Código Unificador]],PRECIOS_COMPETENCIA!B:D,3,FALSE)</f>
        <v>190.586825</v>
      </c>
      <c r="H760" s="10">
        <f>Tabla1[[#This Row],[PVP Competencia]]*0.98</f>
        <v>186.77508850000001</v>
      </c>
      <c r="I760" s="10">
        <f>Tabla1[[#This Row],[Precio Lista CDR]]*0.8</f>
        <v>149.42007080000002</v>
      </c>
      <c r="J760" s="10">
        <f>Tabla1[[#This Row],[Precio Lista CDR]]*0.7</f>
        <v>130.74256195000001</v>
      </c>
      <c r="K760" s="10">
        <f>Tabla1[[#This Row],[Precio Lista CDR]]*0.6</f>
        <v>112.0650531</v>
      </c>
      <c r="L760" s="12">
        <f>(Tabla1[[#This Row],[Precio Lista CDR]]-Tabla1[[#This Row],[PrecioFábrica]])/Tabla1[[#This Row],[Precio Lista CDR]]</f>
        <v>0.65479871797785283</v>
      </c>
      <c r="M760" s="12">
        <f>(Tabla1[[#This Row],[Lista 1 (20%)]]-Tabla1[[#This Row],[PrecioFábrica]])/Tabla1[[#This Row],[Lista 1 (20%)]]</f>
        <v>0.56849839747231601</v>
      </c>
      <c r="N760" s="12">
        <f>(Tabla1[[#This Row],[Lista 2 (30%)]]-Tabla1[[#This Row],[PrecioFábrica]])/Tabla1[[#This Row],[Lista 2 (30%)]]</f>
        <v>0.50685531139693252</v>
      </c>
      <c r="O760" s="12">
        <f>(Tabla1[[#This Row],[Lista 3 (40%)]]-Tabla1[[#This Row],[PrecioFábrica]])/Tabla1[[#This Row],[Lista 3 (40%)]]</f>
        <v>0.42466452996308796</v>
      </c>
    </row>
    <row r="761" spans="1:15">
      <c r="A761" t="s">
        <v>9</v>
      </c>
      <c r="B761" t="s">
        <v>770</v>
      </c>
      <c r="C761" t="s">
        <v>1572</v>
      </c>
      <c r="D761" t="s">
        <v>811</v>
      </c>
      <c r="E761" t="s">
        <v>5</v>
      </c>
      <c r="F761" s="3">
        <v>24.81666666666667</v>
      </c>
      <c r="G761" s="10">
        <f>VLOOKUP(Tabla1[[#This Row],[Código Unificador]],PRECIOS_COMPETENCIA!B:D,3,FALSE)</f>
        <v>93.40770000000002</v>
      </c>
      <c r="H761" s="10">
        <f>Tabla1[[#This Row],[PVP Competencia]]*0.98</f>
        <v>91.539546000000016</v>
      </c>
      <c r="I761" s="10">
        <f>Tabla1[[#This Row],[Precio Lista CDR]]*0.8</f>
        <v>73.231636800000018</v>
      </c>
      <c r="J761" s="10">
        <f>Tabla1[[#This Row],[Precio Lista CDR]]*0.7</f>
        <v>64.077682200000012</v>
      </c>
      <c r="K761" s="10">
        <f>Tabla1[[#This Row],[Precio Lista CDR]]*0.6</f>
        <v>54.923727600000007</v>
      </c>
      <c r="L761" s="12">
        <f>(Tabla1[[#This Row],[Precio Lista CDR]]-Tabla1[[#This Row],[PrecioFábrica]])/Tabla1[[#This Row],[Precio Lista CDR]]</f>
        <v>0.72889676919889168</v>
      </c>
      <c r="M761" s="12">
        <f>(Tabla1[[#This Row],[Lista 1 (20%)]]-Tabla1[[#This Row],[PrecioFábrica]])/Tabla1[[#This Row],[Lista 1 (20%)]]</f>
        <v>0.66112096149861466</v>
      </c>
      <c r="N761" s="12">
        <f>(Tabla1[[#This Row],[Lista 2 (30%)]]-Tabla1[[#This Row],[PrecioFábrica]])/Tabla1[[#This Row],[Lista 2 (30%)]]</f>
        <v>0.61270967028413104</v>
      </c>
      <c r="O761" s="12">
        <f>(Tabla1[[#This Row],[Lista 3 (40%)]]-Tabla1[[#This Row],[PrecioFábrica]])/Tabla1[[#This Row],[Lista 3 (40%)]]</f>
        <v>0.54816128199815284</v>
      </c>
    </row>
    <row r="762" spans="1:15">
      <c r="A762" t="s">
        <v>6</v>
      </c>
      <c r="B762" t="s">
        <v>771</v>
      </c>
      <c r="C762" t="s">
        <v>1573</v>
      </c>
      <c r="D762" t="s">
        <v>811</v>
      </c>
      <c r="E762" t="s">
        <v>5</v>
      </c>
      <c r="F762" s="3">
        <v>17.025000000000002</v>
      </c>
      <c r="G762" s="10">
        <f>VLOOKUP(Tabla1[[#This Row],[Código Unificador]],PRECIOS_COMPETENCIA!B:D,3,FALSE)</f>
        <v>62.33485000000001</v>
      </c>
      <c r="H762" s="10">
        <f>Tabla1[[#This Row],[PVP Competencia]]*0.98</f>
        <v>61.088153000000005</v>
      </c>
      <c r="I762" s="10">
        <f>Tabla1[[#This Row],[Precio Lista CDR]]*0.8</f>
        <v>48.870522400000006</v>
      </c>
      <c r="J762" s="10">
        <f>Tabla1[[#This Row],[Precio Lista CDR]]*0.7</f>
        <v>42.761707100000002</v>
      </c>
      <c r="K762" s="10">
        <f>Tabla1[[#This Row],[Precio Lista CDR]]*0.6</f>
        <v>36.652891799999999</v>
      </c>
      <c r="L762" s="12">
        <f>(Tabla1[[#This Row],[Precio Lista CDR]]-Tabla1[[#This Row],[PrecioFábrica]])/Tabla1[[#This Row],[Precio Lista CDR]]</f>
        <v>0.72130439104943955</v>
      </c>
      <c r="M762" s="12">
        <f>(Tabla1[[#This Row],[Lista 1 (20%)]]-Tabla1[[#This Row],[PrecioFábrica]])/Tabla1[[#This Row],[Lista 1 (20%)]]</f>
        <v>0.65163048881179952</v>
      </c>
      <c r="N762" s="12">
        <f>(Tabla1[[#This Row],[Lista 2 (30%)]]-Tabla1[[#This Row],[PrecioFábrica]])/Tabla1[[#This Row],[Lista 2 (30%)]]</f>
        <v>0.60186341578491376</v>
      </c>
      <c r="O762" s="12">
        <f>(Tabla1[[#This Row],[Lista 3 (40%)]]-Tabla1[[#This Row],[PrecioFábrica]])/Tabla1[[#This Row],[Lista 3 (40%)]]</f>
        <v>0.53550731841573274</v>
      </c>
    </row>
    <row r="763" spans="1:15">
      <c r="A763" t="s">
        <v>6</v>
      </c>
      <c r="B763" t="s">
        <v>772</v>
      </c>
      <c r="C763" t="s">
        <v>1574</v>
      </c>
      <c r="D763" t="s">
        <v>811</v>
      </c>
      <c r="E763" t="s">
        <v>5</v>
      </c>
      <c r="F763" s="3">
        <v>24.708333333333332</v>
      </c>
      <c r="G763" s="10">
        <f>VLOOKUP(Tabla1[[#This Row],[Código Unificador]],PRECIOS_COMPETENCIA!B:D,3,FALSE)</f>
        <v>93.803791666666669</v>
      </c>
      <c r="H763" s="10">
        <f>Tabla1[[#This Row],[PVP Competencia]]*0.98</f>
        <v>91.927715833333338</v>
      </c>
      <c r="I763" s="10">
        <f>Tabla1[[#This Row],[Precio Lista CDR]]*0.8</f>
        <v>73.542172666666673</v>
      </c>
      <c r="J763" s="10">
        <f>Tabla1[[#This Row],[Precio Lista CDR]]*0.7</f>
        <v>64.349401083333333</v>
      </c>
      <c r="K763" s="10">
        <f>Tabla1[[#This Row],[Precio Lista CDR]]*0.6</f>
        <v>55.156629500000001</v>
      </c>
      <c r="L763" s="12">
        <f>(Tabla1[[#This Row],[Precio Lista CDR]]-Tabla1[[#This Row],[PrecioFábrica]])/Tabla1[[#This Row],[Precio Lista CDR]]</f>
        <v>0.73121997963998153</v>
      </c>
      <c r="M763" s="12">
        <f>(Tabla1[[#This Row],[Lista 1 (20%)]]-Tabla1[[#This Row],[PrecioFábrica]])/Tabla1[[#This Row],[Lista 1 (20%)]]</f>
        <v>0.66402497454997689</v>
      </c>
      <c r="N763" s="12">
        <f>(Tabla1[[#This Row],[Lista 2 (30%)]]-Tabla1[[#This Row],[PrecioFábrica]])/Tabla1[[#This Row],[Lista 2 (30%)]]</f>
        <v>0.61602854234283067</v>
      </c>
      <c r="O763" s="12">
        <f>(Tabla1[[#This Row],[Lista 3 (40%)]]-Tabla1[[#This Row],[PrecioFábrica]])/Tabla1[[#This Row],[Lista 3 (40%)]]</f>
        <v>0.55203329939996915</v>
      </c>
    </row>
    <row r="764" spans="1:15">
      <c r="A764" t="s">
        <v>6</v>
      </c>
      <c r="B764" t="s">
        <v>773</v>
      </c>
      <c r="C764" t="s">
        <v>1575</v>
      </c>
      <c r="D764" t="s">
        <v>811</v>
      </c>
      <c r="E764" t="s">
        <v>5</v>
      </c>
      <c r="F764" s="3">
        <v>37.583333333333336</v>
      </c>
      <c r="G764" s="10">
        <f>VLOOKUP(Tabla1[[#This Row],[Código Unificador]],PRECIOS_COMPETENCIA!B:D,3,FALSE)</f>
        <v>135.53116666666665</v>
      </c>
      <c r="H764" s="10">
        <f>Tabla1[[#This Row],[PVP Competencia]]*0.98</f>
        <v>132.82054333333332</v>
      </c>
      <c r="I764" s="10">
        <f>Tabla1[[#This Row],[Precio Lista CDR]]*0.8</f>
        <v>106.25643466666666</v>
      </c>
      <c r="J764" s="10">
        <f>Tabla1[[#This Row],[Precio Lista CDR]]*0.7</f>
        <v>92.974380333333315</v>
      </c>
      <c r="K764" s="10">
        <f>Tabla1[[#This Row],[Precio Lista CDR]]*0.6</f>
        <v>79.692325999999994</v>
      </c>
      <c r="L764" s="12">
        <f>(Tabla1[[#This Row],[Precio Lista CDR]]-Tabla1[[#This Row],[PrecioFábrica]])/Tabla1[[#This Row],[Precio Lista CDR]]</f>
        <v>0.71703674454175159</v>
      </c>
      <c r="M764" s="12">
        <f>(Tabla1[[#This Row],[Lista 1 (20%)]]-Tabla1[[#This Row],[PrecioFábrica]])/Tabla1[[#This Row],[Lista 1 (20%)]]</f>
        <v>0.64629593067718971</v>
      </c>
      <c r="N764" s="12">
        <f>(Tabla1[[#This Row],[Lista 2 (30%)]]-Tabla1[[#This Row],[PrecioFábrica]])/Tabla1[[#This Row],[Lista 2 (30%)]]</f>
        <v>0.59576677791678812</v>
      </c>
      <c r="O764" s="12">
        <f>(Tabla1[[#This Row],[Lista 3 (40%)]]-Tabla1[[#This Row],[PrecioFábrica]])/Tabla1[[#This Row],[Lista 3 (40%)]]</f>
        <v>0.5283945742362528</v>
      </c>
    </row>
    <row r="765" spans="1:15">
      <c r="A765" t="s">
        <v>6</v>
      </c>
      <c r="B765" t="s">
        <v>774</v>
      </c>
      <c r="C765" t="s">
        <v>1576</v>
      </c>
      <c r="D765" t="s">
        <v>811</v>
      </c>
      <c r="E765" t="s">
        <v>5</v>
      </c>
      <c r="F765" s="3">
        <v>14.6</v>
      </c>
      <c r="G765" s="10">
        <f>VLOOKUP(Tabla1[[#This Row],[Código Unificador]],PRECIOS_COMPETENCIA!B:D,3,FALSE)</f>
        <v>54.033600000000007</v>
      </c>
      <c r="H765" s="10">
        <f>Tabla1[[#This Row],[PVP Competencia]]*0.98</f>
        <v>52.952928000000007</v>
      </c>
      <c r="I765" s="10">
        <f>Tabla1[[#This Row],[Precio Lista CDR]]*0.8</f>
        <v>42.36234240000001</v>
      </c>
      <c r="J765" s="10">
        <f>Tabla1[[#This Row],[Precio Lista CDR]]*0.7</f>
        <v>37.067049600000004</v>
      </c>
      <c r="K765" s="10">
        <f>Tabla1[[#This Row],[Precio Lista CDR]]*0.6</f>
        <v>31.771756800000002</v>
      </c>
      <c r="L765" s="12">
        <f>(Tabla1[[#This Row],[Precio Lista CDR]]-Tabla1[[#This Row],[PrecioFábrica]])/Tabla1[[#This Row],[Precio Lista CDR]]</f>
        <v>0.72428342394966339</v>
      </c>
      <c r="M765" s="12">
        <f>(Tabla1[[#This Row],[Lista 1 (20%)]]-Tabla1[[#This Row],[PrecioFábrica]])/Tabla1[[#This Row],[Lista 1 (20%)]]</f>
        <v>0.65535427993707929</v>
      </c>
      <c r="N765" s="12">
        <f>(Tabla1[[#This Row],[Lista 2 (30%)]]-Tabla1[[#This Row],[PrecioFábrica]])/Tabla1[[#This Row],[Lista 2 (30%)]]</f>
        <v>0.60611917707094765</v>
      </c>
      <c r="O765" s="12">
        <f>(Tabla1[[#This Row],[Lista 3 (40%)]]-Tabla1[[#This Row],[PrecioFábrica]])/Tabla1[[#This Row],[Lista 3 (40%)]]</f>
        <v>0.54047237324943909</v>
      </c>
    </row>
    <row r="766" spans="1:15">
      <c r="A766" t="s">
        <v>6</v>
      </c>
      <c r="B766" t="s">
        <v>775</v>
      </c>
      <c r="C766" t="s">
        <v>1577</v>
      </c>
      <c r="D766" t="s">
        <v>811</v>
      </c>
      <c r="E766" t="s">
        <v>5</v>
      </c>
      <c r="F766" s="3">
        <v>26.933333333333334</v>
      </c>
      <c r="G766" s="10">
        <f>VLOOKUP(Tabla1[[#This Row],[Código Unificador]],PRECIOS_COMPETENCIA!B:D,3,FALSE)</f>
        <v>101.23093333333334</v>
      </c>
      <c r="H766" s="10">
        <f>Tabla1[[#This Row],[PVP Competencia]]*0.98</f>
        <v>99.206314666666671</v>
      </c>
      <c r="I766" s="10">
        <f>Tabla1[[#This Row],[Precio Lista CDR]]*0.8</f>
        <v>79.365051733333345</v>
      </c>
      <c r="J766" s="10">
        <f>Tabla1[[#This Row],[Precio Lista CDR]]*0.7</f>
        <v>69.444420266666668</v>
      </c>
      <c r="K766" s="10">
        <f>Tabla1[[#This Row],[Precio Lista CDR]]*0.6</f>
        <v>59.523788799999998</v>
      </c>
      <c r="L766" s="12">
        <f>(Tabla1[[#This Row],[Precio Lista CDR]]-Tabla1[[#This Row],[PrecioFábrica]])/Tabla1[[#This Row],[Precio Lista CDR]]</f>
        <v>0.72851190547870504</v>
      </c>
      <c r="M766" s="12">
        <f>(Tabla1[[#This Row],[Lista 1 (20%)]]-Tabla1[[#This Row],[PrecioFábrica]])/Tabla1[[#This Row],[Lista 1 (20%)]]</f>
        <v>0.66063988184838129</v>
      </c>
      <c r="N766" s="12">
        <f>(Tabla1[[#This Row],[Lista 2 (30%)]]-Tabla1[[#This Row],[PrecioFábrica]])/Tabla1[[#This Row],[Lista 2 (30%)]]</f>
        <v>0.61215986496957853</v>
      </c>
      <c r="O766" s="12">
        <f>(Tabla1[[#This Row],[Lista 3 (40%)]]-Tabla1[[#This Row],[PrecioFábrica]])/Tabla1[[#This Row],[Lista 3 (40%)]]</f>
        <v>0.54751984246450836</v>
      </c>
    </row>
    <row r="767" spans="1:15">
      <c r="A767" t="s">
        <v>6</v>
      </c>
      <c r="B767" t="s">
        <v>776</v>
      </c>
      <c r="C767" t="s">
        <v>1578</v>
      </c>
      <c r="D767" t="s">
        <v>811</v>
      </c>
      <c r="E767" t="s">
        <v>5</v>
      </c>
      <c r="F767" s="3">
        <v>22.208333333333332</v>
      </c>
      <c r="G767" s="10">
        <f>VLOOKUP(Tabla1[[#This Row],[Código Unificador]],PRECIOS_COMPETENCIA!B:D,3,FALSE)</f>
        <v>76.336291666666668</v>
      </c>
      <c r="H767" s="10">
        <f>Tabla1[[#This Row],[PVP Competencia]]*0.98</f>
        <v>74.809565833333338</v>
      </c>
      <c r="I767" s="10">
        <f>Tabla1[[#This Row],[Precio Lista CDR]]*0.8</f>
        <v>59.847652666666676</v>
      </c>
      <c r="J767" s="10">
        <f>Tabla1[[#This Row],[Precio Lista CDR]]*0.7</f>
        <v>52.366696083333331</v>
      </c>
      <c r="K767" s="10">
        <f>Tabla1[[#This Row],[Precio Lista CDR]]*0.6</f>
        <v>44.8857395</v>
      </c>
      <c r="L767" s="12">
        <f>(Tabla1[[#This Row],[Precio Lista CDR]]-Tabla1[[#This Row],[PrecioFábrica]])/Tabla1[[#This Row],[Precio Lista CDR]]</f>
        <v>0.70313511265643747</v>
      </c>
      <c r="M767" s="12">
        <f>(Tabla1[[#This Row],[Lista 1 (20%)]]-Tabla1[[#This Row],[PrecioFábrica]])/Tabla1[[#This Row],[Lista 1 (20%)]]</f>
        <v>0.62891889082054686</v>
      </c>
      <c r="N767" s="12">
        <f>(Tabla1[[#This Row],[Lista 2 (30%)]]-Tabla1[[#This Row],[PrecioFábrica]])/Tabla1[[#This Row],[Lista 2 (30%)]]</f>
        <v>0.57590730379491051</v>
      </c>
      <c r="O767" s="12">
        <f>(Tabla1[[#This Row],[Lista 3 (40%)]]-Tabla1[[#This Row],[PrecioFábrica]])/Tabla1[[#This Row],[Lista 3 (40%)]]</f>
        <v>0.50522518776072889</v>
      </c>
    </row>
    <row r="768" spans="1:15">
      <c r="A768" t="s">
        <v>6</v>
      </c>
      <c r="B768" t="s">
        <v>777</v>
      </c>
      <c r="C768" t="s">
        <v>1579</v>
      </c>
      <c r="D768" t="s">
        <v>811</v>
      </c>
      <c r="E768" t="s">
        <v>5</v>
      </c>
      <c r="F768" s="3">
        <v>33.4</v>
      </c>
      <c r="G768" s="10">
        <f>VLOOKUP(Tabla1[[#This Row],[Código Unificador]],PRECIOS_COMPETENCIA!B:D,3,FALSE)</f>
        <v>122.67159999999998</v>
      </c>
      <c r="H768" s="10">
        <f>Tabla1[[#This Row],[PVP Competencia]]*0.98</f>
        <v>120.21816799999998</v>
      </c>
      <c r="I768" s="10">
        <f>Tabla1[[#This Row],[Precio Lista CDR]]*0.8</f>
        <v>96.174534399999985</v>
      </c>
      <c r="J768" s="10">
        <f>Tabla1[[#This Row],[Precio Lista CDR]]*0.7</f>
        <v>84.152717599999974</v>
      </c>
      <c r="K768" s="10">
        <f>Tabla1[[#This Row],[Precio Lista CDR]]*0.6</f>
        <v>72.130900799999978</v>
      </c>
      <c r="L768" s="12">
        <f>(Tabla1[[#This Row],[Precio Lista CDR]]-Tabla1[[#This Row],[PrecioFábrica]])/Tabla1[[#This Row],[Precio Lista CDR]]</f>
        <v>0.72217177689814738</v>
      </c>
      <c r="M768" s="12">
        <f>(Tabla1[[#This Row],[Lista 1 (20%)]]-Tabla1[[#This Row],[PrecioFábrica]])/Tabla1[[#This Row],[Lista 1 (20%)]]</f>
        <v>0.65271472112268414</v>
      </c>
      <c r="N768" s="12">
        <f>(Tabla1[[#This Row],[Lista 2 (30%)]]-Tabla1[[#This Row],[PrecioFábrica]])/Tabla1[[#This Row],[Lista 2 (30%)]]</f>
        <v>0.60310253842592476</v>
      </c>
      <c r="O768" s="12">
        <f>(Tabla1[[#This Row],[Lista 3 (40%)]]-Tabla1[[#This Row],[PrecioFábrica]])/Tabla1[[#This Row],[Lista 3 (40%)]]</f>
        <v>0.53695296149691218</v>
      </c>
    </row>
    <row r="769" spans="1:15">
      <c r="A769" t="s">
        <v>6</v>
      </c>
      <c r="B769" t="s">
        <v>778</v>
      </c>
      <c r="C769" t="s">
        <v>1580</v>
      </c>
      <c r="D769" t="s">
        <v>811</v>
      </c>
      <c r="E769" t="s">
        <v>5</v>
      </c>
      <c r="F769" s="3">
        <v>36.875</v>
      </c>
      <c r="G769" s="10">
        <f>VLOOKUP(Tabla1[[#This Row],[Código Unificador]],PRECIOS_COMPETENCIA!B:D,3,FALSE)</f>
        <v>125.49250000000001</v>
      </c>
      <c r="H769" s="10">
        <f>Tabla1[[#This Row],[PVP Competencia]]*0.98</f>
        <v>122.98265000000001</v>
      </c>
      <c r="I769" s="10">
        <f>Tabla1[[#This Row],[Precio Lista CDR]]*0.8</f>
        <v>98.386120000000005</v>
      </c>
      <c r="J769" s="10">
        <f>Tabla1[[#This Row],[Precio Lista CDR]]*0.7</f>
        <v>86.087855000000005</v>
      </c>
      <c r="K769" s="10">
        <f>Tabla1[[#This Row],[Precio Lista CDR]]*0.6</f>
        <v>73.789590000000004</v>
      </c>
      <c r="L769" s="12">
        <f>(Tabla1[[#This Row],[Precio Lista CDR]]-Tabla1[[#This Row],[PrecioFábrica]])/Tabla1[[#This Row],[Precio Lista CDR]]</f>
        <v>0.70016095766354036</v>
      </c>
      <c r="M769" s="12">
        <f>(Tabla1[[#This Row],[Lista 1 (20%)]]-Tabla1[[#This Row],[PrecioFábrica]])/Tabla1[[#This Row],[Lista 1 (20%)]]</f>
        <v>0.62520119707942545</v>
      </c>
      <c r="N769" s="12">
        <f>(Tabla1[[#This Row],[Lista 2 (30%)]]-Tabla1[[#This Row],[PrecioFábrica]])/Tabla1[[#This Row],[Lista 2 (30%)]]</f>
        <v>0.57165851094791476</v>
      </c>
      <c r="O769" s="12">
        <f>(Tabla1[[#This Row],[Lista 3 (40%)]]-Tabla1[[#This Row],[PrecioFábrica]])/Tabla1[[#This Row],[Lista 3 (40%)]]</f>
        <v>0.50026826277256731</v>
      </c>
    </row>
    <row r="770" spans="1:15">
      <c r="A770" t="s">
        <v>6</v>
      </c>
      <c r="B770" t="s">
        <v>779</v>
      </c>
      <c r="C770" t="s">
        <v>1581</v>
      </c>
      <c r="D770" t="s">
        <v>811</v>
      </c>
      <c r="E770" t="s">
        <v>5</v>
      </c>
      <c r="F770" s="3">
        <v>19.433333333333334</v>
      </c>
      <c r="G770" s="10">
        <f>VLOOKUP(Tabla1[[#This Row],[Código Unificador]],PRECIOS_COMPETENCIA!B:D,3,FALSE)</f>
        <v>70.865200000000016</v>
      </c>
      <c r="H770" s="10">
        <f>Tabla1[[#This Row],[PVP Competencia]]*0.98</f>
        <v>69.447896000000014</v>
      </c>
      <c r="I770" s="10">
        <f>Tabla1[[#This Row],[Precio Lista CDR]]*0.8</f>
        <v>55.558316800000014</v>
      </c>
      <c r="J770" s="10">
        <f>Tabla1[[#This Row],[Precio Lista CDR]]*0.7</f>
        <v>48.613527200000007</v>
      </c>
      <c r="K770" s="10">
        <f>Tabla1[[#This Row],[Precio Lista CDR]]*0.6</f>
        <v>41.668737600000007</v>
      </c>
      <c r="L770" s="12">
        <f>(Tabla1[[#This Row],[Precio Lista CDR]]-Tabla1[[#This Row],[PrecioFábrica]])/Tabla1[[#This Row],[Precio Lista CDR]]</f>
        <v>0.72017390802835357</v>
      </c>
      <c r="M770" s="12">
        <f>(Tabla1[[#This Row],[Lista 1 (20%)]]-Tabla1[[#This Row],[PrecioFábrica]])/Tabla1[[#This Row],[Lista 1 (20%)]]</f>
        <v>0.65021738503544202</v>
      </c>
      <c r="N770" s="12">
        <f>(Tabla1[[#This Row],[Lista 2 (30%)]]-Tabla1[[#This Row],[PrecioFábrica]])/Tabla1[[#This Row],[Lista 2 (30%)]]</f>
        <v>0.60024844004050526</v>
      </c>
      <c r="O770" s="12">
        <f>(Tabla1[[#This Row],[Lista 3 (40%)]]-Tabla1[[#This Row],[PrecioFábrica]])/Tabla1[[#This Row],[Lista 3 (40%)]]</f>
        <v>0.53362318004725606</v>
      </c>
    </row>
    <row r="771" spans="1:15">
      <c r="A771" t="s">
        <v>6</v>
      </c>
      <c r="B771" t="s">
        <v>780</v>
      </c>
      <c r="C771" t="s">
        <v>1582</v>
      </c>
      <c r="D771" t="s">
        <v>811</v>
      </c>
      <c r="E771" t="s">
        <v>5</v>
      </c>
      <c r="F771" s="3">
        <v>17.708333333333336</v>
      </c>
      <c r="G771" s="10">
        <f>VLOOKUP(Tabla1[[#This Row],[Código Unificador]],PRECIOS_COMPETENCIA!B:D,3,FALSE)</f>
        <v>62.381250000000009</v>
      </c>
      <c r="H771" s="10">
        <f>Tabla1[[#This Row],[PVP Competencia]]*0.98</f>
        <v>61.133625000000009</v>
      </c>
      <c r="I771" s="10">
        <f>Tabla1[[#This Row],[Precio Lista CDR]]*0.8</f>
        <v>48.906900000000007</v>
      </c>
      <c r="J771" s="10">
        <f>Tabla1[[#This Row],[Precio Lista CDR]]*0.7</f>
        <v>42.793537500000006</v>
      </c>
      <c r="K771" s="10">
        <f>Tabla1[[#This Row],[Precio Lista CDR]]*0.6</f>
        <v>36.680175000000006</v>
      </c>
      <c r="L771" s="12">
        <f>(Tabla1[[#This Row],[Precio Lista CDR]]-Tabla1[[#This Row],[PrecioFábrica]])/Tabla1[[#This Row],[Precio Lista CDR]]</f>
        <v>0.71033398831930328</v>
      </c>
      <c r="M771" s="12">
        <f>(Tabla1[[#This Row],[Lista 1 (20%)]]-Tabla1[[#This Row],[PrecioFábrica]])/Tabla1[[#This Row],[Lista 1 (20%)]]</f>
        <v>0.63791748539912907</v>
      </c>
      <c r="N771" s="12">
        <f>(Tabla1[[#This Row],[Lista 2 (30%)]]-Tabla1[[#This Row],[PrecioFábrica]])/Tabla1[[#This Row],[Lista 2 (30%)]]</f>
        <v>0.58619141188471902</v>
      </c>
      <c r="O771" s="12">
        <f>(Tabla1[[#This Row],[Lista 3 (40%)]]-Tabla1[[#This Row],[PrecioFábrica]])/Tabla1[[#This Row],[Lista 3 (40%)]]</f>
        <v>0.51722331386550546</v>
      </c>
    </row>
    <row r="772" spans="1:15">
      <c r="A772" t="s">
        <v>6</v>
      </c>
      <c r="B772" t="s">
        <v>781</v>
      </c>
      <c r="C772" t="s">
        <v>1583</v>
      </c>
      <c r="D772" t="s">
        <v>811</v>
      </c>
      <c r="E772" t="s">
        <v>5</v>
      </c>
      <c r="F772" s="3">
        <v>22.483333333333334</v>
      </c>
      <c r="G772" s="10">
        <f>VLOOKUP(Tabla1[[#This Row],[Código Unificador]],PRECIOS_COMPETENCIA!B:D,3,FALSE)</f>
        <v>77.809733333333341</v>
      </c>
      <c r="H772" s="10">
        <f>Tabla1[[#This Row],[PVP Competencia]]*0.98</f>
        <v>76.253538666666671</v>
      </c>
      <c r="I772" s="10">
        <f>Tabla1[[#This Row],[Precio Lista CDR]]*0.8</f>
        <v>61.002830933333343</v>
      </c>
      <c r="J772" s="10">
        <f>Tabla1[[#This Row],[Precio Lista CDR]]*0.7</f>
        <v>53.377477066666664</v>
      </c>
      <c r="K772" s="10">
        <f>Tabla1[[#This Row],[Precio Lista CDR]]*0.6</f>
        <v>45.7521232</v>
      </c>
      <c r="L772" s="12">
        <f>(Tabla1[[#This Row],[Precio Lista CDR]]-Tabla1[[#This Row],[PrecioFábrica]])/Tabla1[[#This Row],[Precio Lista CDR]]</f>
        <v>0.7051502956260618</v>
      </c>
      <c r="M772" s="12">
        <f>(Tabla1[[#This Row],[Lista 1 (20%)]]-Tabla1[[#This Row],[PrecioFábrica]])/Tabla1[[#This Row],[Lista 1 (20%)]]</f>
        <v>0.6314378695325773</v>
      </c>
      <c r="N772" s="12">
        <f>(Tabla1[[#This Row],[Lista 2 (30%)]]-Tabla1[[#This Row],[PrecioFábrica]])/Tabla1[[#This Row],[Lista 2 (30%)]]</f>
        <v>0.57878613660865963</v>
      </c>
      <c r="O772" s="12">
        <f>(Tabla1[[#This Row],[Lista 3 (40%)]]-Tabla1[[#This Row],[PrecioFábrica]])/Tabla1[[#This Row],[Lista 3 (40%)]]</f>
        <v>0.50858382604343633</v>
      </c>
    </row>
    <row r="773" spans="1:15">
      <c r="A773" t="s">
        <v>6</v>
      </c>
      <c r="B773" t="s">
        <v>782</v>
      </c>
      <c r="C773" t="s">
        <v>1584</v>
      </c>
      <c r="D773" t="s">
        <v>811</v>
      </c>
      <c r="E773" t="s">
        <v>5</v>
      </c>
      <c r="F773" s="3">
        <v>66.308333333333337</v>
      </c>
      <c r="G773" s="10">
        <f>VLOOKUP(Tabla1[[#This Row],[Código Unificador]],PRECIOS_COMPETENCIA!B:D,3,FALSE)</f>
        <v>231.90887499999999</v>
      </c>
      <c r="H773" s="10">
        <f>Tabla1[[#This Row],[PVP Competencia]]*0.98</f>
        <v>227.27069749999998</v>
      </c>
      <c r="I773" s="10">
        <f>Tabla1[[#This Row],[Precio Lista CDR]]*0.8</f>
        <v>181.81655799999999</v>
      </c>
      <c r="J773" s="10">
        <f>Tabla1[[#This Row],[Precio Lista CDR]]*0.7</f>
        <v>159.08948824999999</v>
      </c>
      <c r="K773" s="10">
        <f>Tabla1[[#This Row],[Precio Lista CDR]]*0.6</f>
        <v>136.36241849999999</v>
      </c>
      <c r="L773" s="12">
        <f>(Tabla1[[#This Row],[Precio Lista CDR]]-Tabla1[[#This Row],[PrecioFábrica]])/Tabla1[[#This Row],[Precio Lista CDR]]</f>
        <v>0.70824072763127177</v>
      </c>
      <c r="M773" s="12">
        <f>(Tabla1[[#This Row],[Lista 1 (20%)]]-Tabla1[[#This Row],[PrecioFábrica]])/Tabla1[[#This Row],[Lista 1 (20%)]]</f>
        <v>0.63530090953908969</v>
      </c>
      <c r="N773" s="12">
        <f>(Tabla1[[#This Row],[Lista 2 (30%)]]-Tabla1[[#This Row],[PrecioFábrica]])/Tabla1[[#This Row],[Lista 2 (30%)]]</f>
        <v>0.58320103947324542</v>
      </c>
      <c r="O773" s="12">
        <f>(Tabla1[[#This Row],[Lista 3 (40%)]]-Tabla1[[#This Row],[PrecioFábrica]])/Tabla1[[#This Row],[Lista 3 (40%)]]</f>
        <v>0.51373454605211966</v>
      </c>
    </row>
    <row r="774" spans="1:15">
      <c r="A774" t="s">
        <v>9</v>
      </c>
      <c r="B774" t="s">
        <v>783</v>
      </c>
      <c r="C774" t="s">
        <v>1585</v>
      </c>
      <c r="D774" t="s">
        <v>811</v>
      </c>
      <c r="E774" t="s">
        <v>5</v>
      </c>
      <c r="F774" s="3">
        <v>70.341666666666669</v>
      </c>
      <c r="G774" s="10">
        <f>VLOOKUP(Tabla1[[#This Row],[Código Unificador]],PRECIOS_COMPETENCIA!B:D,3,FALSE)</f>
        <v>246.23028333333301</v>
      </c>
      <c r="H774" s="10">
        <f>Tabla1[[#This Row],[PVP Competencia]]*0.98</f>
        <v>241.30567766666636</v>
      </c>
      <c r="I774" s="10">
        <f>Tabla1[[#This Row],[Precio Lista CDR]]*0.8</f>
        <v>193.0445421333331</v>
      </c>
      <c r="J774" s="10">
        <f>Tabla1[[#This Row],[Precio Lista CDR]]*0.7</f>
        <v>168.91397436666645</v>
      </c>
      <c r="K774" s="10">
        <f>Tabla1[[#This Row],[Precio Lista CDR]]*0.6</f>
        <v>144.78340659999981</v>
      </c>
      <c r="L774" s="12">
        <f>(Tabla1[[#This Row],[Precio Lista CDR]]-Tabla1[[#This Row],[PrecioFábrica]])/Tabla1[[#This Row],[Precio Lista CDR]]</f>
        <v>0.7084956004896209</v>
      </c>
      <c r="M774" s="12">
        <f>(Tabla1[[#This Row],[Lista 1 (20%)]]-Tabla1[[#This Row],[PrecioFábrica]])/Tabla1[[#This Row],[Lista 1 (20%)]]</f>
        <v>0.63561950061202621</v>
      </c>
      <c r="N774" s="12">
        <f>(Tabla1[[#This Row],[Lista 2 (30%)]]-Tabla1[[#This Row],[PrecioFábrica]])/Tabla1[[#This Row],[Lista 2 (30%)]]</f>
        <v>0.58356514355660127</v>
      </c>
      <c r="O774" s="12">
        <f>(Tabla1[[#This Row],[Lista 3 (40%)]]-Tabla1[[#This Row],[PrecioFábrica]])/Tabla1[[#This Row],[Lista 3 (40%)]]</f>
        <v>0.51415933414936821</v>
      </c>
    </row>
    <row r="775" spans="1:15">
      <c r="A775" t="s">
        <v>6</v>
      </c>
      <c r="B775" t="s">
        <v>784</v>
      </c>
      <c r="C775" t="s">
        <v>1586</v>
      </c>
      <c r="D775" t="s">
        <v>811</v>
      </c>
      <c r="E775" t="s">
        <v>5</v>
      </c>
      <c r="F775" s="3">
        <v>14.775</v>
      </c>
      <c r="G775" s="10">
        <f>VLOOKUP(Tabla1[[#This Row],[Código Unificador]],PRECIOS_COMPETENCIA!B:D,3,FALSE)</f>
        <v>55.84682500000001</v>
      </c>
      <c r="H775" s="10">
        <f>Tabla1[[#This Row],[PVP Competencia]]*0.98</f>
        <v>54.729888500000008</v>
      </c>
      <c r="I775" s="10">
        <f>Tabla1[[#This Row],[Precio Lista CDR]]*0.8</f>
        <v>43.783910800000008</v>
      </c>
      <c r="J775" s="10">
        <f>Tabla1[[#This Row],[Precio Lista CDR]]*0.7</f>
        <v>38.310921950000001</v>
      </c>
      <c r="K775" s="10">
        <f>Tabla1[[#This Row],[Precio Lista CDR]]*0.6</f>
        <v>32.837933100000001</v>
      </c>
      <c r="L775" s="12">
        <f>(Tabla1[[#This Row],[Precio Lista CDR]]-Tabla1[[#This Row],[PrecioFábrica]])/Tabla1[[#This Row],[Precio Lista CDR]]</f>
        <v>0.73003782019398789</v>
      </c>
      <c r="M775" s="12">
        <f>(Tabla1[[#This Row],[Lista 1 (20%)]]-Tabla1[[#This Row],[PrecioFábrica]])/Tabla1[[#This Row],[Lista 1 (20%)]]</f>
        <v>0.6625472752424848</v>
      </c>
      <c r="N775" s="12">
        <f>(Tabla1[[#This Row],[Lista 2 (30%)]]-Tabla1[[#This Row],[PrecioFábrica]])/Tabla1[[#This Row],[Lista 2 (30%)]]</f>
        <v>0.61433974313426831</v>
      </c>
      <c r="O775" s="12">
        <f>(Tabla1[[#This Row],[Lista 3 (40%)]]-Tabla1[[#This Row],[PrecioFábrica]])/Tabla1[[#This Row],[Lista 3 (40%)]]</f>
        <v>0.55006303365664633</v>
      </c>
    </row>
    <row r="776" spans="1:15">
      <c r="A776" t="s">
        <v>9</v>
      </c>
      <c r="B776" t="s">
        <v>785</v>
      </c>
      <c r="C776" t="s">
        <v>1587</v>
      </c>
      <c r="D776" t="s">
        <v>811</v>
      </c>
      <c r="E776" t="s">
        <v>5</v>
      </c>
      <c r="F776" s="3">
        <v>8.4416666666666682</v>
      </c>
      <c r="G776" s="10">
        <f>VLOOKUP(Tabla1[[#This Row],[Código Unificador]],PRECIOS_COMPETENCIA!B:D,3,FALSE)</f>
        <v>35.215258333333338</v>
      </c>
      <c r="H776" s="10">
        <f>Tabla1[[#This Row],[PVP Competencia]]*0.98</f>
        <v>34.510953166666674</v>
      </c>
      <c r="I776" s="10">
        <f>Tabla1[[#This Row],[Precio Lista CDR]]*0.8</f>
        <v>27.608762533333341</v>
      </c>
      <c r="J776" s="10">
        <f>Tabla1[[#This Row],[Precio Lista CDR]]*0.7</f>
        <v>24.15766721666667</v>
      </c>
      <c r="K776" s="10">
        <f>Tabla1[[#This Row],[Precio Lista CDR]]*0.6</f>
        <v>20.706571900000004</v>
      </c>
      <c r="L776" s="12">
        <f>(Tabla1[[#This Row],[Precio Lista CDR]]-Tabla1[[#This Row],[PrecioFábrica]])/Tabla1[[#This Row],[Precio Lista CDR]]</f>
        <v>0.75539166867114294</v>
      </c>
      <c r="M776" s="12">
        <f>(Tabla1[[#This Row],[Lista 1 (20%)]]-Tabla1[[#This Row],[PrecioFábrica]])/Tabla1[[#This Row],[Lista 1 (20%)]]</f>
        <v>0.69423958583892875</v>
      </c>
      <c r="N776" s="12">
        <f>(Tabla1[[#This Row],[Lista 2 (30%)]]-Tabla1[[#This Row],[PrecioFábrica]])/Tabla1[[#This Row],[Lista 2 (30%)]]</f>
        <v>0.65055952667306138</v>
      </c>
      <c r="O776" s="12">
        <f>(Tabla1[[#This Row],[Lista 3 (40%)]]-Tabla1[[#This Row],[PrecioFábrica]])/Tabla1[[#This Row],[Lista 3 (40%)]]</f>
        <v>0.59231944778523837</v>
      </c>
    </row>
    <row r="777" spans="1:15">
      <c r="A777" t="s">
        <v>7</v>
      </c>
      <c r="B777" t="s">
        <v>786</v>
      </c>
      <c r="C777" t="s">
        <v>1588</v>
      </c>
      <c r="D777" t="s">
        <v>811</v>
      </c>
      <c r="E777" t="s">
        <v>5</v>
      </c>
      <c r="F777" s="3">
        <v>3.85</v>
      </c>
      <c r="G777" s="10">
        <f>VLOOKUP(Tabla1[[#This Row],[Código Unificador]],PRECIOS_COMPETENCIA!B:D,3,FALSE)</f>
        <v>22.058199999999999</v>
      </c>
      <c r="H777" s="10">
        <f>Tabla1[[#This Row],[PVP Competencia]]*0.98</f>
        <v>21.617035999999999</v>
      </c>
      <c r="I777" s="10">
        <f>Tabla1[[#This Row],[Precio Lista CDR]]*0.8</f>
        <v>17.2936288</v>
      </c>
      <c r="J777" s="10">
        <f>Tabla1[[#This Row],[Precio Lista CDR]]*0.7</f>
        <v>15.131925199999998</v>
      </c>
      <c r="K777" s="10">
        <f>Tabla1[[#This Row],[Precio Lista CDR]]*0.6</f>
        <v>12.970221599999999</v>
      </c>
      <c r="L777" s="12">
        <f>(Tabla1[[#This Row],[Precio Lista CDR]]-Tabla1[[#This Row],[PrecioFábrica]])/Tabla1[[#This Row],[Precio Lista CDR]]</f>
        <v>0.82189972760372876</v>
      </c>
      <c r="M777" s="12">
        <f>(Tabla1[[#This Row],[Lista 1 (20%)]]-Tabla1[[#This Row],[PrecioFábrica]])/Tabla1[[#This Row],[Lista 1 (20%)]]</f>
        <v>0.77737465950466111</v>
      </c>
      <c r="N777" s="12">
        <f>(Tabla1[[#This Row],[Lista 2 (30%)]]-Tabla1[[#This Row],[PrecioFábrica]])/Tabla1[[#This Row],[Lista 2 (30%)]]</f>
        <v>0.74557103943389835</v>
      </c>
      <c r="O777" s="12">
        <f>(Tabla1[[#This Row],[Lista 3 (40%)]]-Tabla1[[#This Row],[PrecioFábrica]])/Tabla1[[#This Row],[Lista 3 (40%)]]</f>
        <v>0.70316621267288137</v>
      </c>
    </row>
    <row r="778" spans="1:15">
      <c r="A778" t="s">
        <v>6</v>
      </c>
      <c r="B778" t="s">
        <v>787</v>
      </c>
      <c r="C778" t="s">
        <v>1589</v>
      </c>
      <c r="D778" t="s">
        <v>811</v>
      </c>
      <c r="E778" t="s">
        <v>5</v>
      </c>
      <c r="F778" s="3">
        <v>33.85</v>
      </c>
      <c r="G778" s="10">
        <f>VLOOKUP(Tabla1[[#This Row],[Código Unificador]],PRECIOS_COMPETENCIA!B:D,3,FALSE)</f>
        <v>120.12830000000002</v>
      </c>
      <c r="H778" s="10">
        <f>Tabla1[[#This Row],[PVP Competencia]]*0.98</f>
        <v>117.72573400000002</v>
      </c>
      <c r="I778" s="10">
        <f>Tabla1[[#This Row],[Precio Lista CDR]]*0.8</f>
        <v>94.180587200000019</v>
      </c>
      <c r="J778" s="10">
        <f>Tabla1[[#This Row],[Precio Lista CDR]]*0.7</f>
        <v>82.408013800000006</v>
      </c>
      <c r="K778" s="10">
        <f>Tabla1[[#This Row],[Precio Lista CDR]]*0.6</f>
        <v>70.635440400000007</v>
      </c>
      <c r="L778" s="12">
        <f>(Tabla1[[#This Row],[Precio Lista CDR]]-Tabla1[[#This Row],[PrecioFábrica]])/Tabla1[[#This Row],[Precio Lista CDR]]</f>
        <v>0.71246728434073736</v>
      </c>
      <c r="M778" s="12">
        <f>(Tabla1[[#This Row],[Lista 1 (20%)]]-Tabla1[[#This Row],[PrecioFábrica]])/Tabla1[[#This Row],[Lista 1 (20%)]]</f>
        <v>0.64058410542592159</v>
      </c>
      <c r="N778" s="12">
        <f>(Tabla1[[#This Row],[Lista 2 (30%)]]-Tabla1[[#This Row],[PrecioFábrica]])/Tabla1[[#This Row],[Lista 2 (30%)]]</f>
        <v>0.58923897762962463</v>
      </c>
      <c r="O778" s="12">
        <f>(Tabla1[[#This Row],[Lista 3 (40%)]]-Tabla1[[#This Row],[PrecioFábrica]])/Tabla1[[#This Row],[Lista 3 (40%)]]</f>
        <v>0.52077880723456216</v>
      </c>
    </row>
    <row r="779" spans="1:15">
      <c r="A779" t="s">
        <v>6</v>
      </c>
      <c r="B779" t="s">
        <v>788</v>
      </c>
      <c r="C779" t="s">
        <v>1590</v>
      </c>
      <c r="D779" t="s">
        <v>811</v>
      </c>
      <c r="E779" t="s">
        <v>5</v>
      </c>
      <c r="F779" s="3">
        <v>8.3916666666666675</v>
      </c>
      <c r="G779" s="10">
        <f>VLOOKUP(Tabla1[[#This Row],[Código Unificador]],PRECIOS_COMPETENCIA!B:D,3,FALSE)</f>
        <v>36.039341666666672</v>
      </c>
      <c r="H779" s="10">
        <f>Tabla1[[#This Row],[PVP Competencia]]*0.98</f>
        <v>35.318554833333337</v>
      </c>
      <c r="I779" s="10">
        <f>Tabla1[[#This Row],[Precio Lista CDR]]*0.8</f>
        <v>28.254843866666672</v>
      </c>
      <c r="J779" s="10">
        <f>Tabla1[[#This Row],[Precio Lista CDR]]*0.7</f>
        <v>24.722988383333334</v>
      </c>
      <c r="K779" s="10">
        <f>Tabla1[[#This Row],[Precio Lista CDR]]*0.6</f>
        <v>21.191132900000003</v>
      </c>
      <c r="L779" s="12">
        <f>(Tabla1[[#This Row],[Precio Lista CDR]]-Tabla1[[#This Row],[PrecioFábrica]])/Tabla1[[#This Row],[Precio Lista CDR]]</f>
        <v>0.76240062181857216</v>
      </c>
      <c r="M779" s="12">
        <f>(Tabla1[[#This Row],[Lista 1 (20%)]]-Tabla1[[#This Row],[PrecioFábrica]])/Tabla1[[#This Row],[Lista 1 (20%)]]</f>
        <v>0.70300077727321497</v>
      </c>
      <c r="N779" s="12">
        <f>(Tabla1[[#This Row],[Lista 2 (30%)]]-Tabla1[[#This Row],[PrecioFábrica]])/Tabla1[[#This Row],[Lista 2 (30%)]]</f>
        <v>0.66057231688367424</v>
      </c>
      <c r="O779" s="12">
        <f>(Tabla1[[#This Row],[Lista 3 (40%)]]-Tabla1[[#This Row],[PrecioFábrica]])/Tabla1[[#This Row],[Lista 3 (40%)]]</f>
        <v>0.60400103636428681</v>
      </c>
    </row>
    <row r="780" spans="1:15">
      <c r="A780" t="s">
        <v>7</v>
      </c>
      <c r="B780" t="s">
        <v>789</v>
      </c>
      <c r="C780" t="s">
        <v>1591</v>
      </c>
      <c r="D780" t="s">
        <v>811</v>
      </c>
      <c r="E780" t="s">
        <v>5</v>
      </c>
      <c r="F780" s="3">
        <v>47.158333333333339</v>
      </c>
      <c r="G780" s="10">
        <f>VLOOKUP(Tabla1[[#This Row],[Código Unificador]],PRECIOS_COMPETENCIA!B:D,3,FALSE)</f>
        <v>162.22953333333336</v>
      </c>
      <c r="H780" s="10">
        <f>Tabla1[[#This Row],[PVP Competencia]]*0.98</f>
        <v>158.98494266666668</v>
      </c>
      <c r="I780" s="10">
        <f>Tabla1[[#This Row],[Precio Lista CDR]]*0.8</f>
        <v>127.18795413333335</v>
      </c>
      <c r="J780" s="10">
        <f>Tabla1[[#This Row],[Precio Lista CDR]]*0.7</f>
        <v>111.28945986666668</v>
      </c>
      <c r="K780" s="10">
        <f>Tabla1[[#This Row],[Precio Lista CDR]]*0.6</f>
        <v>95.390965600000001</v>
      </c>
      <c r="L780" s="12">
        <f>(Tabla1[[#This Row],[Precio Lista CDR]]-Tabla1[[#This Row],[PrecioFábrica]])/Tabla1[[#This Row],[Precio Lista CDR]]</f>
        <v>0.70337861848837391</v>
      </c>
      <c r="M780" s="12">
        <f>(Tabla1[[#This Row],[Lista 1 (20%)]]-Tabla1[[#This Row],[PrecioFábrica]])/Tabla1[[#This Row],[Lista 1 (20%)]]</f>
        <v>0.62922327311046733</v>
      </c>
      <c r="N780" s="12">
        <f>(Tabla1[[#This Row],[Lista 2 (30%)]]-Tabla1[[#This Row],[PrecioFábrica]])/Tabla1[[#This Row],[Lista 2 (30%)]]</f>
        <v>0.57625516926910569</v>
      </c>
      <c r="O780" s="12">
        <f>(Tabla1[[#This Row],[Lista 3 (40%)]]-Tabla1[[#This Row],[PrecioFábrica]])/Tabla1[[#This Row],[Lista 3 (40%)]]</f>
        <v>0.50563103081395644</v>
      </c>
    </row>
    <row r="781" spans="1:15">
      <c r="A781" t="s">
        <v>6</v>
      </c>
      <c r="B781" t="s">
        <v>790</v>
      </c>
      <c r="C781" t="s">
        <v>1592</v>
      </c>
      <c r="D781" t="s">
        <v>811</v>
      </c>
      <c r="E781" t="s">
        <v>5</v>
      </c>
      <c r="F781" s="3">
        <v>12.575000000000001</v>
      </c>
      <c r="G781" s="10">
        <f>VLOOKUP(Tabla1[[#This Row],[Código Unificador]],PRECIOS_COMPETENCIA!B:D,3,FALSE)</f>
        <v>49.020225000000003</v>
      </c>
      <c r="H781" s="10">
        <f>Tabla1[[#This Row],[PVP Competencia]]*0.98</f>
        <v>48.039820500000005</v>
      </c>
      <c r="I781" s="10">
        <f>Tabla1[[#This Row],[Precio Lista CDR]]*0.8</f>
        <v>38.431856400000008</v>
      </c>
      <c r="J781" s="10">
        <f>Tabla1[[#This Row],[Precio Lista CDR]]*0.7</f>
        <v>33.627874349999999</v>
      </c>
      <c r="K781" s="10">
        <f>Tabla1[[#This Row],[Precio Lista CDR]]*0.6</f>
        <v>28.823892300000001</v>
      </c>
      <c r="L781" s="12">
        <f>(Tabla1[[#This Row],[Precio Lista CDR]]-Tabla1[[#This Row],[PrecioFábrica]])/Tabla1[[#This Row],[Precio Lista CDR]]</f>
        <v>0.73823798946126362</v>
      </c>
      <c r="M781" s="12">
        <f>(Tabla1[[#This Row],[Lista 1 (20%)]]-Tabla1[[#This Row],[PrecioFábrica]])/Tabla1[[#This Row],[Lista 1 (20%)]]</f>
        <v>0.67279748682657958</v>
      </c>
      <c r="N781" s="12">
        <f>(Tabla1[[#This Row],[Lista 2 (30%)]]-Tabla1[[#This Row],[PrecioFábrica]])/Tabla1[[#This Row],[Lista 2 (30%)]]</f>
        <v>0.62605427065894803</v>
      </c>
      <c r="O781" s="12">
        <f>(Tabla1[[#This Row],[Lista 3 (40%)]]-Tabla1[[#This Row],[PrecioFábrica]])/Tabla1[[#This Row],[Lista 3 (40%)]]</f>
        <v>0.56372998243543959</v>
      </c>
    </row>
    <row r="782" spans="1:15">
      <c r="A782" t="s">
        <v>6</v>
      </c>
      <c r="B782" t="s">
        <v>791</v>
      </c>
      <c r="C782" t="s">
        <v>1593</v>
      </c>
      <c r="D782" t="s">
        <v>811</v>
      </c>
      <c r="E782" t="s">
        <v>5</v>
      </c>
      <c r="F782" s="3">
        <v>29.541666666666671</v>
      </c>
      <c r="G782" s="10">
        <f>VLOOKUP(Tabla1[[#This Row],[Código Unificador]],PRECIOS_COMPETENCIA!B:D,3,FALSE)</f>
        <v>101.66779166666669</v>
      </c>
      <c r="H782" s="10">
        <f>Tabla1[[#This Row],[PVP Competencia]]*0.98</f>
        <v>99.634435833333356</v>
      </c>
      <c r="I782" s="10">
        <f>Tabla1[[#This Row],[Precio Lista CDR]]*0.8</f>
        <v>79.707548666666696</v>
      </c>
      <c r="J782" s="10">
        <f>Tabla1[[#This Row],[Precio Lista CDR]]*0.7</f>
        <v>69.744105083333338</v>
      </c>
      <c r="K782" s="10">
        <f>Tabla1[[#This Row],[Precio Lista CDR]]*0.6</f>
        <v>59.780661500000008</v>
      </c>
      <c r="L782" s="12">
        <f>(Tabla1[[#This Row],[Precio Lista CDR]]-Tabla1[[#This Row],[PrecioFábrica]])/Tabla1[[#This Row],[Precio Lista CDR]]</f>
        <v>0.70349943350827593</v>
      </c>
      <c r="M782" s="12">
        <f>(Tabla1[[#This Row],[Lista 1 (20%)]]-Tabla1[[#This Row],[PrecioFábrica]])/Tabla1[[#This Row],[Lista 1 (20%)]]</f>
        <v>0.62937429188534499</v>
      </c>
      <c r="N782" s="12">
        <f>(Tabla1[[#This Row],[Lista 2 (30%)]]-Tabla1[[#This Row],[PrecioFábrica]])/Tabla1[[#This Row],[Lista 2 (30%)]]</f>
        <v>0.57642776215467983</v>
      </c>
      <c r="O782" s="12">
        <f>(Tabla1[[#This Row],[Lista 3 (40%)]]-Tabla1[[#This Row],[PrecioFábrica]])/Tabla1[[#This Row],[Lista 3 (40%)]]</f>
        <v>0.50583238918045981</v>
      </c>
    </row>
    <row r="783" spans="1:15">
      <c r="A783" t="s">
        <v>6</v>
      </c>
      <c r="B783" t="s">
        <v>792</v>
      </c>
      <c r="C783" t="s">
        <v>1594</v>
      </c>
      <c r="D783" t="s">
        <v>811</v>
      </c>
      <c r="E783" t="s">
        <v>5</v>
      </c>
      <c r="F783" s="3">
        <v>37.541666666666664</v>
      </c>
      <c r="G783" s="10">
        <f>VLOOKUP(Tabla1[[#This Row],[Código Unificador]],PRECIOS_COMPETENCIA!B:D,3,FALSE)</f>
        <v>133.22566666666665</v>
      </c>
      <c r="H783" s="10">
        <f>Tabla1[[#This Row],[PVP Competencia]]*0.98</f>
        <v>130.56115333333332</v>
      </c>
      <c r="I783" s="10">
        <f>Tabla1[[#This Row],[Precio Lista CDR]]*0.8</f>
        <v>104.44892266666666</v>
      </c>
      <c r="J783" s="10">
        <f>Tabla1[[#This Row],[Precio Lista CDR]]*0.7</f>
        <v>91.392807333333323</v>
      </c>
      <c r="K783" s="10">
        <f>Tabla1[[#This Row],[Precio Lista CDR]]*0.6</f>
        <v>78.336691999999985</v>
      </c>
      <c r="L783" s="12">
        <f>(Tabla1[[#This Row],[Precio Lista CDR]]-Tabla1[[#This Row],[PrecioFábrica]])/Tabla1[[#This Row],[Precio Lista CDR]]</f>
        <v>0.71245913728396915</v>
      </c>
      <c r="M783" s="12">
        <f>(Tabla1[[#This Row],[Lista 1 (20%)]]-Tabla1[[#This Row],[PrecioFábrica]])/Tabla1[[#This Row],[Lista 1 (20%)]]</f>
        <v>0.64057392160496129</v>
      </c>
      <c r="N783" s="12">
        <f>(Tabla1[[#This Row],[Lista 2 (30%)]]-Tabla1[[#This Row],[PrecioFábrica]])/Tabla1[[#This Row],[Lista 2 (30%)]]</f>
        <v>0.58922733897709867</v>
      </c>
      <c r="O783" s="12">
        <f>(Tabla1[[#This Row],[Lista 3 (40%)]]-Tabla1[[#This Row],[PrecioFábrica]])/Tabla1[[#This Row],[Lista 3 (40%)]]</f>
        <v>0.52076522880661502</v>
      </c>
    </row>
    <row r="784" spans="1:15">
      <c r="A784" t="s">
        <v>6</v>
      </c>
      <c r="B784" t="s">
        <v>793</v>
      </c>
      <c r="C784" t="s">
        <v>1595</v>
      </c>
      <c r="D784" t="s">
        <v>811</v>
      </c>
      <c r="E784" t="s">
        <v>5</v>
      </c>
      <c r="F784" s="3">
        <v>5.7416666666666663</v>
      </c>
      <c r="G784" s="10">
        <f>VLOOKUP(Tabla1[[#This Row],[Código Unificador]],PRECIOS_COMPETENCIA!B:D,3,FALSE)</f>
        <v>27.816391666666664</v>
      </c>
      <c r="H784" s="10">
        <f>Tabla1[[#This Row],[PVP Competencia]]*0.98</f>
        <v>27.26006383333333</v>
      </c>
      <c r="I784" s="10">
        <f>Tabla1[[#This Row],[Precio Lista CDR]]*0.8</f>
        <v>21.808051066666664</v>
      </c>
      <c r="J784" s="10">
        <f>Tabla1[[#This Row],[Precio Lista CDR]]*0.7</f>
        <v>19.082044683333329</v>
      </c>
      <c r="K784" s="10">
        <f>Tabla1[[#This Row],[Precio Lista CDR]]*0.6</f>
        <v>16.356038299999998</v>
      </c>
      <c r="L784" s="12">
        <f>(Tabla1[[#This Row],[Precio Lista CDR]]-Tabla1[[#This Row],[PrecioFábrica]])/Tabla1[[#This Row],[Precio Lista CDR]]</f>
        <v>0.78937442326727736</v>
      </c>
      <c r="M784" s="12">
        <f>(Tabla1[[#This Row],[Lista 1 (20%)]]-Tabla1[[#This Row],[PrecioFábrica]])/Tabla1[[#This Row],[Lista 1 (20%)]]</f>
        <v>0.73671802908409667</v>
      </c>
      <c r="N784" s="12">
        <f>(Tabla1[[#This Row],[Lista 2 (30%)]]-Tabla1[[#This Row],[PrecioFábrica]])/Tabla1[[#This Row],[Lista 2 (30%)]]</f>
        <v>0.69910631895325337</v>
      </c>
      <c r="O784" s="12">
        <f>(Tabla1[[#This Row],[Lista 3 (40%)]]-Tabla1[[#This Row],[PrecioFábrica]])/Tabla1[[#This Row],[Lista 3 (40%)]]</f>
        <v>0.64895737211212889</v>
      </c>
    </row>
    <row r="785" spans="1:15">
      <c r="A785" t="s">
        <v>9</v>
      </c>
      <c r="B785" t="s">
        <v>794</v>
      </c>
      <c r="C785" t="s">
        <v>1596</v>
      </c>
      <c r="D785" t="s">
        <v>811</v>
      </c>
      <c r="E785" t="s">
        <v>5</v>
      </c>
      <c r="F785" s="3">
        <v>2.4083333333333337</v>
      </c>
      <c r="G785" s="10">
        <f>VLOOKUP(Tabla1[[#This Row],[Código Unificador]],PRECIOS_COMPETENCIA!B:D,3,FALSE)</f>
        <v>17.333375000000004</v>
      </c>
      <c r="H785" s="10">
        <f>Tabla1[[#This Row],[PVP Competencia]]*0.98</f>
        <v>16.986707500000005</v>
      </c>
      <c r="I785" s="10">
        <f>Tabla1[[#This Row],[Precio Lista CDR]]*0.8</f>
        <v>13.589366000000005</v>
      </c>
      <c r="J785" s="10">
        <f>Tabla1[[#This Row],[Precio Lista CDR]]*0.7</f>
        <v>11.890695250000002</v>
      </c>
      <c r="K785" s="10">
        <f>Tabla1[[#This Row],[Precio Lista CDR]]*0.6</f>
        <v>10.192024500000002</v>
      </c>
      <c r="L785" s="12">
        <f>(Tabla1[[#This Row],[Precio Lista CDR]]-Tabla1[[#This Row],[PrecioFábrica]])/Tabla1[[#This Row],[Precio Lista CDR]]</f>
        <v>0.85822247581920552</v>
      </c>
      <c r="M785" s="12">
        <f>(Tabla1[[#This Row],[Lista 1 (20%)]]-Tabla1[[#This Row],[PrecioFábrica]])/Tabla1[[#This Row],[Lista 1 (20%)]]</f>
        <v>0.82277809477400699</v>
      </c>
      <c r="N785" s="12">
        <f>(Tabla1[[#This Row],[Lista 2 (30%)]]-Tabla1[[#This Row],[PrecioFábrica]])/Tabla1[[#This Row],[Lista 2 (30%)]]</f>
        <v>0.79746067974172219</v>
      </c>
      <c r="O785" s="12">
        <f>(Tabla1[[#This Row],[Lista 3 (40%)]]-Tabla1[[#This Row],[PrecioFábrica]])/Tabla1[[#This Row],[Lista 3 (40%)]]</f>
        <v>0.76370412636534257</v>
      </c>
    </row>
    <row r="786" spans="1:15">
      <c r="A786" t="s">
        <v>6</v>
      </c>
      <c r="B786" t="s">
        <v>795</v>
      </c>
      <c r="C786" t="s">
        <v>1597</v>
      </c>
      <c r="D786" t="s">
        <v>811</v>
      </c>
      <c r="E786" t="s">
        <v>5</v>
      </c>
      <c r="F786" s="3">
        <v>3.916666666666667</v>
      </c>
      <c r="G786" s="10">
        <f>VLOOKUP(Tabla1[[#This Row],[Código Unificador]],PRECIOS_COMPETENCIA!B:D,3,FALSE)</f>
        <v>21.585500000000003</v>
      </c>
      <c r="H786" s="10">
        <f>Tabla1[[#This Row],[PVP Competencia]]*0.98</f>
        <v>21.153790000000004</v>
      </c>
      <c r="I786" s="10">
        <f>Tabla1[[#This Row],[Precio Lista CDR]]*0.8</f>
        <v>16.923032000000003</v>
      </c>
      <c r="J786" s="10">
        <f>Tabla1[[#This Row],[Precio Lista CDR]]*0.7</f>
        <v>14.807653000000002</v>
      </c>
      <c r="K786" s="10">
        <f>Tabla1[[#This Row],[Precio Lista CDR]]*0.6</f>
        <v>12.692274000000003</v>
      </c>
      <c r="L786" s="12">
        <f>(Tabla1[[#This Row],[Precio Lista CDR]]-Tabla1[[#This Row],[PrecioFábrica]])/Tabla1[[#This Row],[Precio Lista CDR]]</f>
        <v>0.81484799335406721</v>
      </c>
      <c r="M786" s="12">
        <f>(Tabla1[[#This Row],[Lista 1 (20%)]]-Tabla1[[#This Row],[PrecioFábrica]])/Tabla1[[#This Row],[Lista 1 (20%)]]</f>
        <v>0.76855999169258393</v>
      </c>
      <c r="N786" s="12">
        <f>(Tabla1[[#This Row],[Lista 2 (30%)]]-Tabla1[[#This Row],[PrecioFábrica]])/Tabla1[[#This Row],[Lista 2 (30%)]]</f>
        <v>0.73549713336295308</v>
      </c>
      <c r="O786" s="12">
        <f>(Tabla1[[#This Row],[Lista 3 (40%)]]-Tabla1[[#This Row],[PrecioFábrica]])/Tabla1[[#This Row],[Lista 3 (40%)]]</f>
        <v>0.69141332225677876</v>
      </c>
    </row>
    <row r="787" spans="1:15">
      <c r="A787" t="s">
        <v>6</v>
      </c>
      <c r="B787" t="s">
        <v>796</v>
      </c>
      <c r="C787" t="s">
        <v>1598</v>
      </c>
      <c r="D787" t="s">
        <v>811</v>
      </c>
      <c r="E787" t="s">
        <v>5</v>
      </c>
      <c r="F787" s="3">
        <v>4.9916666666666671</v>
      </c>
      <c r="G787" s="10">
        <f>VLOOKUP(Tabla1[[#This Row],[Código Unificador]],PRECIOS_COMPETENCIA!B:D,3,FALSE)</f>
        <v>25.344383333333333</v>
      </c>
      <c r="H787" s="10">
        <f>Tabla1[[#This Row],[PVP Competencia]]*0.98</f>
        <v>24.837495666666666</v>
      </c>
      <c r="I787" s="10">
        <f>Tabla1[[#This Row],[Precio Lista CDR]]*0.8</f>
        <v>19.869996533333335</v>
      </c>
      <c r="J787" s="10">
        <f>Tabla1[[#This Row],[Precio Lista CDR]]*0.7</f>
        <v>17.386246966666665</v>
      </c>
      <c r="K787" s="10">
        <f>Tabla1[[#This Row],[Precio Lista CDR]]*0.6</f>
        <v>14.902497399999998</v>
      </c>
      <c r="L787" s="12">
        <f>(Tabla1[[#This Row],[Precio Lista CDR]]-Tabla1[[#This Row],[PrecioFábrica]])/Tabla1[[#This Row],[Precio Lista CDR]]</f>
        <v>0.79902697382789001</v>
      </c>
      <c r="M787" s="12">
        <f>(Tabla1[[#This Row],[Lista 1 (20%)]]-Tabla1[[#This Row],[PrecioFábrica]])/Tabla1[[#This Row],[Lista 1 (20%)]]</f>
        <v>0.74878371728486259</v>
      </c>
      <c r="N787" s="12">
        <f>(Tabla1[[#This Row],[Lista 2 (30%)]]-Tabla1[[#This Row],[PrecioFábrica]])/Tabla1[[#This Row],[Lista 2 (30%)]]</f>
        <v>0.71289567689698574</v>
      </c>
      <c r="O787" s="12">
        <f>(Tabla1[[#This Row],[Lista 3 (40%)]]-Tabla1[[#This Row],[PrecioFábrica]])/Tabla1[[#This Row],[Lista 3 (40%)]]</f>
        <v>0.66504495637981675</v>
      </c>
    </row>
    <row r="788" spans="1:15">
      <c r="A788" t="s">
        <v>6</v>
      </c>
      <c r="B788" t="s">
        <v>797</v>
      </c>
      <c r="C788" t="s">
        <v>1599</v>
      </c>
      <c r="D788" t="s">
        <v>811</v>
      </c>
      <c r="E788" t="s">
        <v>5</v>
      </c>
      <c r="F788" s="3">
        <v>5.8416666666666668</v>
      </c>
      <c r="G788" s="10">
        <f>VLOOKUP(Tabla1[[#This Row],[Código Unificador]],PRECIOS_COMPETENCIA!B:D,3,FALSE)</f>
        <v>28.296099999999999</v>
      </c>
      <c r="H788" s="10">
        <f>Tabla1[[#This Row],[PVP Competencia]]*0.98</f>
        <v>27.730177999999999</v>
      </c>
      <c r="I788" s="10">
        <f>Tabla1[[#This Row],[Precio Lista CDR]]*0.8</f>
        <v>22.184142399999999</v>
      </c>
      <c r="J788" s="10">
        <f>Tabla1[[#This Row],[Precio Lista CDR]]*0.7</f>
        <v>19.411124599999997</v>
      </c>
      <c r="K788" s="10">
        <f>Tabla1[[#This Row],[Precio Lista CDR]]*0.6</f>
        <v>16.638106799999999</v>
      </c>
      <c r="L788" s="12">
        <f>(Tabla1[[#This Row],[Precio Lista CDR]]-Tabla1[[#This Row],[PrecioFábrica]])/Tabla1[[#This Row],[Precio Lista CDR]]</f>
        <v>0.78933901301799558</v>
      </c>
      <c r="M788" s="12">
        <f>(Tabla1[[#This Row],[Lista 1 (20%)]]-Tabla1[[#This Row],[PrecioFábrica]])/Tabla1[[#This Row],[Lista 1 (20%)]]</f>
        <v>0.73667376627249437</v>
      </c>
      <c r="N788" s="12">
        <f>(Tabla1[[#This Row],[Lista 2 (30%)]]-Tabla1[[#This Row],[PrecioFábrica]])/Tabla1[[#This Row],[Lista 2 (30%)]]</f>
        <v>0.69905573288285072</v>
      </c>
      <c r="O788" s="12">
        <f>(Tabla1[[#This Row],[Lista 3 (40%)]]-Tabla1[[#This Row],[PrecioFábrica]])/Tabla1[[#This Row],[Lista 3 (40%)]]</f>
        <v>0.64889835502999249</v>
      </c>
    </row>
    <row r="789" spans="1:15">
      <c r="A789" t="s">
        <v>6</v>
      </c>
      <c r="B789" t="s">
        <v>798</v>
      </c>
      <c r="C789" t="s">
        <v>1600</v>
      </c>
      <c r="D789" t="s">
        <v>811</v>
      </c>
      <c r="E789" t="s">
        <v>5</v>
      </c>
      <c r="F789" s="3">
        <v>11.091666666666667</v>
      </c>
      <c r="G789" s="10">
        <f>VLOOKUP(Tabla1[[#This Row],[Código Unificador]],PRECIOS_COMPETENCIA!B:D,3,FALSE)</f>
        <v>44.417441666666676</v>
      </c>
      <c r="H789" s="10">
        <f>Tabla1[[#This Row],[PVP Competencia]]*0.98</f>
        <v>43.529092833333344</v>
      </c>
      <c r="I789" s="10">
        <f>Tabla1[[#This Row],[Precio Lista CDR]]*0.8</f>
        <v>34.823274266666679</v>
      </c>
      <c r="J789" s="10">
        <f>Tabla1[[#This Row],[Precio Lista CDR]]*0.7</f>
        <v>30.47036498333334</v>
      </c>
      <c r="K789" s="10">
        <f>Tabla1[[#This Row],[Precio Lista CDR]]*0.6</f>
        <v>26.117455700000004</v>
      </c>
      <c r="L789" s="12">
        <f>(Tabla1[[#This Row],[Precio Lista CDR]]-Tabla1[[#This Row],[PrecioFábrica]])/Tabla1[[#This Row],[Precio Lista CDR]]</f>
        <v>0.7451895744959568</v>
      </c>
      <c r="M789" s="12">
        <f>(Tabla1[[#This Row],[Lista 1 (20%)]]-Tabla1[[#This Row],[PrecioFábrica]])/Tabla1[[#This Row],[Lista 1 (20%)]]</f>
        <v>0.68148696811994602</v>
      </c>
      <c r="N789" s="12">
        <f>(Tabla1[[#This Row],[Lista 2 (30%)]]-Tabla1[[#This Row],[PrecioFábrica]])/Tabla1[[#This Row],[Lista 2 (30%)]]</f>
        <v>0.63598510642279538</v>
      </c>
      <c r="O789" s="12">
        <f>(Tabla1[[#This Row],[Lista 3 (40%)]]-Tabla1[[#This Row],[PrecioFábrica]])/Tabla1[[#This Row],[Lista 3 (40%)]]</f>
        <v>0.57531595749326125</v>
      </c>
    </row>
    <row r="790" spans="1:15">
      <c r="A790" t="s">
        <v>6</v>
      </c>
      <c r="B790" t="s">
        <v>799</v>
      </c>
      <c r="C790" t="s">
        <v>1601</v>
      </c>
      <c r="D790" t="s">
        <v>811</v>
      </c>
      <c r="E790" t="s">
        <v>5</v>
      </c>
      <c r="F790" s="3">
        <v>5.7416666666666663</v>
      </c>
      <c r="G790" s="10">
        <f>VLOOKUP(Tabla1[[#This Row],[Código Unificador]],PRECIOS_COMPETENCIA!B:D,3,FALSE)</f>
        <v>26.983849999999997</v>
      </c>
      <c r="H790" s="10">
        <f>Tabla1[[#This Row],[PVP Competencia]]*0.98</f>
        <v>26.444172999999996</v>
      </c>
      <c r="I790" s="10">
        <f>Tabla1[[#This Row],[Precio Lista CDR]]*0.8</f>
        <v>21.155338399999998</v>
      </c>
      <c r="J790" s="10">
        <f>Tabla1[[#This Row],[Precio Lista CDR]]*0.7</f>
        <v>18.510921099999997</v>
      </c>
      <c r="K790" s="10">
        <f>Tabla1[[#This Row],[Precio Lista CDR]]*0.6</f>
        <v>15.866503799999997</v>
      </c>
      <c r="L790" s="12">
        <f>(Tabla1[[#This Row],[Precio Lista CDR]]-Tabla1[[#This Row],[PrecioFábrica]])/Tabla1[[#This Row],[Precio Lista CDR]]</f>
        <v>0.78287592254570915</v>
      </c>
      <c r="M790" s="12">
        <f>(Tabla1[[#This Row],[Lista 1 (20%)]]-Tabla1[[#This Row],[PrecioFábrica]])/Tabla1[[#This Row],[Lista 1 (20%)]]</f>
        <v>0.72859490318213638</v>
      </c>
      <c r="N790" s="12">
        <f>(Tabla1[[#This Row],[Lista 2 (30%)]]-Tabla1[[#This Row],[PrecioFábrica]])/Tabla1[[#This Row],[Lista 2 (30%)]]</f>
        <v>0.6898227464938701</v>
      </c>
      <c r="O790" s="12">
        <f>(Tabla1[[#This Row],[Lista 3 (40%)]]-Tabla1[[#This Row],[PrecioFábrica]])/Tabla1[[#This Row],[Lista 3 (40%)]]</f>
        <v>0.63812653757618187</v>
      </c>
    </row>
    <row r="791" spans="1:15">
      <c r="A791" t="s">
        <v>6</v>
      </c>
      <c r="B791" t="s">
        <v>800</v>
      </c>
      <c r="C791" t="s">
        <v>1602</v>
      </c>
      <c r="D791" t="s">
        <v>811</v>
      </c>
      <c r="E791" t="s">
        <v>5</v>
      </c>
      <c r="F791" s="3">
        <v>5.7416666666666663</v>
      </c>
      <c r="G791" s="10">
        <f>VLOOKUP(Tabla1[[#This Row],[Código Unificador]],PRECIOS_COMPETENCIA!B:D,3,FALSE)</f>
        <v>26.983849999999997</v>
      </c>
      <c r="H791" s="10">
        <f>Tabla1[[#This Row],[PVP Competencia]]*0.98</f>
        <v>26.444172999999996</v>
      </c>
      <c r="I791" s="10">
        <f>Tabla1[[#This Row],[Precio Lista CDR]]*0.8</f>
        <v>21.155338399999998</v>
      </c>
      <c r="J791" s="10">
        <f>Tabla1[[#This Row],[Precio Lista CDR]]*0.7</f>
        <v>18.510921099999997</v>
      </c>
      <c r="K791" s="10">
        <f>Tabla1[[#This Row],[Precio Lista CDR]]*0.6</f>
        <v>15.866503799999997</v>
      </c>
      <c r="L791" s="12">
        <f>(Tabla1[[#This Row],[Precio Lista CDR]]-Tabla1[[#This Row],[PrecioFábrica]])/Tabla1[[#This Row],[Precio Lista CDR]]</f>
        <v>0.78287592254570915</v>
      </c>
      <c r="M791" s="12">
        <f>(Tabla1[[#This Row],[Lista 1 (20%)]]-Tabla1[[#This Row],[PrecioFábrica]])/Tabla1[[#This Row],[Lista 1 (20%)]]</f>
        <v>0.72859490318213638</v>
      </c>
      <c r="N791" s="12">
        <f>(Tabla1[[#This Row],[Lista 2 (30%)]]-Tabla1[[#This Row],[PrecioFábrica]])/Tabla1[[#This Row],[Lista 2 (30%)]]</f>
        <v>0.6898227464938701</v>
      </c>
      <c r="O791" s="12">
        <f>(Tabla1[[#This Row],[Lista 3 (40%)]]-Tabla1[[#This Row],[PrecioFábrica]])/Tabla1[[#This Row],[Lista 3 (40%)]]</f>
        <v>0.63812653757618187</v>
      </c>
    </row>
    <row r="792" spans="1:15">
      <c r="A792" t="s">
        <v>6</v>
      </c>
      <c r="B792" t="s">
        <v>801</v>
      </c>
      <c r="C792" t="s">
        <v>1603</v>
      </c>
      <c r="D792" t="s">
        <v>811</v>
      </c>
      <c r="E792" t="s">
        <v>5</v>
      </c>
      <c r="F792" s="3">
        <v>5.7416666666666663</v>
      </c>
      <c r="G792" s="10">
        <f>VLOOKUP(Tabla1[[#This Row],[Código Unificador]],PRECIOS_COMPETENCIA!B:D,3,FALSE)</f>
        <v>27.982899999999997</v>
      </c>
      <c r="H792" s="10">
        <f>Tabla1[[#This Row],[PVP Competencia]]*0.98</f>
        <v>27.423241999999998</v>
      </c>
      <c r="I792" s="10">
        <f>Tabla1[[#This Row],[Precio Lista CDR]]*0.8</f>
        <v>21.938593600000001</v>
      </c>
      <c r="J792" s="10">
        <f>Tabla1[[#This Row],[Precio Lista CDR]]*0.7</f>
        <v>19.196269399999998</v>
      </c>
      <c r="K792" s="10">
        <f>Tabla1[[#This Row],[Precio Lista CDR]]*0.6</f>
        <v>16.4539452</v>
      </c>
      <c r="L792" s="12">
        <f>(Tabla1[[#This Row],[Precio Lista CDR]]-Tabla1[[#This Row],[PrecioFábrica]])/Tabla1[[#This Row],[Precio Lista CDR]]</f>
        <v>0.79062772130783565</v>
      </c>
      <c r="M792" s="12">
        <f>(Tabla1[[#This Row],[Lista 1 (20%)]]-Tabla1[[#This Row],[PrecioFábrica]])/Tabla1[[#This Row],[Lista 1 (20%)]]</f>
        <v>0.73828465163479451</v>
      </c>
      <c r="N792" s="12">
        <f>(Tabla1[[#This Row],[Lista 2 (30%)]]-Tabla1[[#This Row],[PrecioFábrica]])/Tabla1[[#This Row],[Lista 2 (30%)]]</f>
        <v>0.70089674472547947</v>
      </c>
      <c r="O792" s="12">
        <f>(Tabla1[[#This Row],[Lista 3 (40%)]]-Tabla1[[#This Row],[PrecioFábrica]])/Tabla1[[#This Row],[Lista 3 (40%)]]</f>
        <v>0.65104620217972609</v>
      </c>
    </row>
    <row r="793" spans="1:15">
      <c r="A793" t="s">
        <v>6</v>
      </c>
      <c r="B793" t="s">
        <v>802</v>
      </c>
      <c r="C793" t="s">
        <v>1604</v>
      </c>
      <c r="D793" t="s">
        <v>811</v>
      </c>
      <c r="E793" t="s">
        <v>5</v>
      </c>
      <c r="F793" s="3">
        <v>5.7416666666666663</v>
      </c>
      <c r="G793" s="10">
        <f>VLOOKUP(Tabla1[[#This Row],[Código Unificador]],PRECIOS_COMPETENCIA!B:D,3,FALSE)</f>
        <v>27.649883333333332</v>
      </c>
      <c r="H793" s="10">
        <f>Tabla1[[#This Row],[PVP Competencia]]*0.98</f>
        <v>27.096885666666665</v>
      </c>
      <c r="I793" s="10">
        <f>Tabla1[[#This Row],[Precio Lista CDR]]*0.8</f>
        <v>21.677508533333334</v>
      </c>
      <c r="J793" s="10">
        <f>Tabla1[[#This Row],[Precio Lista CDR]]*0.7</f>
        <v>18.967819966666664</v>
      </c>
      <c r="K793" s="10">
        <f>Tabla1[[#This Row],[Precio Lista CDR]]*0.6</f>
        <v>16.2581314</v>
      </c>
      <c r="L793" s="12">
        <f>(Tabla1[[#This Row],[Precio Lista CDR]]-Tabla1[[#This Row],[PrecioFábrica]])/Tabla1[[#This Row],[Precio Lista CDR]]</f>
        <v>0.78810603043840566</v>
      </c>
      <c r="M793" s="12">
        <f>(Tabla1[[#This Row],[Lista 1 (20%)]]-Tabla1[[#This Row],[PrecioFábrica]])/Tabla1[[#This Row],[Lista 1 (20%)]]</f>
        <v>0.73513253804800716</v>
      </c>
      <c r="N793" s="12">
        <f>(Tabla1[[#This Row],[Lista 2 (30%)]]-Tabla1[[#This Row],[PrecioFábrica]])/Tabla1[[#This Row],[Lista 2 (30%)]]</f>
        <v>0.69729432919772238</v>
      </c>
      <c r="O793" s="12">
        <f>(Tabla1[[#This Row],[Lista 3 (40%)]]-Tabla1[[#This Row],[PrecioFábrica]])/Tabla1[[#This Row],[Lista 3 (40%)]]</f>
        <v>0.64684338406400954</v>
      </c>
    </row>
    <row r="794" spans="1:15">
      <c r="A794" t="s">
        <v>6</v>
      </c>
      <c r="B794" t="s">
        <v>803</v>
      </c>
      <c r="C794" t="s">
        <v>1612</v>
      </c>
      <c r="D794" t="s">
        <v>811</v>
      </c>
      <c r="E794" t="s">
        <v>5</v>
      </c>
      <c r="F794" s="3">
        <v>5.7416666666666663</v>
      </c>
      <c r="G794" s="10">
        <f>VLOOKUP(Tabla1[[#This Row],[Código Unificador]],PRECIOS_COMPETENCIA!B:D,3,FALSE)</f>
        <v>27.483374999999999</v>
      </c>
      <c r="H794" s="10">
        <f>Tabla1[[#This Row],[PVP Competencia]]*0.98</f>
        <v>26.933707499999997</v>
      </c>
      <c r="I794" s="10">
        <f>Tabla1[[#This Row],[Precio Lista CDR]]*0.8</f>
        <v>21.546965999999998</v>
      </c>
      <c r="J794" s="10">
        <f>Tabla1[[#This Row],[Precio Lista CDR]]*0.7</f>
        <v>18.853595249999998</v>
      </c>
      <c r="K794" s="10">
        <f>Tabla1[[#This Row],[Precio Lista CDR]]*0.6</f>
        <v>16.160224499999998</v>
      </c>
      <c r="L794" s="12">
        <f>(Tabla1[[#This Row],[Precio Lista CDR]]-Tabla1[[#This Row],[PrecioFábrica]])/Tabla1[[#This Row],[Precio Lista CDR]]</f>
        <v>0.78682226846539161</v>
      </c>
      <c r="M794" s="12">
        <f>(Tabla1[[#This Row],[Lista 1 (20%)]]-Tabla1[[#This Row],[PrecioFábrica]])/Tabla1[[#This Row],[Lista 1 (20%)]]</f>
        <v>0.73352783558173951</v>
      </c>
      <c r="N794" s="12">
        <f>(Tabla1[[#This Row],[Lista 2 (30%)]]-Tabla1[[#This Row],[PrecioFábrica]])/Tabla1[[#This Row],[Lista 2 (30%)]]</f>
        <v>0.69546038352198802</v>
      </c>
      <c r="O794" s="12">
        <f>(Tabla1[[#This Row],[Lista 3 (40%)]]-Tabla1[[#This Row],[PrecioFábrica]])/Tabla1[[#This Row],[Lista 3 (40%)]]</f>
        <v>0.64470378077565271</v>
      </c>
    </row>
    <row r="795" spans="1:15">
      <c r="A795" t="s">
        <v>6</v>
      </c>
      <c r="B795" t="s">
        <v>804</v>
      </c>
      <c r="C795" t="s">
        <v>1605</v>
      </c>
      <c r="D795" t="s">
        <v>811</v>
      </c>
      <c r="E795" t="s">
        <v>5</v>
      </c>
      <c r="F795" s="3">
        <v>5.7416666666666663</v>
      </c>
      <c r="G795" s="10">
        <f>VLOOKUP(Tabla1[[#This Row],[Código Unificador]],PRECIOS_COMPETENCIA!B:D,3,FALSE)</f>
        <v>27.649883333333332</v>
      </c>
      <c r="H795" s="10">
        <f>Tabla1[[#This Row],[PVP Competencia]]*0.98</f>
        <v>27.096885666666665</v>
      </c>
      <c r="I795" s="10">
        <f>Tabla1[[#This Row],[Precio Lista CDR]]*0.8</f>
        <v>21.677508533333334</v>
      </c>
      <c r="J795" s="10">
        <f>Tabla1[[#This Row],[Precio Lista CDR]]*0.7</f>
        <v>18.967819966666664</v>
      </c>
      <c r="K795" s="10">
        <f>Tabla1[[#This Row],[Precio Lista CDR]]*0.6</f>
        <v>16.2581314</v>
      </c>
      <c r="L795" s="12">
        <f>(Tabla1[[#This Row],[Precio Lista CDR]]-Tabla1[[#This Row],[PrecioFábrica]])/Tabla1[[#This Row],[Precio Lista CDR]]</f>
        <v>0.78810603043840566</v>
      </c>
      <c r="M795" s="12">
        <f>(Tabla1[[#This Row],[Lista 1 (20%)]]-Tabla1[[#This Row],[PrecioFábrica]])/Tabla1[[#This Row],[Lista 1 (20%)]]</f>
        <v>0.73513253804800716</v>
      </c>
      <c r="N795" s="12">
        <f>(Tabla1[[#This Row],[Lista 2 (30%)]]-Tabla1[[#This Row],[PrecioFábrica]])/Tabla1[[#This Row],[Lista 2 (30%)]]</f>
        <v>0.69729432919772238</v>
      </c>
      <c r="O795" s="12">
        <f>(Tabla1[[#This Row],[Lista 3 (40%)]]-Tabla1[[#This Row],[PrecioFábrica]])/Tabla1[[#This Row],[Lista 3 (40%)]]</f>
        <v>0.64684338406400954</v>
      </c>
    </row>
    <row r="796" spans="1:15">
      <c r="A796" t="s">
        <v>6</v>
      </c>
      <c r="B796" t="s">
        <v>805</v>
      </c>
      <c r="C796" t="s">
        <v>1606</v>
      </c>
      <c r="D796" t="s">
        <v>811</v>
      </c>
      <c r="E796" t="s">
        <v>5</v>
      </c>
      <c r="F796" s="3">
        <v>5.7416666666666663</v>
      </c>
      <c r="G796" s="10">
        <f>VLOOKUP(Tabla1[[#This Row],[Código Unificador]],PRECIOS_COMPETENCIA!B:D,3,FALSE)</f>
        <v>27.316866666666666</v>
      </c>
      <c r="H796" s="10">
        <f>Tabla1[[#This Row],[PVP Competencia]]*0.98</f>
        <v>26.770529333333332</v>
      </c>
      <c r="I796" s="10">
        <f>Tabla1[[#This Row],[Precio Lista CDR]]*0.8</f>
        <v>21.416423466666668</v>
      </c>
      <c r="J796" s="10">
        <f>Tabla1[[#This Row],[Precio Lista CDR]]*0.7</f>
        <v>18.739370533333332</v>
      </c>
      <c r="K796" s="10">
        <f>Tabla1[[#This Row],[Precio Lista CDR]]*0.6</f>
        <v>16.0623176</v>
      </c>
      <c r="L796" s="12">
        <f>(Tabla1[[#This Row],[Precio Lista CDR]]-Tabla1[[#This Row],[PrecioFábrica]])/Tabla1[[#This Row],[Precio Lista CDR]]</f>
        <v>0.78552285630312779</v>
      </c>
      <c r="M796" s="12">
        <f>(Tabla1[[#This Row],[Lista 1 (20%)]]-Tabla1[[#This Row],[PrecioFábrica]])/Tabla1[[#This Row],[Lista 1 (20%)]]</f>
        <v>0.73190357037890974</v>
      </c>
      <c r="N796" s="12">
        <f>(Tabla1[[#This Row],[Lista 2 (30%)]]-Tabla1[[#This Row],[PrecioFábrica]])/Tabla1[[#This Row],[Lista 2 (30%)]]</f>
        <v>0.69360408043303967</v>
      </c>
      <c r="O796" s="12">
        <f>(Tabla1[[#This Row],[Lista 3 (40%)]]-Tabla1[[#This Row],[PrecioFábrica]])/Tabla1[[#This Row],[Lista 3 (40%)]]</f>
        <v>0.64253809383854621</v>
      </c>
    </row>
    <row r="797" spans="1:15">
      <c r="A797" t="s">
        <v>6</v>
      </c>
      <c r="B797" t="s">
        <v>806</v>
      </c>
      <c r="C797" t="s">
        <v>1607</v>
      </c>
      <c r="D797" t="s">
        <v>811</v>
      </c>
      <c r="E797" t="s">
        <v>5</v>
      </c>
      <c r="F797" s="3">
        <v>5.7416666666666663</v>
      </c>
      <c r="G797" s="10">
        <f>VLOOKUP(Tabla1[[#This Row],[Código Unificador]],PRECIOS_COMPETENCIA!B:D,3,FALSE)</f>
        <v>27.649883333333332</v>
      </c>
      <c r="H797" s="10">
        <f>Tabla1[[#This Row],[PVP Competencia]]*0.98</f>
        <v>27.096885666666665</v>
      </c>
      <c r="I797" s="10">
        <f>Tabla1[[#This Row],[Precio Lista CDR]]*0.8</f>
        <v>21.677508533333334</v>
      </c>
      <c r="J797" s="10">
        <f>Tabla1[[#This Row],[Precio Lista CDR]]*0.7</f>
        <v>18.967819966666664</v>
      </c>
      <c r="K797" s="10">
        <f>Tabla1[[#This Row],[Precio Lista CDR]]*0.6</f>
        <v>16.2581314</v>
      </c>
      <c r="L797" s="12">
        <f>(Tabla1[[#This Row],[Precio Lista CDR]]-Tabla1[[#This Row],[PrecioFábrica]])/Tabla1[[#This Row],[Precio Lista CDR]]</f>
        <v>0.78810603043840566</v>
      </c>
      <c r="M797" s="12">
        <f>(Tabla1[[#This Row],[Lista 1 (20%)]]-Tabla1[[#This Row],[PrecioFábrica]])/Tabla1[[#This Row],[Lista 1 (20%)]]</f>
        <v>0.73513253804800716</v>
      </c>
      <c r="N797" s="12">
        <f>(Tabla1[[#This Row],[Lista 2 (30%)]]-Tabla1[[#This Row],[PrecioFábrica]])/Tabla1[[#This Row],[Lista 2 (30%)]]</f>
        <v>0.69729432919772238</v>
      </c>
      <c r="O797" s="12">
        <f>(Tabla1[[#This Row],[Lista 3 (40%)]]-Tabla1[[#This Row],[PrecioFábrica]])/Tabla1[[#This Row],[Lista 3 (40%)]]</f>
        <v>0.64684338406400954</v>
      </c>
    </row>
    <row r="798" spans="1:15">
      <c r="A798" t="s">
        <v>6</v>
      </c>
      <c r="B798" t="s">
        <v>807</v>
      </c>
      <c r="C798" t="s">
        <v>1608</v>
      </c>
      <c r="D798" t="s">
        <v>811</v>
      </c>
      <c r="E798" t="s">
        <v>5</v>
      </c>
      <c r="F798" s="3">
        <v>5.7416666666666663</v>
      </c>
      <c r="G798" s="10">
        <f>VLOOKUP(Tabla1[[#This Row],[Código Unificador]],PRECIOS_COMPETENCIA!B:D,3,FALSE)</f>
        <v>26.983849999999997</v>
      </c>
      <c r="H798" s="10">
        <f>Tabla1[[#This Row],[PVP Competencia]]*0.98</f>
        <v>26.444172999999996</v>
      </c>
      <c r="I798" s="10">
        <f>Tabla1[[#This Row],[Precio Lista CDR]]*0.8</f>
        <v>21.155338399999998</v>
      </c>
      <c r="J798" s="10">
        <f>Tabla1[[#This Row],[Precio Lista CDR]]*0.7</f>
        <v>18.510921099999997</v>
      </c>
      <c r="K798" s="10">
        <f>Tabla1[[#This Row],[Precio Lista CDR]]*0.6</f>
        <v>15.866503799999997</v>
      </c>
      <c r="L798" s="12">
        <f>(Tabla1[[#This Row],[Precio Lista CDR]]-Tabla1[[#This Row],[PrecioFábrica]])/Tabla1[[#This Row],[Precio Lista CDR]]</f>
        <v>0.78287592254570915</v>
      </c>
      <c r="M798" s="12">
        <f>(Tabla1[[#This Row],[Lista 1 (20%)]]-Tabla1[[#This Row],[PrecioFábrica]])/Tabla1[[#This Row],[Lista 1 (20%)]]</f>
        <v>0.72859490318213638</v>
      </c>
      <c r="N798" s="12">
        <f>(Tabla1[[#This Row],[Lista 2 (30%)]]-Tabla1[[#This Row],[PrecioFábrica]])/Tabla1[[#This Row],[Lista 2 (30%)]]</f>
        <v>0.6898227464938701</v>
      </c>
      <c r="O798" s="12">
        <f>(Tabla1[[#This Row],[Lista 3 (40%)]]-Tabla1[[#This Row],[PrecioFábrica]])/Tabla1[[#This Row],[Lista 3 (40%)]]</f>
        <v>0.63812653757618187</v>
      </c>
    </row>
    <row r="799" spans="1:15">
      <c r="A799" t="s">
        <v>6</v>
      </c>
      <c r="B799" t="s">
        <v>808</v>
      </c>
      <c r="C799" t="s">
        <v>1613</v>
      </c>
      <c r="D799" t="s">
        <v>811</v>
      </c>
      <c r="E799" t="s">
        <v>5</v>
      </c>
      <c r="F799" s="3">
        <v>5.7416666666666663</v>
      </c>
      <c r="G799" s="10">
        <f>VLOOKUP(Tabla1[[#This Row],[Código Unificador]],PRECIOS_COMPETENCIA!B:D,3,FALSE)</f>
        <v>27.483374999999999</v>
      </c>
      <c r="H799" s="10">
        <f>Tabla1[[#This Row],[PVP Competencia]]*0.98</f>
        <v>26.933707499999997</v>
      </c>
      <c r="I799" s="10">
        <f>Tabla1[[#This Row],[Precio Lista CDR]]*0.8</f>
        <v>21.546965999999998</v>
      </c>
      <c r="J799" s="10">
        <f>Tabla1[[#This Row],[Precio Lista CDR]]*0.7</f>
        <v>18.853595249999998</v>
      </c>
      <c r="K799" s="10">
        <f>Tabla1[[#This Row],[Precio Lista CDR]]*0.6</f>
        <v>16.160224499999998</v>
      </c>
      <c r="L799" s="12">
        <f>(Tabla1[[#This Row],[Precio Lista CDR]]-Tabla1[[#This Row],[PrecioFábrica]])/Tabla1[[#This Row],[Precio Lista CDR]]</f>
        <v>0.78682226846539161</v>
      </c>
      <c r="M799" s="12">
        <f>(Tabla1[[#This Row],[Lista 1 (20%)]]-Tabla1[[#This Row],[PrecioFábrica]])/Tabla1[[#This Row],[Lista 1 (20%)]]</f>
        <v>0.73352783558173951</v>
      </c>
      <c r="N799" s="12">
        <f>(Tabla1[[#This Row],[Lista 2 (30%)]]-Tabla1[[#This Row],[PrecioFábrica]])/Tabla1[[#This Row],[Lista 2 (30%)]]</f>
        <v>0.69546038352198802</v>
      </c>
      <c r="O799" s="12">
        <f>(Tabla1[[#This Row],[Lista 3 (40%)]]-Tabla1[[#This Row],[PrecioFábrica]])/Tabla1[[#This Row],[Lista 3 (40%)]]</f>
        <v>0.64470378077565271</v>
      </c>
    </row>
    <row r="800" spans="1:15">
      <c r="A800" t="s">
        <v>6</v>
      </c>
      <c r="B800" t="s">
        <v>809</v>
      </c>
      <c r="C800" t="s">
        <v>1609</v>
      </c>
      <c r="D800" t="s">
        <v>811</v>
      </c>
      <c r="E800" t="s">
        <v>5</v>
      </c>
      <c r="F800" s="3">
        <v>5.7416666666666663</v>
      </c>
      <c r="G800" s="10">
        <f>VLOOKUP(Tabla1[[#This Row],[Código Unificador]],PRECIOS_COMPETENCIA!B:D,3,FALSE)</f>
        <v>27.816391666666664</v>
      </c>
      <c r="H800" s="10">
        <f>Tabla1[[#This Row],[PVP Competencia]]*0.98</f>
        <v>27.26006383333333</v>
      </c>
      <c r="I800" s="10">
        <f>Tabla1[[#This Row],[Precio Lista CDR]]*0.8</f>
        <v>21.808051066666664</v>
      </c>
      <c r="J800" s="10">
        <f>Tabla1[[#This Row],[Precio Lista CDR]]*0.7</f>
        <v>19.082044683333329</v>
      </c>
      <c r="K800" s="10">
        <f>Tabla1[[#This Row],[Precio Lista CDR]]*0.6</f>
        <v>16.356038299999998</v>
      </c>
      <c r="L800" s="12">
        <f>(Tabla1[[#This Row],[Precio Lista CDR]]-Tabla1[[#This Row],[PrecioFábrica]])/Tabla1[[#This Row],[Precio Lista CDR]]</f>
        <v>0.78937442326727736</v>
      </c>
      <c r="M800" s="12">
        <f>(Tabla1[[#This Row],[Lista 1 (20%)]]-Tabla1[[#This Row],[PrecioFábrica]])/Tabla1[[#This Row],[Lista 1 (20%)]]</f>
        <v>0.73671802908409667</v>
      </c>
      <c r="N800" s="12">
        <f>(Tabla1[[#This Row],[Lista 2 (30%)]]-Tabla1[[#This Row],[PrecioFábrica]])/Tabla1[[#This Row],[Lista 2 (30%)]]</f>
        <v>0.69910631895325337</v>
      </c>
      <c r="O800" s="12">
        <f>(Tabla1[[#This Row],[Lista 3 (40%)]]-Tabla1[[#This Row],[PrecioFábrica]])/Tabla1[[#This Row],[Lista 3 (40%)]]</f>
        <v>0.64895737211212889</v>
      </c>
    </row>
    <row r="801" spans="1:15" ht="14.4" thickBot="1">
      <c r="A801" t="s">
        <v>6</v>
      </c>
      <c r="B801" t="s">
        <v>810</v>
      </c>
      <c r="C801" t="s">
        <v>1610</v>
      </c>
      <c r="D801" t="s">
        <v>811</v>
      </c>
      <c r="E801" t="s">
        <v>5</v>
      </c>
      <c r="F801" s="3">
        <v>5.7416666666666663</v>
      </c>
      <c r="G801" s="10">
        <f>VLOOKUP(Tabla1[[#This Row],[Código Unificador]],PRECIOS_COMPETENCIA!B:D,3,FALSE)</f>
        <v>27.982899999999997</v>
      </c>
      <c r="H801" s="10">
        <f>Tabla1[[#This Row],[PVP Competencia]]*0.98</f>
        <v>27.423241999999998</v>
      </c>
      <c r="I801" s="10">
        <f>Tabla1[[#This Row],[Precio Lista CDR]]*0.8</f>
        <v>21.938593600000001</v>
      </c>
      <c r="J801" s="10">
        <f>Tabla1[[#This Row],[Precio Lista CDR]]*0.7</f>
        <v>19.196269399999998</v>
      </c>
      <c r="K801" s="10">
        <f>Tabla1[[#This Row],[Precio Lista CDR]]*0.6</f>
        <v>16.4539452</v>
      </c>
      <c r="L801" s="12">
        <f>(Tabla1[[#This Row],[Precio Lista CDR]]-Tabla1[[#This Row],[PrecioFábrica]])/Tabla1[[#This Row],[Precio Lista CDR]]</f>
        <v>0.79062772130783565</v>
      </c>
      <c r="M801" s="12">
        <f>(Tabla1[[#This Row],[Lista 1 (20%)]]-Tabla1[[#This Row],[PrecioFábrica]])/Tabla1[[#This Row],[Lista 1 (20%)]]</f>
        <v>0.73828465163479451</v>
      </c>
      <c r="N801" s="12">
        <f>(Tabla1[[#This Row],[Lista 2 (30%)]]-Tabla1[[#This Row],[PrecioFábrica]])/Tabla1[[#This Row],[Lista 2 (30%)]]</f>
        <v>0.70089674472547947</v>
      </c>
      <c r="O801" s="12">
        <f>(Tabla1[[#This Row],[Lista 3 (40%)]]-Tabla1[[#This Row],[PrecioFábrica]])/Tabla1[[#This Row],[Lista 3 (40%)]]</f>
        <v>0.65104620217972609</v>
      </c>
    </row>
    <row r="802" spans="1:15" ht="14.4" thickBot="1">
      <c r="F802" s="3"/>
      <c r="G802" s="13"/>
      <c r="H802" s="13"/>
      <c r="I802" s="13"/>
      <c r="J802" s="13"/>
      <c r="K802" s="14" t="s">
        <v>2423</v>
      </c>
      <c r="L802" s="15">
        <f>SUBTOTAL(101,Tabla1[Margen Lista Base %])</f>
        <v>0.75799181025800055</v>
      </c>
      <c r="M802" s="15">
        <f>SUBTOTAL(101,Tabla1[Margen Lista 1 %])</f>
        <v>0.69748976282249975</v>
      </c>
      <c r="N802" s="15">
        <f>SUBTOTAL(101,Tabla1[Margen Lista 2 %])</f>
        <v>0.65427401465428603</v>
      </c>
      <c r="O802" s="16">
        <f>SUBTOTAL(101,Tabla1[Margen Lista 3 %])</f>
        <v>0.59665301709666696</v>
      </c>
    </row>
    <row r="803" spans="1:15">
      <c r="F803" s="47"/>
    </row>
    <row r="804" spans="1:15">
      <c r="F804" s="47"/>
    </row>
    <row r="805" spans="1:15">
      <c r="F805" s="3"/>
    </row>
    <row r="806" spans="1:15">
      <c r="F806" s="3"/>
    </row>
    <row r="807" spans="1:15">
      <c r="F807" s="3"/>
    </row>
    <row r="808" spans="1:15">
      <c r="F808" s="3"/>
    </row>
    <row r="809" spans="1:15">
      <c r="F809" s="3"/>
    </row>
    <row r="810" spans="1:15">
      <c r="F810" s="47"/>
    </row>
    <row r="811" spans="1:15">
      <c r="F811" s="3"/>
    </row>
    <row r="812" spans="1:15">
      <c r="F812" s="3"/>
    </row>
    <row r="813" spans="1:15">
      <c r="F813" s="3"/>
    </row>
    <row r="814" spans="1:15">
      <c r="F814" s="3"/>
    </row>
    <row r="815" spans="1:15">
      <c r="F815" s="3"/>
    </row>
  </sheetData>
  <conditionalFormatting sqref="L2:O801">
    <cfRule type="cellIs" dxfId="27" priority="1" operator="lessThan">
      <formula>0.4</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
  <sheetViews>
    <sheetView workbookViewId="0">
      <selection activeCell="K8" sqref="K8"/>
    </sheetView>
  </sheetViews>
  <sheetFormatPr baseColWidth="10" defaultRowHeight="13.8"/>
  <cols>
    <col min="1" max="1" width="10.69921875" customWidth="1"/>
    <col min="2" max="2" width="15" customWidth="1"/>
    <col min="4" max="4" width="8" customWidth="1"/>
    <col min="7" max="7" width="9.59765625" customWidth="1"/>
    <col min="8" max="8" width="8.69921875" customWidth="1"/>
    <col min="9" max="9" width="9.09765625" customWidth="1"/>
  </cols>
  <sheetData>
    <row r="1" spans="1:11">
      <c r="A1" t="s">
        <v>2448</v>
      </c>
    </row>
    <row r="2" spans="1:11" ht="27.6" customHeight="1">
      <c r="A2" s="42" t="s">
        <v>0</v>
      </c>
      <c r="B2" s="42" t="s">
        <v>1</v>
      </c>
      <c r="C2" s="42" t="s">
        <v>2</v>
      </c>
      <c r="D2" s="43" t="s">
        <v>2445</v>
      </c>
      <c r="E2" s="44" t="s">
        <v>2447</v>
      </c>
      <c r="F2" s="45" t="s">
        <v>2419</v>
      </c>
      <c r="G2" s="45" t="s">
        <v>2420</v>
      </c>
      <c r="H2" s="45" t="s">
        <v>2421</v>
      </c>
      <c r="I2" s="45" t="s">
        <v>2422</v>
      </c>
    </row>
    <row r="3" spans="1:11">
      <c r="A3" t="s">
        <v>6</v>
      </c>
      <c r="B3" t="s">
        <v>89</v>
      </c>
      <c r="C3" t="s">
        <v>891</v>
      </c>
      <c r="D3" s="3">
        <v>51.558333333333302</v>
      </c>
      <c r="E3" s="10">
        <f>100.98*0.98</f>
        <v>98.960400000000007</v>
      </c>
      <c r="F3" s="12">
        <v>0.47900035435049476</v>
      </c>
      <c r="G3" s="12">
        <v>0.34875044293811847</v>
      </c>
      <c r="H3" s="12">
        <v>0.25571479192927815</v>
      </c>
      <c r="I3" s="12">
        <v>0.13166725725082459</v>
      </c>
      <c r="K3" s="1"/>
    </row>
    <row r="4" spans="1:11">
      <c r="A4" t="s">
        <v>6</v>
      </c>
      <c r="B4" t="s">
        <v>93</v>
      </c>
      <c r="C4" t="s">
        <v>895</v>
      </c>
      <c r="D4" s="3">
        <v>56.791666666666671</v>
      </c>
      <c r="E4" s="10">
        <f>125.41*0.98</f>
        <v>122.90179999999999</v>
      </c>
      <c r="F4" s="12">
        <v>0.53791021232669767</v>
      </c>
      <c r="G4" s="12">
        <v>0.42238776540837203</v>
      </c>
      <c r="H4" s="12">
        <v>0.33987173189528225</v>
      </c>
      <c r="I4" s="12">
        <v>0.22985035387782937</v>
      </c>
      <c r="K4" s="1"/>
    </row>
    <row r="5" spans="1:11">
      <c r="A5" t="s">
        <v>6</v>
      </c>
      <c r="B5" t="s">
        <v>758</v>
      </c>
      <c r="C5" t="s">
        <v>1560</v>
      </c>
      <c r="D5" s="3">
        <v>73.166666666666671</v>
      </c>
      <c r="E5" s="10">
        <f>136.427*0.98</f>
        <v>133.69845999999998</v>
      </c>
      <c r="F5" s="12">
        <v>0.45274862054008191</v>
      </c>
      <c r="G5" s="12">
        <v>0.31593577567510245</v>
      </c>
      <c r="H5" s="12">
        <v>0.21821231505725983</v>
      </c>
      <c r="I5" s="12">
        <v>8.7914367566803153E-2</v>
      </c>
      <c r="K5" s="1"/>
    </row>
    <row r="6" spans="1:11">
      <c r="A6" t="s">
        <v>6</v>
      </c>
      <c r="B6" t="s">
        <v>761</v>
      </c>
      <c r="C6" t="s">
        <v>1563</v>
      </c>
      <c r="D6" s="3">
        <v>80.25</v>
      </c>
      <c r="E6" s="10">
        <f>164.36125*0.98</f>
        <v>161.07402500000001</v>
      </c>
      <c r="F6" s="12">
        <v>0.5017818670639167</v>
      </c>
      <c r="G6" s="12">
        <v>0.37722733382989604</v>
      </c>
      <c r="H6" s="12">
        <v>0.28825981009130963</v>
      </c>
      <c r="I6" s="12">
        <v>0.16963644510652784</v>
      </c>
      <c r="K6" s="1"/>
    </row>
    <row r="7" spans="1:11">
      <c r="A7" t="s">
        <v>6</v>
      </c>
      <c r="B7" t="s">
        <v>762</v>
      </c>
      <c r="C7" t="s">
        <v>1564</v>
      </c>
      <c r="D7" s="3">
        <v>80.291666666666671</v>
      </c>
      <c r="E7" s="10">
        <v>169.145041666667</v>
      </c>
      <c r="F7" s="12">
        <v>0.51562120118009147</v>
      </c>
      <c r="G7" s="12">
        <v>0.39452650147511431</v>
      </c>
      <c r="H7" s="12">
        <v>0.30803028740013061</v>
      </c>
      <c r="I7" s="12">
        <v>0.19270200196681914</v>
      </c>
      <c r="K7" s="1"/>
    </row>
    <row r="9" spans="1:11">
      <c r="A9" t="s">
        <v>2446</v>
      </c>
    </row>
    <row r="10" spans="1:11" ht="42" thickBot="1">
      <c r="A10" s="42" t="s">
        <v>0</v>
      </c>
      <c r="B10" s="42" t="s">
        <v>1</v>
      </c>
      <c r="C10" s="42" t="s">
        <v>2</v>
      </c>
      <c r="D10" s="43" t="s">
        <v>2445</v>
      </c>
      <c r="E10" s="44" t="s">
        <v>2447</v>
      </c>
      <c r="F10" s="46" t="s">
        <v>2419</v>
      </c>
      <c r="G10" s="46" t="s">
        <v>2420</v>
      </c>
      <c r="H10" s="46" t="s">
        <v>2421</v>
      </c>
      <c r="I10" s="46" t="s">
        <v>2422</v>
      </c>
    </row>
    <row r="11" spans="1:11" ht="14.4" thickBot="1">
      <c r="A11" t="s">
        <v>6</v>
      </c>
      <c r="B11" t="s">
        <v>89</v>
      </c>
      <c r="C11" t="s">
        <v>891</v>
      </c>
      <c r="D11" s="48">
        <v>38.67</v>
      </c>
      <c r="E11" s="10">
        <f>100.98*0.98</f>
        <v>98.960400000000007</v>
      </c>
      <c r="F11" s="49">
        <v>0.61</v>
      </c>
      <c r="G11" s="49">
        <v>0.51</v>
      </c>
      <c r="H11" s="50">
        <v>0.44</v>
      </c>
      <c r="I11" s="51">
        <v>0.35</v>
      </c>
    </row>
    <row r="12" spans="1:11" ht="14.4" thickBot="1">
      <c r="A12" t="s">
        <v>6</v>
      </c>
      <c r="B12" t="s">
        <v>93</v>
      </c>
      <c r="C12" t="s">
        <v>895</v>
      </c>
      <c r="D12" s="48">
        <v>42.59</v>
      </c>
      <c r="E12" s="10">
        <f>125.41*0.98</f>
        <v>122.90179999999999</v>
      </c>
      <c r="F12" s="49">
        <v>0.65</v>
      </c>
      <c r="G12" s="49">
        <v>0.56999999999999995</v>
      </c>
      <c r="H12" s="49">
        <v>0.5</v>
      </c>
      <c r="I12" s="50">
        <v>0.42</v>
      </c>
    </row>
    <row r="13" spans="1:11" ht="14.4" thickBot="1">
      <c r="A13" t="s">
        <v>6</v>
      </c>
      <c r="B13" t="s">
        <v>758</v>
      </c>
      <c r="C13" t="s">
        <v>1560</v>
      </c>
      <c r="D13" s="48">
        <v>54.88</v>
      </c>
      <c r="E13" s="10">
        <f>136.427*0.98</f>
        <v>133.69845999999998</v>
      </c>
      <c r="F13" s="49">
        <v>0.59</v>
      </c>
      <c r="G13" s="50">
        <v>0.49</v>
      </c>
      <c r="H13" s="50">
        <v>0.41</v>
      </c>
      <c r="I13" s="51">
        <v>0.32</v>
      </c>
    </row>
    <row r="14" spans="1:11" ht="14.4" thickBot="1">
      <c r="A14" t="s">
        <v>6</v>
      </c>
      <c r="B14" t="s">
        <v>761</v>
      </c>
      <c r="C14" t="s">
        <v>1563</v>
      </c>
      <c r="D14" s="48">
        <v>60.19</v>
      </c>
      <c r="E14" s="10">
        <f>164.36125*0.98</f>
        <v>161.07402500000001</v>
      </c>
      <c r="F14" s="49">
        <v>0.63</v>
      </c>
      <c r="G14" s="49">
        <v>0.53</v>
      </c>
      <c r="H14" s="50">
        <v>0.47</v>
      </c>
      <c r="I14" s="51">
        <v>0.38</v>
      </c>
      <c r="J14" s="17"/>
      <c r="K14" s="17"/>
    </row>
    <row r="15" spans="1:11" ht="14.4" thickBot="1">
      <c r="A15" t="s">
        <v>6</v>
      </c>
      <c r="B15" t="s">
        <v>762</v>
      </c>
      <c r="C15" t="s">
        <v>1564</v>
      </c>
      <c r="D15" s="48">
        <v>60.22</v>
      </c>
      <c r="E15" s="10">
        <v>169.145041666667</v>
      </c>
      <c r="F15" s="49">
        <v>0.64</v>
      </c>
      <c r="G15" s="49">
        <v>0.55000000000000004</v>
      </c>
      <c r="H15" s="50">
        <v>0.48</v>
      </c>
      <c r="I15" s="51">
        <v>0.39</v>
      </c>
    </row>
    <row r="17" spans="1:9">
      <c r="A17" t="s">
        <v>2449</v>
      </c>
    </row>
    <row r="18" spans="1:9" ht="41.4">
      <c r="A18" s="42" t="s">
        <v>0</v>
      </c>
      <c r="B18" s="42" t="s">
        <v>1</v>
      </c>
      <c r="C18" s="42" t="s">
        <v>2</v>
      </c>
      <c r="D18" s="43" t="s">
        <v>2445</v>
      </c>
      <c r="E18" s="44" t="s">
        <v>2447</v>
      </c>
      <c r="F18" s="45" t="s">
        <v>2419</v>
      </c>
      <c r="G18" s="45" t="s">
        <v>2420</v>
      </c>
      <c r="H18" s="45" t="s">
        <v>2421</v>
      </c>
      <c r="I18" s="45" t="s">
        <v>2422</v>
      </c>
    </row>
    <row r="19" spans="1:9">
      <c r="A19" t="s">
        <v>6</v>
      </c>
      <c r="B19" t="s">
        <v>89</v>
      </c>
      <c r="C19" t="s">
        <v>891</v>
      </c>
      <c r="D19" s="10">
        <v>34.368784999999974</v>
      </c>
      <c r="E19" s="10">
        <f>100.98*0.98</f>
        <v>98.960400000000007</v>
      </c>
      <c r="F19" s="12">
        <v>0.65270163621003985</v>
      </c>
      <c r="G19" s="12">
        <v>0.56587704526254978</v>
      </c>
      <c r="H19" s="12">
        <v>0.50385948030005689</v>
      </c>
      <c r="I19" s="12">
        <v>0.42116939368339973</v>
      </c>
    </row>
    <row r="20" spans="1:9">
      <c r="A20" t="s">
        <v>6</v>
      </c>
      <c r="B20" t="s">
        <v>93</v>
      </c>
      <c r="C20" t="s">
        <v>895</v>
      </c>
      <c r="D20" s="10">
        <v>37.857325000000003</v>
      </c>
      <c r="E20" s="10">
        <f>125.41*0.98</f>
        <v>122.90179999999999</v>
      </c>
      <c r="F20" s="12">
        <v>0.69197094753697663</v>
      </c>
      <c r="G20" s="12">
        <v>0.61496368442122085</v>
      </c>
      <c r="H20" s="12">
        <v>0.55995849648139517</v>
      </c>
      <c r="I20" s="12">
        <v>0.48661824589496105</v>
      </c>
    </row>
    <row r="21" spans="1:9">
      <c r="A21" t="s">
        <v>6</v>
      </c>
      <c r="B21" t="s">
        <v>758</v>
      </c>
      <c r="C21" t="s">
        <v>1560</v>
      </c>
      <c r="D21" s="10">
        <v>48.7729</v>
      </c>
      <c r="E21" s="10">
        <f>136.427*0.98</f>
        <v>133.69845999999998</v>
      </c>
      <c r="F21" s="12">
        <v>0.63520223045201862</v>
      </c>
      <c r="G21" s="12">
        <v>0.54400278806502333</v>
      </c>
      <c r="H21" s="12">
        <v>0.47886032921716942</v>
      </c>
      <c r="I21" s="12">
        <v>0.39200371742003104</v>
      </c>
    </row>
    <row r="22" spans="1:9">
      <c r="A22" t="s">
        <v>6</v>
      </c>
      <c r="B22" t="s">
        <v>761</v>
      </c>
      <c r="C22" t="s">
        <v>1563</v>
      </c>
      <c r="D22" s="10">
        <v>53.49465</v>
      </c>
      <c r="E22" s="10">
        <f>164.36125*0.98</f>
        <v>161.07402500000001</v>
      </c>
      <c r="F22" s="12">
        <v>0.66788779258480691</v>
      </c>
      <c r="G22" s="12">
        <v>0.58485974073100866</v>
      </c>
      <c r="H22" s="12">
        <v>0.52555398940686704</v>
      </c>
      <c r="I22" s="12">
        <v>0.44647965430801145</v>
      </c>
    </row>
    <row r="23" spans="1:9">
      <c r="A23" t="s">
        <v>6</v>
      </c>
      <c r="B23" t="s">
        <v>762</v>
      </c>
      <c r="C23" t="s">
        <v>1564</v>
      </c>
      <c r="D23" s="10">
        <v>53.522424999999998</v>
      </c>
      <c r="E23" s="10">
        <v>169.145041666667</v>
      </c>
      <c r="F23" s="12">
        <v>0.67711309270664899</v>
      </c>
      <c r="G23" s="12">
        <v>0.59639136588331121</v>
      </c>
      <c r="H23" s="12">
        <v>0.53873298958092708</v>
      </c>
      <c r="I23" s="12">
        <v>0.46185515451108167</v>
      </c>
    </row>
  </sheetData>
  <conditionalFormatting sqref="F3:I7">
    <cfRule type="cellIs" dxfId="22" priority="6" operator="lessThan">
      <formula>0.4</formula>
    </cfRule>
  </conditionalFormatting>
  <conditionalFormatting sqref="F19:I23">
    <cfRule type="cellIs" dxfId="21" priority="4" operator="lessThan">
      <formula>0.4</formula>
    </cfRule>
  </conditionalFormatting>
  <conditionalFormatting sqref="F19:I23 F3:I7">
    <cfRule type="cellIs" dxfId="20" priority="2" operator="greaterThan">
      <formula>50%</formula>
    </cfRule>
  </conditionalFormatting>
  <conditionalFormatting sqref="F3:I7 F19:I23">
    <cfRule type="cellIs" dxfId="19" priority="1" operator="between">
      <formula>0.4</formula>
      <formula>0.5</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workbookViewId="0">
      <selection activeCell="H17" sqref="H17"/>
    </sheetView>
  </sheetViews>
  <sheetFormatPr baseColWidth="10" defaultRowHeight="13.8"/>
  <cols>
    <col min="1" max="1" width="10.59765625" bestFit="1" customWidth="1"/>
    <col min="2" max="2" width="14.3984375" bestFit="1" customWidth="1"/>
    <col min="4" max="4" width="10.5" customWidth="1"/>
    <col min="5" max="5" width="8.796875" bestFit="1" customWidth="1"/>
    <col min="6" max="6" width="12.59765625" customWidth="1"/>
    <col min="7" max="9" width="8.796875" bestFit="1" customWidth="1"/>
  </cols>
  <sheetData>
    <row r="1" spans="1:9" ht="27.6" customHeight="1">
      <c r="A1" s="42" t="s">
        <v>0</v>
      </c>
      <c r="B1" s="42" t="s">
        <v>1</v>
      </c>
      <c r="C1" s="42" t="s">
        <v>2</v>
      </c>
      <c r="D1" s="45" t="s">
        <v>2445</v>
      </c>
      <c r="E1" s="45" t="s">
        <v>2447</v>
      </c>
      <c r="F1" s="52" t="s">
        <v>2419</v>
      </c>
      <c r="G1" s="52" t="s">
        <v>2420</v>
      </c>
      <c r="H1" s="52" t="s">
        <v>2421</v>
      </c>
      <c r="I1" s="52" t="s">
        <v>2422</v>
      </c>
    </row>
    <row r="2" spans="1:9">
      <c r="A2" t="s">
        <v>7</v>
      </c>
      <c r="B2" t="s">
        <v>16</v>
      </c>
      <c r="C2" t="s">
        <v>819</v>
      </c>
      <c r="D2" s="10">
        <v>20.816666666666666</v>
      </c>
      <c r="E2" s="10">
        <v>50.273999999999994</v>
      </c>
      <c r="F2" s="12">
        <v>0.58593573881794425</v>
      </c>
      <c r="G2" s="12">
        <v>0.48241967352243043</v>
      </c>
      <c r="H2" s="12">
        <v>0.4084796268827775</v>
      </c>
      <c r="I2" s="12">
        <v>0.3098928980299071</v>
      </c>
    </row>
    <row r="3" spans="1:9">
      <c r="A3" t="s">
        <v>7</v>
      </c>
      <c r="B3" t="s">
        <v>85</v>
      </c>
      <c r="C3" t="s">
        <v>887</v>
      </c>
      <c r="D3" s="10">
        <v>45.816666666666663</v>
      </c>
      <c r="E3" s="10">
        <v>107.1728</v>
      </c>
      <c r="F3" s="12">
        <v>0.57249725054615852</v>
      </c>
      <c r="G3" s="12">
        <v>0.46562156318269815</v>
      </c>
      <c r="H3" s="12">
        <v>0.38928178649451206</v>
      </c>
      <c r="I3" s="12">
        <v>0.28749541757693087</v>
      </c>
    </row>
    <row r="4" spans="1:9">
      <c r="A4" t="s">
        <v>7</v>
      </c>
      <c r="B4" t="s">
        <v>666</v>
      </c>
      <c r="C4" t="s">
        <v>1468</v>
      </c>
      <c r="D4" s="10">
        <v>78.025000000000006</v>
      </c>
      <c r="E4" s="10">
        <v>201.68199099999998</v>
      </c>
      <c r="F4" s="12">
        <v>0.61312857130610132</v>
      </c>
      <c r="G4" s="12">
        <v>0.51641071413262674</v>
      </c>
      <c r="H4" s="12">
        <v>0.4473265304372876</v>
      </c>
      <c r="I4" s="12">
        <v>0.35521428551016887</v>
      </c>
    </row>
    <row r="8" spans="1:9" ht="27.6">
      <c r="A8" s="42" t="s">
        <v>0</v>
      </c>
      <c r="B8" s="42" t="s">
        <v>1</v>
      </c>
      <c r="C8" s="42" t="s">
        <v>2</v>
      </c>
      <c r="D8" s="45" t="s">
        <v>2445</v>
      </c>
      <c r="E8" s="45" t="s">
        <v>2447</v>
      </c>
      <c r="F8" s="52" t="s">
        <v>2419</v>
      </c>
      <c r="G8" s="52" t="s">
        <v>2420</v>
      </c>
      <c r="H8" s="52" t="s">
        <v>2421</v>
      </c>
      <c r="I8" s="52" t="s">
        <v>2422</v>
      </c>
    </row>
    <row r="9" spans="1:9">
      <c r="A9" t="s">
        <v>7</v>
      </c>
      <c r="B9" t="s">
        <v>16</v>
      </c>
      <c r="C9" t="s">
        <v>819</v>
      </c>
      <c r="D9" s="10">
        <v>20.816666666666666</v>
      </c>
      <c r="E9" s="10">
        <v>50.273999999999994</v>
      </c>
      <c r="F9" s="12">
        <v>0.58593573881794425</v>
      </c>
      <c r="G9" s="12">
        <v>0.48241967352243043</v>
      </c>
      <c r="H9" s="12">
        <v>0.4084796268827775</v>
      </c>
      <c r="I9" s="12">
        <v>0.3098928980299071</v>
      </c>
    </row>
    <row r="10" spans="1:9">
      <c r="A10" t="s">
        <v>7</v>
      </c>
      <c r="B10" t="s">
        <v>85</v>
      </c>
      <c r="C10" t="s">
        <v>887</v>
      </c>
      <c r="D10" s="10">
        <v>45.816666666666663</v>
      </c>
      <c r="E10" s="10">
        <v>108.2664</v>
      </c>
      <c r="F10" s="12">
        <v>0.57681546013660134</v>
      </c>
      <c r="G10" s="12">
        <v>0.47101932517075173</v>
      </c>
      <c r="H10" s="12">
        <v>0.395450657338002</v>
      </c>
      <c r="I10" s="12">
        <v>0.29469243356100228</v>
      </c>
    </row>
    <row r="11" spans="1:9">
      <c r="A11" t="s">
        <v>7</v>
      </c>
      <c r="B11" t="s">
        <v>666</v>
      </c>
      <c r="C11" t="s">
        <v>1468</v>
      </c>
      <c r="D11" s="10">
        <v>78.025000000000006</v>
      </c>
      <c r="E11" s="10">
        <v>201.68199099999998</v>
      </c>
      <c r="F11" s="12">
        <v>0.61312857130610132</v>
      </c>
      <c r="G11" s="12">
        <v>0.51641071413262674</v>
      </c>
      <c r="H11" s="12">
        <v>0.4473265304372876</v>
      </c>
      <c r="I11" s="12">
        <v>0.35521428551016887</v>
      </c>
    </row>
    <row r="15" spans="1:9" ht="27.6">
      <c r="A15" s="42" t="s">
        <v>0</v>
      </c>
      <c r="B15" s="42" t="s">
        <v>1</v>
      </c>
      <c r="C15" s="42" t="s">
        <v>2</v>
      </c>
      <c r="D15" s="45" t="s">
        <v>2445</v>
      </c>
      <c r="E15" s="45" t="s">
        <v>2447</v>
      </c>
      <c r="F15" s="52" t="s">
        <v>2419</v>
      </c>
      <c r="G15" s="52" t="s">
        <v>2420</v>
      </c>
      <c r="H15" s="52" t="s">
        <v>2421</v>
      </c>
      <c r="I15" s="52" t="s">
        <v>2422</v>
      </c>
    </row>
    <row r="16" spans="1:9">
      <c r="A16" t="s">
        <v>7</v>
      </c>
      <c r="B16" t="s">
        <v>16</v>
      </c>
      <c r="C16" t="s">
        <v>819</v>
      </c>
      <c r="D16" s="10">
        <v>20.816666666666666</v>
      </c>
      <c r="E16" s="10">
        <v>50.273999999999994</v>
      </c>
      <c r="F16" s="12">
        <v>0.58593573881794425</v>
      </c>
      <c r="G16" s="12">
        <v>0.48241967352243043</v>
      </c>
      <c r="H16" s="12">
        <v>0.4084796268827775</v>
      </c>
      <c r="I16" s="12">
        <v>0.3098928980299071</v>
      </c>
    </row>
    <row r="17" spans="1:9">
      <c r="A17" t="s">
        <v>7</v>
      </c>
      <c r="B17" t="s">
        <v>85</v>
      </c>
      <c r="C17" t="s">
        <v>887</v>
      </c>
      <c r="D17" s="10">
        <v>45.816666666666663</v>
      </c>
      <c r="E17" s="10">
        <v>107.1728</v>
      </c>
      <c r="F17" s="12">
        <v>0.57249725054615852</v>
      </c>
      <c r="G17" s="12">
        <v>0.46562156318269815</v>
      </c>
      <c r="H17" s="12">
        <v>0.4</v>
      </c>
      <c r="I17" s="12">
        <v>0.28749541757693087</v>
      </c>
    </row>
    <row r="18" spans="1:9">
      <c r="A18" t="s">
        <v>7</v>
      </c>
      <c r="B18" t="s">
        <v>666</v>
      </c>
      <c r="C18" t="s">
        <v>1468</v>
      </c>
      <c r="D18" s="10">
        <v>78.025000000000006</v>
      </c>
      <c r="E18" s="10">
        <v>201.68199099999998</v>
      </c>
      <c r="F18" s="12">
        <v>0.61312857130610132</v>
      </c>
      <c r="G18" s="12">
        <v>0.51641071413262674</v>
      </c>
      <c r="H18" s="12">
        <v>0.4473265304372876</v>
      </c>
      <c r="I18" s="12">
        <v>0.35521428551016887</v>
      </c>
    </row>
  </sheetData>
  <conditionalFormatting sqref="F2:I4">
    <cfRule type="cellIs" dxfId="18" priority="10" operator="greaterThan">
      <formula>0.5</formula>
    </cfRule>
    <cfRule type="cellIs" dxfId="17" priority="9" operator="lessThan">
      <formula>0.4</formula>
    </cfRule>
    <cfRule type="cellIs" dxfId="16" priority="7" operator="between">
      <formula>0.4</formula>
      <formula>0.5</formula>
    </cfRule>
  </conditionalFormatting>
  <conditionalFormatting sqref="F9:I11">
    <cfRule type="cellIs" dxfId="15" priority="4" operator="between">
      <formula>0.39</formula>
      <formula>0.5</formula>
    </cfRule>
    <cfRule type="cellIs" dxfId="14" priority="5" operator="lessThan">
      <formula>0.39</formula>
    </cfRule>
    <cfRule type="cellIs" dxfId="13" priority="6" operator="greaterThan">
      <formula>0.5</formula>
    </cfRule>
  </conditionalFormatting>
  <conditionalFormatting sqref="F16:I18">
    <cfRule type="cellIs" dxfId="12" priority="1" operator="between">
      <formula>0.4</formula>
      <formula>0.5</formula>
    </cfRule>
    <cfRule type="cellIs" dxfId="11" priority="2" operator="lessThan">
      <formula>0.4</formula>
    </cfRule>
    <cfRule type="cellIs" dxfId="10" priority="3" operator="greaterThan">
      <formula>0.5</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01"/>
  <sheetViews>
    <sheetView workbookViewId="0">
      <selection activeCell="G17" sqref="G17"/>
    </sheetView>
  </sheetViews>
  <sheetFormatPr baseColWidth="10" defaultRowHeight="13.8"/>
  <cols>
    <col min="2" max="3" width="19.19921875" customWidth="1"/>
    <col min="4" max="4" width="17.19921875" bestFit="1" customWidth="1"/>
    <col min="5" max="5" width="26.796875" bestFit="1" customWidth="1"/>
    <col min="6" max="6" width="16.796875" style="2" bestFit="1" customWidth="1"/>
  </cols>
  <sheetData>
    <row r="1" spans="1:6">
      <c r="A1" s="6" t="s">
        <v>0</v>
      </c>
      <c r="B1" s="6" t="s">
        <v>1</v>
      </c>
      <c r="C1" s="6" t="s">
        <v>2</v>
      </c>
      <c r="D1" s="6" t="s">
        <v>3</v>
      </c>
      <c r="E1" s="6" t="s">
        <v>4</v>
      </c>
      <c r="F1" s="7" t="s">
        <v>813</v>
      </c>
    </row>
    <row r="2" spans="1:6">
      <c r="A2" t="s">
        <v>6</v>
      </c>
      <c r="B2" t="s">
        <v>11</v>
      </c>
      <c r="C2" t="s">
        <v>814</v>
      </c>
      <c r="D2" t="s">
        <v>811</v>
      </c>
      <c r="E2" t="s">
        <v>5</v>
      </c>
      <c r="F2" s="3">
        <v>5.5083333333333337</v>
      </c>
    </row>
    <row r="3" spans="1:6">
      <c r="A3" t="s">
        <v>6</v>
      </c>
      <c r="B3" t="s">
        <v>12</v>
      </c>
      <c r="C3" t="s">
        <v>815</v>
      </c>
      <c r="D3" t="s">
        <v>811</v>
      </c>
      <c r="E3" t="s">
        <v>5</v>
      </c>
      <c r="F3" s="3">
        <v>4.3500000000000005</v>
      </c>
    </row>
    <row r="4" spans="1:6">
      <c r="A4" t="s">
        <v>6</v>
      </c>
      <c r="B4" t="s">
        <v>13</v>
      </c>
      <c r="C4" t="s">
        <v>816</v>
      </c>
      <c r="D4" t="s">
        <v>811</v>
      </c>
      <c r="E4" t="s">
        <v>5</v>
      </c>
      <c r="F4" s="3">
        <v>7.5666666666666673</v>
      </c>
    </row>
    <row r="5" spans="1:6">
      <c r="A5" t="s">
        <v>9</v>
      </c>
      <c r="B5" t="s">
        <v>14</v>
      </c>
      <c r="C5" t="s">
        <v>817</v>
      </c>
      <c r="D5" t="s">
        <v>811</v>
      </c>
      <c r="E5" t="s">
        <v>5</v>
      </c>
      <c r="F5" s="3">
        <v>5.7833333333333341</v>
      </c>
    </row>
    <row r="6" spans="1:6">
      <c r="A6" t="s">
        <v>9</v>
      </c>
      <c r="B6" t="s">
        <v>15</v>
      </c>
      <c r="C6" t="s">
        <v>818</v>
      </c>
      <c r="D6" t="s">
        <v>811</v>
      </c>
      <c r="E6" t="s">
        <v>5</v>
      </c>
      <c r="F6" s="3">
        <v>13.541666666666668</v>
      </c>
    </row>
    <row r="7" spans="1:6">
      <c r="A7" t="s">
        <v>7</v>
      </c>
      <c r="B7" t="s">
        <v>16</v>
      </c>
      <c r="C7" t="s">
        <v>819</v>
      </c>
      <c r="D7" t="s">
        <v>811</v>
      </c>
      <c r="E7" t="s">
        <v>5</v>
      </c>
      <c r="F7" s="3">
        <v>20.816666666666666</v>
      </c>
    </row>
    <row r="8" spans="1:6">
      <c r="A8" t="s">
        <v>6</v>
      </c>
      <c r="B8" t="s">
        <v>17</v>
      </c>
      <c r="C8" t="s">
        <v>820</v>
      </c>
      <c r="D8" t="s">
        <v>811</v>
      </c>
      <c r="E8" t="s">
        <v>5</v>
      </c>
      <c r="F8" s="3">
        <v>11.016666666666667</v>
      </c>
    </row>
    <row r="9" spans="1:6">
      <c r="A9" t="s">
        <v>6</v>
      </c>
      <c r="B9" t="s">
        <v>18</v>
      </c>
      <c r="C9" t="s">
        <v>821</v>
      </c>
      <c r="D9" t="s">
        <v>811</v>
      </c>
      <c r="E9" t="s">
        <v>5</v>
      </c>
      <c r="F9" s="3">
        <v>11.433333333333334</v>
      </c>
    </row>
    <row r="10" spans="1:6">
      <c r="A10" t="s">
        <v>6</v>
      </c>
      <c r="B10" t="s">
        <v>19</v>
      </c>
      <c r="C10" t="s">
        <v>822</v>
      </c>
      <c r="D10" t="s">
        <v>811</v>
      </c>
      <c r="E10" t="s">
        <v>5</v>
      </c>
      <c r="F10" s="3">
        <v>10.175000000000001</v>
      </c>
    </row>
    <row r="11" spans="1:6">
      <c r="A11" t="s">
        <v>6</v>
      </c>
      <c r="B11" t="s">
        <v>20</v>
      </c>
      <c r="C11" t="s">
        <v>823</v>
      </c>
      <c r="D11" t="s">
        <v>811</v>
      </c>
      <c r="E11" t="s">
        <v>5</v>
      </c>
      <c r="F11" s="3">
        <v>8.8666666666666671</v>
      </c>
    </row>
    <row r="12" spans="1:6">
      <c r="A12" t="s">
        <v>6</v>
      </c>
      <c r="B12" t="s">
        <v>21</v>
      </c>
      <c r="C12" t="s">
        <v>824</v>
      </c>
      <c r="D12" t="s">
        <v>811</v>
      </c>
      <c r="E12" t="s">
        <v>5</v>
      </c>
      <c r="F12" s="3">
        <v>8.0500000000000007</v>
      </c>
    </row>
    <row r="13" spans="1:6">
      <c r="A13" t="s">
        <v>9</v>
      </c>
      <c r="B13" t="s">
        <v>22</v>
      </c>
      <c r="C13" t="s">
        <v>825</v>
      </c>
      <c r="D13" t="s">
        <v>811</v>
      </c>
      <c r="E13" t="s">
        <v>5</v>
      </c>
      <c r="F13" s="3">
        <v>12.766666666666667</v>
      </c>
    </row>
    <row r="14" spans="1:6">
      <c r="A14" t="s">
        <v>6</v>
      </c>
      <c r="B14" t="s">
        <v>23</v>
      </c>
      <c r="C14" t="s">
        <v>826</v>
      </c>
      <c r="D14" t="s">
        <v>811</v>
      </c>
      <c r="E14" t="s">
        <v>5</v>
      </c>
      <c r="F14" s="3">
        <v>10.075000000000001</v>
      </c>
    </row>
    <row r="15" spans="1:6">
      <c r="A15" t="s">
        <v>7</v>
      </c>
      <c r="B15" t="s">
        <v>24</v>
      </c>
      <c r="C15" t="s">
        <v>827</v>
      </c>
      <c r="D15" t="s">
        <v>811</v>
      </c>
      <c r="E15" t="s">
        <v>5</v>
      </c>
      <c r="F15" s="3">
        <v>13.191666666666666</v>
      </c>
    </row>
    <row r="16" spans="1:6">
      <c r="A16" t="s">
        <v>6</v>
      </c>
      <c r="B16" t="s">
        <v>25</v>
      </c>
      <c r="C16" t="s">
        <v>828</v>
      </c>
      <c r="D16" t="s">
        <v>811</v>
      </c>
      <c r="E16" t="s">
        <v>5</v>
      </c>
      <c r="F16" s="3">
        <v>8.9250000000000007</v>
      </c>
    </row>
    <row r="17" spans="1:6">
      <c r="A17" t="s">
        <v>6</v>
      </c>
      <c r="B17" t="s">
        <v>26</v>
      </c>
      <c r="C17" t="s">
        <v>829</v>
      </c>
      <c r="D17" t="s">
        <v>811</v>
      </c>
      <c r="E17" t="s">
        <v>5</v>
      </c>
      <c r="F17" s="3">
        <v>18.966666666666669</v>
      </c>
    </row>
    <row r="18" spans="1:6">
      <c r="A18" t="s">
        <v>6</v>
      </c>
      <c r="B18" t="s">
        <v>27</v>
      </c>
      <c r="C18" t="s">
        <v>830</v>
      </c>
      <c r="D18" t="s">
        <v>811</v>
      </c>
      <c r="E18" t="s">
        <v>5</v>
      </c>
      <c r="F18" s="3">
        <v>4.5333333333333332</v>
      </c>
    </row>
    <row r="19" spans="1:6">
      <c r="A19" t="s">
        <v>6</v>
      </c>
      <c r="B19" t="s">
        <v>28</v>
      </c>
      <c r="C19" t="s">
        <v>831</v>
      </c>
      <c r="D19" t="s">
        <v>811</v>
      </c>
      <c r="E19" t="s">
        <v>5</v>
      </c>
      <c r="F19" s="3">
        <v>13.549999999999999</v>
      </c>
    </row>
    <row r="20" spans="1:6">
      <c r="A20" t="s">
        <v>9</v>
      </c>
      <c r="B20" t="s">
        <v>29</v>
      </c>
      <c r="C20" t="s">
        <v>832</v>
      </c>
      <c r="D20" t="s">
        <v>811</v>
      </c>
      <c r="E20" t="s">
        <v>5</v>
      </c>
      <c r="F20" s="3">
        <v>11.441666666666668</v>
      </c>
    </row>
    <row r="21" spans="1:6">
      <c r="A21" t="s">
        <v>6</v>
      </c>
      <c r="B21" t="s">
        <v>30</v>
      </c>
      <c r="C21" t="s">
        <v>833</v>
      </c>
      <c r="D21" t="s">
        <v>811</v>
      </c>
      <c r="E21" t="s">
        <v>5</v>
      </c>
      <c r="F21" s="3">
        <v>7.3416666666666659</v>
      </c>
    </row>
    <row r="22" spans="1:6">
      <c r="A22" t="s">
        <v>7</v>
      </c>
      <c r="B22" t="s">
        <v>31</v>
      </c>
      <c r="C22" t="s">
        <v>834</v>
      </c>
      <c r="D22" t="s">
        <v>811</v>
      </c>
      <c r="E22" t="s">
        <v>5</v>
      </c>
      <c r="F22" s="3">
        <v>14.799999999999999</v>
      </c>
    </row>
    <row r="23" spans="1:6">
      <c r="A23" t="s">
        <v>6</v>
      </c>
      <c r="B23" t="s">
        <v>32</v>
      </c>
      <c r="C23" t="s">
        <v>835</v>
      </c>
      <c r="D23" t="s">
        <v>811</v>
      </c>
      <c r="E23" t="s">
        <v>5</v>
      </c>
      <c r="F23" s="3">
        <v>4.5666666666666673</v>
      </c>
    </row>
    <row r="24" spans="1:6">
      <c r="A24" t="s">
        <v>6</v>
      </c>
      <c r="B24" t="s">
        <v>33</v>
      </c>
      <c r="C24" t="s">
        <v>836</v>
      </c>
      <c r="D24" t="s">
        <v>811</v>
      </c>
      <c r="E24" t="s">
        <v>5</v>
      </c>
      <c r="F24" s="3">
        <v>5.166666666666667</v>
      </c>
    </row>
    <row r="25" spans="1:6">
      <c r="A25" t="s">
        <v>6</v>
      </c>
      <c r="B25" t="s">
        <v>34</v>
      </c>
      <c r="C25" t="s">
        <v>837</v>
      </c>
      <c r="D25" t="s">
        <v>811</v>
      </c>
      <c r="E25" t="s">
        <v>5</v>
      </c>
      <c r="F25" s="3">
        <v>5.7250000000000005</v>
      </c>
    </row>
    <row r="26" spans="1:6">
      <c r="A26" t="s">
        <v>6</v>
      </c>
      <c r="B26" t="s">
        <v>35</v>
      </c>
      <c r="C26" t="s">
        <v>838</v>
      </c>
      <c r="D26" t="s">
        <v>811</v>
      </c>
      <c r="E26" t="s">
        <v>5</v>
      </c>
      <c r="F26" s="3">
        <v>5.4916666666666671</v>
      </c>
    </row>
    <row r="27" spans="1:6">
      <c r="A27" t="s">
        <v>6</v>
      </c>
      <c r="B27" t="s">
        <v>36</v>
      </c>
      <c r="C27" t="s">
        <v>839</v>
      </c>
      <c r="D27" t="s">
        <v>811</v>
      </c>
      <c r="E27" t="s">
        <v>5</v>
      </c>
      <c r="F27" s="3">
        <v>6.8250000000000011</v>
      </c>
    </row>
    <row r="28" spans="1:6">
      <c r="A28" t="s">
        <v>6</v>
      </c>
      <c r="B28" t="s">
        <v>37</v>
      </c>
      <c r="C28" t="s">
        <v>840</v>
      </c>
      <c r="D28" t="s">
        <v>811</v>
      </c>
      <c r="E28" t="s">
        <v>5</v>
      </c>
      <c r="F28" s="3">
        <v>6.5500000000000007</v>
      </c>
    </row>
    <row r="29" spans="1:6">
      <c r="A29" t="s">
        <v>6</v>
      </c>
      <c r="B29" t="s">
        <v>38</v>
      </c>
      <c r="C29" t="s">
        <v>841</v>
      </c>
      <c r="D29" t="s">
        <v>811</v>
      </c>
      <c r="E29" t="s">
        <v>5</v>
      </c>
      <c r="F29" s="3">
        <v>7.6166666666666671</v>
      </c>
    </row>
    <row r="30" spans="1:6">
      <c r="A30" t="s">
        <v>6</v>
      </c>
      <c r="B30" t="s">
        <v>39</v>
      </c>
      <c r="C30" t="s">
        <v>842</v>
      </c>
      <c r="D30" t="s">
        <v>811</v>
      </c>
      <c r="E30" t="s">
        <v>5</v>
      </c>
      <c r="F30" s="3">
        <v>8.1833333333333336</v>
      </c>
    </row>
    <row r="31" spans="1:6">
      <c r="A31" t="s">
        <v>6</v>
      </c>
      <c r="B31" t="s">
        <v>40</v>
      </c>
      <c r="C31" t="s">
        <v>843</v>
      </c>
      <c r="D31" t="s">
        <v>811</v>
      </c>
      <c r="E31" t="s">
        <v>5</v>
      </c>
      <c r="F31" s="3">
        <v>9.0166666666666675</v>
      </c>
    </row>
    <row r="32" spans="1:6">
      <c r="A32" t="s">
        <v>6</v>
      </c>
      <c r="B32" t="s">
        <v>41</v>
      </c>
      <c r="C32" t="s">
        <v>844</v>
      </c>
      <c r="D32" t="s">
        <v>811</v>
      </c>
      <c r="E32" t="s">
        <v>5</v>
      </c>
      <c r="F32" s="3">
        <v>11.775</v>
      </c>
    </row>
    <row r="33" spans="1:6">
      <c r="A33" t="s">
        <v>6</v>
      </c>
      <c r="B33" t="s">
        <v>42</v>
      </c>
      <c r="C33" t="s">
        <v>845</v>
      </c>
      <c r="D33" t="s">
        <v>811</v>
      </c>
      <c r="E33" t="s">
        <v>5</v>
      </c>
      <c r="F33" s="3">
        <v>8.1</v>
      </c>
    </row>
    <row r="34" spans="1:6">
      <c r="A34" t="s">
        <v>6</v>
      </c>
      <c r="B34" t="s">
        <v>43</v>
      </c>
      <c r="C34" t="s">
        <v>846</v>
      </c>
      <c r="D34" t="s">
        <v>811</v>
      </c>
      <c r="E34" t="s">
        <v>5</v>
      </c>
      <c r="F34" s="3">
        <v>14.75</v>
      </c>
    </row>
    <row r="35" spans="1:6">
      <c r="A35" t="s">
        <v>6</v>
      </c>
      <c r="B35" t="s">
        <v>44</v>
      </c>
      <c r="C35" t="s">
        <v>847</v>
      </c>
      <c r="D35" t="s">
        <v>811</v>
      </c>
      <c r="E35" t="s">
        <v>5</v>
      </c>
      <c r="F35" s="3">
        <v>14.108333333333334</v>
      </c>
    </row>
    <row r="36" spans="1:6">
      <c r="A36" t="s">
        <v>7</v>
      </c>
      <c r="B36" t="s">
        <v>45</v>
      </c>
      <c r="C36" t="s">
        <v>848</v>
      </c>
      <c r="D36" t="s">
        <v>811</v>
      </c>
      <c r="E36" t="s">
        <v>5</v>
      </c>
      <c r="F36" s="3">
        <v>10.075000000000001</v>
      </c>
    </row>
    <row r="37" spans="1:6">
      <c r="A37" t="s">
        <v>7</v>
      </c>
      <c r="B37" t="s">
        <v>46</v>
      </c>
      <c r="C37" t="s">
        <v>849</v>
      </c>
      <c r="D37" t="s">
        <v>811</v>
      </c>
      <c r="E37" t="s">
        <v>5</v>
      </c>
      <c r="F37" s="3">
        <v>6.166666666666667</v>
      </c>
    </row>
    <row r="38" spans="1:6">
      <c r="A38" t="s">
        <v>6</v>
      </c>
      <c r="B38" t="s">
        <v>47</v>
      </c>
      <c r="C38" t="s">
        <v>850</v>
      </c>
      <c r="D38" t="s">
        <v>811</v>
      </c>
      <c r="E38" t="s">
        <v>5</v>
      </c>
      <c r="F38" s="3">
        <v>5.916666666666667</v>
      </c>
    </row>
    <row r="39" spans="1:6">
      <c r="A39" t="s">
        <v>7</v>
      </c>
      <c r="B39" t="s">
        <v>48</v>
      </c>
      <c r="C39" t="s">
        <v>851</v>
      </c>
      <c r="D39" t="s">
        <v>811</v>
      </c>
      <c r="E39" t="s">
        <v>5</v>
      </c>
      <c r="F39" s="3">
        <v>7.416666666666667</v>
      </c>
    </row>
    <row r="40" spans="1:6">
      <c r="A40" t="s">
        <v>7</v>
      </c>
      <c r="B40" t="s">
        <v>49</v>
      </c>
      <c r="C40" t="s">
        <v>852</v>
      </c>
      <c r="D40" t="s">
        <v>811</v>
      </c>
      <c r="E40" t="s">
        <v>5</v>
      </c>
      <c r="F40" s="3">
        <v>10.158333333333333</v>
      </c>
    </row>
    <row r="41" spans="1:6">
      <c r="A41" t="s">
        <v>9</v>
      </c>
      <c r="B41" t="s">
        <v>50</v>
      </c>
      <c r="C41" t="s">
        <v>853</v>
      </c>
      <c r="D41" t="s">
        <v>811</v>
      </c>
      <c r="E41" t="s">
        <v>5</v>
      </c>
      <c r="F41" s="3">
        <v>10.833333333333334</v>
      </c>
    </row>
    <row r="42" spans="1:6">
      <c r="A42" t="s">
        <v>7</v>
      </c>
      <c r="B42" t="s">
        <v>51</v>
      </c>
      <c r="C42" t="s">
        <v>854</v>
      </c>
      <c r="D42" t="s">
        <v>811</v>
      </c>
      <c r="E42" t="s">
        <v>5</v>
      </c>
      <c r="F42" s="3">
        <v>14.016666666666667</v>
      </c>
    </row>
    <row r="43" spans="1:6">
      <c r="A43" t="s">
        <v>7</v>
      </c>
      <c r="B43" t="s">
        <v>52</v>
      </c>
      <c r="C43" t="s">
        <v>855</v>
      </c>
      <c r="D43" t="s">
        <v>811</v>
      </c>
      <c r="E43" t="s">
        <v>5</v>
      </c>
      <c r="F43" s="3">
        <v>19.066666666666666</v>
      </c>
    </row>
    <row r="44" spans="1:6">
      <c r="A44" t="s">
        <v>7</v>
      </c>
      <c r="B44" t="s">
        <v>53</v>
      </c>
      <c r="C44" t="s">
        <v>856</v>
      </c>
      <c r="D44" t="s">
        <v>811</v>
      </c>
      <c r="E44" t="s">
        <v>5</v>
      </c>
      <c r="F44" s="3">
        <v>13.450000000000001</v>
      </c>
    </row>
    <row r="45" spans="1:6">
      <c r="A45" t="s">
        <v>7</v>
      </c>
      <c r="B45" t="s">
        <v>54</v>
      </c>
      <c r="C45" t="s">
        <v>857</v>
      </c>
      <c r="D45" t="s">
        <v>811</v>
      </c>
      <c r="E45" t="s">
        <v>5</v>
      </c>
      <c r="F45" s="3">
        <v>18.900000000000002</v>
      </c>
    </row>
    <row r="46" spans="1:6">
      <c r="A46" t="s">
        <v>9</v>
      </c>
      <c r="B46" t="s">
        <v>55</v>
      </c>
      <c r="C46" t="s">
        <v>858</v>
      </c>
      <c r="D46" t="s">
        <v>811</v>
      </c>
      <c r="E46" t="s">
        <v>5</v>
      </c>
      <c r="F46" s="3">
        <v>10.083333333333334</v>
      </c>
    </row>
    <row r="47" spans="1:6">
      <c r="A47" t="s">
        <v>7</v>
      </c>
      <c r="B47" t="s">
        <v>56</v>
      </c>
      <c r="C47" t="s">
        <v>859</v>
      </c>
      <c r="D47" t="s">
        <v>811</v>
      </c>
      <c r="E47" t="s">
        <v>5</v>
      </c>
      <c r="F47" s="3">
        <v>6.2249999999999996</v>
      </c>
    </row>
    <row r="48" spans="1:6">
      <c r="A48" t="s">
        <v>7</v>
      </c>
      <c r="B48" t="s">
        <v>57</v>
      </c>
      <c r="C48" t="s">
        <v>860</v>
      </c>
      <c r="D48" t="s">
        <v>811</v>
      </c>
      <c r="E48" t="s">
        <v>5</v>
      </c>
      <c r="F48" s="3">
        <v>7.4083333333333341</v>
      </c>
    </row>
    <row r="49" spans="1:6">
      <c r="A49" t="s">
        <v>6</v>
      </c>
      <c r="B49" t="s">
        <v>58</v>
      </c>
      <c r="C49" t="s">
        <v>861</v>
      </c>
      <c r="D49" t="s">
        <v>811</v>
      </c>
      <c r="E49" t="s">
        <v>5</v>
      </c>
      <c r="F49" s="3">
        <v>7.7249999999999996</v>
      </c>
    </row>
    <row r="50" spans="1:6">
      <c r="A50" t="s">
        <v>6</v>
      </c>
      <c r="B50" t="s">
        <v>59</v>
      </c>
      <c r="C50" t="s">
        <v>862</v>
      </c>
      <c r="D50" t="s">
        <v>811</v>
      </c>
      <c r="E50" t="s">
        <v>5</v>
      </c>
      <c r="F50" s="3">
        <v>8.9333333333333336</v>
      </c>
    </row>
    <row r="51" spans="1:6">
      <c r="A51" t="s">
        <v>7</v>
      </c>
      <c r="B51" t="s">
        <v>60</v>
      </c>
      <c r="C51" t="s">
        <v>863</v>
      </c>
      <c r="D51" t="s">
        <v>811</v>
      </c>
      <c r="E51" t="s">
        <v>5</v>
      </c>
      <c r="F51" s="3">
        <v>10.85</v>
      </c>
    </row>
    <row r="52" spans="1:6">
      <c r="A52" t="s">
        <v>6</v>
      </c>
      <c r="B52" t="s">
        <v>61</v>
      </c>
      <c r="C52" t="s">
        <v>864</v>
      </c>
      <c r="D52" t="s">
        <v>811</v>
      </c>
      <c r="E52" t="s">
        <v>5</v>
      </c>
      <c r="F52" s="3">
        <v>9.75</v>
      </c>
    </row>
    <row r="53" spans="1:6">
      <c r="A53" t="s">
        <v>6</v>
      </c>
      <c r="B53" t="s">
        <v>62</v>
      </c>
      <c r="C53" t="s">
        <v>865</v>
      </c>
      <c r="D53" t="s">
        <v>811</v>
      </c>
      <c r="E53" t="s">
        <v>5</v>
      </c>
      <c r="F53" s="3">
        <v>8.9166666666666661</v>
      </c>
    </row>
    <row r="54" spans="1:6">
      <c r="A54" t="s">
        <v>6</v>
      </c>
      <c r="B54" t="s">
        <v>63</v>
      </c>
      <c r="C54" t="s">
        <v>866</v>
      </c>
      <c r="D54" t="s">
        <v>811</v>
      </c>
      <c r="E54" t="s">
        <v>5</v>
      </c>
      <c r="F54" s="3">
        <v>6.9000000000000012</v>
      </c>
    </row>
    <row r="55" spans="1:6">
      <c r="A55" t="s">
        <v>6</v>
      </c>
      <c r="B55" t="s">
        <v>64</v>
      </c>
      <c r="C55" t="s">
        <v>867</v>
      </c>
      <c r="D55" t="s">
        <v>811</v>
      </c>
      <c r="E55" t="s">
        <v>5</v>
      </c>
      <c r="F55" s="3">
        <v>14.191666666666668</v>
      </c>
    </row>
    <row r="56" spans="1:6">
      <c r="A56" t="s">
        <v>6</v>
      </c>
      <c r="B56" t="s">
        <v>65</v>
      </c>
      <c r="C56" t="s">
        <v>868</v>
      </c>
      <c r="D56" t="s">
        <v>811</v>
      </c>
      <c r="E56" t="s">
        <v>5</v>
      </c>
      <c r="F56" s="3">
        <v>8.3333333333333339</v>
      </c>
    </row>
    <row r="57" spans="1:6">
      <c r="A57" t="s">
        <v>6</v>
      </c>
      <c r="B57" t="s">
        <v>66</v>
      </c>
      <c r="C57" t="s">
        <v>869</v>
      </c>
      <c r="D57" t="s">
        <v>811</v>
      </c>
      <c r="E57" t="s">
        <v>5</v>
      </c>
      <c r="F57" s="3">
        <v>9.9</v>
      </c>
    </row>
    <row r="58" spans="1:6">
      <c r="A58" t="s">
        <v>9</v>
      </c>
      <c r="B58" t="s">
        <v>67</v>
      </c>
      <c r="C58" t="s">
        <v>870</v>
      </c>
      <c r="D58" t="s">
        <v>811</v>
      </c>
      <c r="E58" t="s">
        <v>5</v>
      </c>
      <c r="F58" s="3">
        <v>9.1916666666666664</v>
      </c>
    </row>
    <row r="59" spans="1:6">
      <c r="A59" t="s">
        <v>7</v>
      </c>
      <c r="B59" t="s">
        <v>68</v>
      </c>
      <c r="C59" t="s">
        <v>1611</v>
      </c>
      <c r="D59" t="s">
        <v>811</v>
      </c>
      <c r="E59" t="s">
        <v>5</v>
      </c>
      <c r="F59" s="3">
        <v>12.475000000000001</v>
      </c>
    </row>
    <row r="60" spans="1:6">
      <c r="A60" t="s">
        <v>6</v>
      </c>
      <c r="B60" t="s">
        <v>69</v>
      </c>
      <c r="C60" t="s">
        <v>871</v>
      </c>
      <c r="D60" t="s">
        <v>811</v>
      </c>
      <c r="E60" t="s">
        <v>5</v>
      </c>
      <c r="F60" s="3">
        <v>12.625</v>
      </c>
    </row>
    <row r="61" spans="1:6">
      <c r="A61" t="s">
        <v>7</v>
      </c>
      <c r="B61" t="s">
        <v>70</v>
      </c>
      <c r="C61" t="s">
        <v>872</v>
      </c>
      <c r="D61" t="s">
        <v>811</v>
      </c>
      <c r="E61" t="s">
        <v>5</v>
      </c>
      <c r="F61" s="3">
        <v>10.933333333333334</v>
      </c>
    </row>
    <row r="62" spans="1:6">
      <c r="A62" t="s">
        <v>6</v>
      </c>
      <c r="B62" t="s">
        <v>71</v>
      </c>
      <c r="C62" t="s">
        <v>873</v>
      </c>
      <c r="D62" t="s">
        <v>811</v>
      </c>
      <c r="E62" t="s">
        <v>5</v>
      </c>
      <c r="F62" s="3">
        <v>16.774999999999999</v>
      </c>
    </row>
    <row r="63" spans="1:6">
      <c r="A63" t="s">
        <v>9</v>
      </c>
      <c r="B63" t="s">
        <v>72</v>
      </c>
      <c r="C63" t="s">
        <v>874</v>
      </c>
      <c r="D63" t="s">
        <v>811</v>
      </c>
      <c r="E63" t="s">
        <v>5</v>
      </c>
      <c r="F63" s="3">
        <v>16.133333333333333</v>
      </c>
    </row>
    <row r="64" spans="1:6">
      <c r="A64" t="s">
        <v>6</v>
      </c>
      <c r="B64" t="s">
        <v>73</v>
      </c>
      <c r="C64" t="s">
        <v>875</v>
      </c>
      <c r="D64" t="s">
        <v>811</v>
      </c>
      <c r="E64" t="s">
        <v>5</v>
      </c>
      <c r="F64" s="3">
        <v>20.44166666666667</v>
      </c>
    </row>
    <row r="65" spans="1:6">
      <c r="A65" t="s">
        <v>6</v>
      </c>
      <c r="B65" t="s">
        <v>74</v>
      </c>
      <c r="C65" t="s">
        <v>876</v>
      </c>
      <c r="D65" t="s">
        <v>811</v>
      </c>
      <c r="E65" t="s">
        <v>5</v>
      </c>
      <c r="F65" s="3">
        <v>14.741666666666665</v>
      </c>
    </row>
    <row r="66" spans="1:6">
      <c r="A66" t="s">
        <v>6</v>
      </c>
      <c r="B66" t="s">
        <v>75</v>
      </c>
      <c r="C66" t="s">
        <v>877</v>
      </c>
      <c r="D66" t="s">
        <v>811</v>
      </c>
      <c r="E66" t="s">
        <v>5</v>
      </c>
      <c r="F66" s="3">
        <v>27.708333333333336</v>
      </c>
    </row>
    <row r="67" spans="1:6">
      <c r="A67" t="s">
        <v>6</v>
      </c>
      <c r="B67" t="s">
        <v>76</v>
      </c>
      <c r="C67" t="s">
        <v>878</v>
      </c>
      <c r="D67" t="s">
        <v>811</v>
      </c>
      <c r="E67" t="s">
        <v>5</v>
      </c>
      <c r="F67" s="3">
        <v>19.2</v>
      </c>
    </row>
    <row r="68" spans="1:6">
      <c r="A68" t="s">
        <v>6</v>
      </c>
      <c r="B68" t="s">
        <v>77</v>
      </c>
      <c r="C68" t="s">
        <v>879</v>
      </c>
      <c r="D68" t="s">
        <v>811</v>
      </c>
      <c r="E68" t="s">
        <v>5</v>
      </c>
      <c r="F68" s="3">
        <v>34.94166666666667</v>
      </c>
    </row>
    <row r="69" spans="1:6">
      <c r="A69" t="s">
        <v>6</v>
      </c>
      <c r="B69" t="s">
        <v>78</v>
      </c>
      <c r="C69" t="s">
        <v>880</v>
      </c>
      <c r="D69" t="s">
        <v>811</v>
      </c>
      <c r="E69" t="s">
        <v>5</v>
      </c>
      <c r="F69" s="3">
        <v>26.041666666666668</v>
      </c>
    </row>
    <row r="70" spans="1:6">
      <c r="A70" t="s">
        <v>6</v>
      </c>
      <c r="B70" t="s">
        <v>79</v>
      </c>
      <c r="C70" t="s">
        <v>881</v>
      </c>
      <c r="D70" t="s">
        <v>811</v>
      </c>
      <c r="E70" t="s">
        <v>5</v>
      </c>
      <c r="F70" s="3">
        <v>7.2833333333333341</v>
      </c>
    </row>
    <row r="71" spans="1:6">
      <c r="A71" t="s">
        <v>7</v>
      </c>
      <c r="B71" t="s">
        <v>80</v>
      </c>
      <c r="C71" t="s">
        <v>882</v>
      </c>
      <c r="D71" t="s">
        <v>811</v>
      </c>
      <c r="E71" t="s">
        <v>5</v>
      </c>
      <c r="F71" s="3">
        <v>13.841666666666667</v>
      </c>
    </row>
    <row r="72" spans="1:6">
      <c r="A72" t="s">
        <v>6</v>
      </c>
      <c r="B72" t="s">
        <v>81</v>
      </c>
      <c r="C72" t="s">
        <v>883</v>
      </c>
      <c r="D72" t="s">
        <v>811</v>
      </c>
      <c r="E72" t="s">
        <v>5</v>
      </c>
      <c r="F72" s="3">
        <v>12.558333333333334</v>
      </c>
    </row>
    <row r="73" spans="1:6">
      <c r="A73" t="s">
        <v>7</v>
      </c>
      <c r="B73" t="s">
        <v>82</v>
      </c>
      <c r="C73" t="s">
        <v>884</v>
      </c>
      <c r="D73" t="s">
        <v>811</v>
      </c>
      <c r="E73" t="s">
        <v>5</v>
      </c>
      <c r="F73" s="3">
        <v>14.283333333333335</v>
      </c>
    </row>
    <row r="74" spans="1:6">
      <c r="A74" t="s">
        <v>9</v>
      </c>
      <c r="B74" t="s">
        <v>83</v>
      </c>
      <c r="C74" t="s">
        <v>885</v>
      </c>
      <c r="D74" t="s">
        <v>811</v>
      </c>
      <c r="E74" t="s">
        <v>5</v>
      </c>
      <c r="F74" s="3">
        <v>13.3</v>
      </c>
    </row>
    <row r="75" spans="1:6">
      <c r="A75" t="s">
        <v>6</v>
      </c>
      <c r="B75" t="s">
        <v>84</v>
      </c>
      <c r="C75" t="s">
        <v>886</v>
      </c>
      <c r="D75" t="s">
        <v>811</v>
      </c>
      <c r="E75" t="s">
        <v>5</v>
      </c>
      <c r="F75" s="3">
        <v>26.433333333333334</v>
      </c>
    </row>
    <row r="76" spans="1:6">
      <c r="A76" t="s">
        <v>7</v>
      </c>
      <c r="B76" t="s">
        <v>85</v>
      </c>
      <c r="C76" t="s">
        <v>887</v>
      </c>
      <c r="D76" t="s">
        <v>811</v>
      </c>
      <c r="E76" t="s">
        <v>5</v>
      </c>
      <c r="F76" s="3">
        <v>45.816666666666663</v>
      </c>
    </row>
    <row r="77" spans="1:6">
      <c r="A77" t="s">
        <v>6</v>
      </c>
      <c r="B77" t="s">
        <v>86</v>
      </c>
      <c r="C77" t="s">
        <v>888</v>
      </c>
      <c r="D77" t="s">
        <v>811</v>
      </c>
      <c r="E77" t="s">
        <v>5</v>
      </c>
      <c r="F77" s="3">
        <v>23.775000000000002</v>
      </c>
    </row>
    <row r="78" spans="1:6">
      <c r="A78" t="s">
        <v>6</v>
      </c>
      <c r="B78" t="s">
        <v>87</v>
      </c>
      <c r="C78" t="s">
        <v>889</v>
      </c>
      <c r="D78" t="s">
        <v>811</v>
      </c>
      <c r="E78" t="s">
        <v>5</v>
      </c>
      <c r="F78" s="3">
        <v>47.80833333333333</v>
      </c>
    </row>
    <row r="79" spans="1:6">
      <c r="A79" t="s">
        <v>6</v>
      </c>
      <c r="B79" t="s">
        <v>88</v>
      </c>
      <c r="C79" t="s">
        <v>890</v>
      </c>
      <c r="D79" t="s">
        <v>811</v>
      </c>
      <c r="E79" t="s">
        <v>5</v>
      </c>
      <c r="F79" s="3">
        <v>55.474999999999994</v>
      </c>
    </row>
    <row r="80" spans="1:6">
      <c r="A80" t="s">
        <v>6</v>
      </c>
      <c r="B80" t="s">
        <v>89</v>
      </c>
      <c r="C80" t="s">
        <v>891</v>
      </c>
      <c r="D80" t="s">
        <v>811</v>
      </c>
      <c r="E80" t="s">
        <v>5</v>
      </c>
      <c r="F80" s="3">
        <v>51.55833333333333</v>
      </c>
    </row>
    <row r="81" spans="1:6">
      <c r="A81" t="s">
        <v>6</v>
      </c>
      <c r="B81" t="s">
        <v>90</v>
      </c>
      <c r="C81" t="s">
        <v>892</v>
      </c>
      <c r="D81" t="s">
        <v>811</v>
      </c>
      <c r="E81" t="s">
        <v>5</v>
      </c>
      <c r="F81" s="3">
        <v>37.024999999999999</v>
      </c>
    </row>
    <row r="82" spans="1:6">
      <c r="A82" t="s">
        <v>6</v>
      </c>
      <c r="B82" t="s">
        <v>91</v>
      </c>
      <c r="C82" t="s">
        <v>893</v>
      </c>
      <c r="D82" t="s">
        <v>811</v>
      </c>
      <c r="E82" t="s">
        <v>5</v>
      </c>
      <c r="F82" s="3">
        <v>50.583333333333336</v>
      </c>
    </row>
    <row r="83" spans="1:6">
      <c r="A83" t="s">
        <v>6</v>
      </c>
      <c r="B83" t="s">
        <v>92</v>
      </c>
      <c r="C83" t="s">
        <v>894</v>
      </c>
      <c r="D83" t="s">
        <v>811</v>
      </c>
      <c r="E83" t="s">
        <v>5</v>
      </c>
      <c r="F83" s="3">
        <v>67.016666666666666</v>
      </c>
    </row>
    <row r="84" spans="1:6">
      <c r="A84" t="s">
        <v>6</v>
      </c>
      <c r="B84" t="s">
        <v>93</v>
      </c>
      <c r="C84" t="s">
        <v>895</v>
      </c>
      <c r="D84" t="s">
        <v>811</v>
      </c>
      <c r="E84" t="s">
        <v>5</v>
      </c>
      <c r="F84" s="3">
        <v>56.791666666666671</v>
      </c>
    </row>
    <row r="85" spans="1:6">
      <c r="A85" t="s">
        <v>6</v>
      </c>
      <c r="B85" t="s">
        <v>94</v>
      </c>
      <c r="C85" t="s">
        <v>896</v>
      </c>
      <c r="D85" t="s">
        <v>811</v>
      </c>
      <c r="E85" t="s">
        <v>5</v>
      </c>
      <c r="F85" s="3">
        <v>32.924999999999997</v>
      </c>
    </row>
    <row r="86" spans="1:6">
      <c r="A86" t="s">
        <v>9</v>
      </c>
      <c r="B86" t="s">
        <v>95</v>
      </c>
      <c r="C86" t="s">
        <v>897</v>
      </c>
      <c r="D86" t="s">
        <v>811</v>
      </c>
      <c r="E86" t="s">
        <v>5</v>
      </c>
      <c r="F86" s="3">
        <v>22.75</v>
      </c>
    </row>
    <row r="87" spans="1:6">
      <c r="A87" t="s">
        <v>6</v>
      </c>
      <c r="B87" t="s">
        <v>96</v>
      </c>
      <c r="C87" t="s">
        <v>898</v>
      </c>
      <c r="D87" t="s">
        <v>811</v>
      </c>
      <c r="E87" t="s">
        <v>5</v>
      </c>
      <c r="F87" s="3">
        <v>11.033333333333333</v>
      </c>
    </row>
    <row r="88" spans="1:6">
      <c r="A88" t="s">
        <v>9</v>
      </c>
      <c r="B88" t="s">
        <v>97</v>
      </c>
      <c r="C88" t="s">
        <v>899</v>
      </c>
      <c r="D88" t="s">
        <v>811</v>
      </c>
      <c r="E88" t="s">
        <v>5</v>
      </c>
      <c r="F88" s="3">
        <v>17.458333333333332</v>
      </c>
    </row>
    <row r="89" spans="1:6">
      <c r="A89" t="s">
        <v>9</v>
      </c>
      <c r="B89" t="s">
        <v>98</v>
      </c>
      <c r="C89" t="s">
        <v>900</v>
      </c>
      <c r="D89" t="s">
        <v>811</v>
      </c>
      <c r="E89" t="s">
        <v>5</v>
      </c>
      <c r="F89" s="3">
        <v>6.8083333333333336</v>
      </c>
    </row>
    <row r="90" spans="1:6">
      <c r="A90" t="s">
        <v>9</v>
      </c>
      <c r="B90" t="s">
        <v>99</v>
      </c>
      <c r="C90" t="s">
        <v>901</v>
      </c>
      <c r="D90" t="s">
        <v>811</v>
      </c>
      <c r="E90" t="s">
        <v>5</v>
      </c>
      <c r="F90" s="3">
        <v>11.325000000000001</v>
      </c>
    </row>
    <row r="91" spans="1:6">
      <c r="A91" t="s">
        <v>6</v>
      </c>
      <c r="B91" t="s">
        <v>100</v>
      </c>
      <c r="C91" t="s">
        <v>902</v>
      </c>
      <c r="D91" t="s">
        <v>811</v>
      </c>
      <c r="E91" t="s">
        <v>5</v>
      </c>
      <c r="F91" s="3">
        <v>18.75</v>
      </c>
    </row>
    <row r="92" spans="1:6">
      <c r="A92" t="s">
        <v>7</v>
      </c>
      <c r="B92" t="s">
        <v>101</v>
      </c>
      <c r="C92" t="s">
        <v>903</v>
      </c>
      <c r="D92" t="s">
        <v>811</v>
      </c>
      <c r="E92" t="s">
        <v>5</v>
      </c>
      <c r="F92" s="3">
        <v>13.200000000000001</v>
      </c>
    </row>
    <row r="93" spans="1:6">
      <c r="A93" t="s">
        <v>9</v>
      </c>
      <c r="B93" t="s">
        <v>102</v>
      </c>
      <c r="C93" t="s">
        <v>904</v>
      </c>
      <c r="D93" t="s">
        <v>811</v>
      </c>
      <c r="E93" t="s">
        <v>5</v>
      </c>
      <c r="F93" s="3">
        <v>32.466666666666669</v>
      </c>
    </row>
    <row r="94" spans="1:6">
      <c r="A94" t="s">
        <v>7</v>
      </c>
      <c r="B94" t="s">
        <v>103</v>
      </c>
      <c r="C94" t="s">
        <v>905</v>
      </c>
      <c r="D94" t="s">
        <v>811</v>
      </c>
      <c r="E94" t="s">
        <v>5</v>
      </c>
      <c r="F94" s="3">
        <v>19.475000000000001</v>
      </c>
    </row>
    <row r="95" spans="1:6">
      <c r="A95" t="s">
        <v>6</v>
      </c>
      <c r="B95" t="s">
        <v>104</v>
      </c>
      <c r="C95" t="s">
        <v>906</v>
      </c>
      <c r="D95" t="s">
        <v>811</v>
      </c>
      <c r="E95" t="s">
        <v>5</v>
      </c>
      <c r="F95" s="3">
        <v>12.516666666666667</v>
      </c>
    </row>
    <row r="96" spans="1:6">
      <c r="A96" t="s">
        <v>6</v>
      </c>
      <c r="B96" t="s">
        <v>105</v>
      </c>
      <c r="C96" t="s">
        <v>907</v>
      </c>
      <c r="D96" t="s">
        <v>811</v>
      </c>
      <c r="E96" t="s">
        <v>5</v>
      </c>
      <c r="F96" s="3">
        <v>17.883333333333336</v>
      </c>
    </row>
    <row r="97" spans="1:6">
      <c r="A97" t="s">
        <v>9</v>
      </c>
      <c r="B97" t="s">
        <v>106</v>
      </c>
      <c r="C97" t="s">
        <v>908</v>
      </c>
      <c r="D97" t="s">
        <v>811</v>
      </c>
      <c r="E97" t="s">
        <v>5</v>
      </c>
      <c r="F97" s="3">
        <v>11.9</v>
      </c>
    </row>
    <row r="98" spans="1:6">
      <c r="A98" t="s">
        <v>9</v>
      </c>
      <c r="B98" t="s">
        <v>107</v>
      </c>
      <c r="C98" t="s">
        <v>909</v>
      </c>
      <c r="D98" t="s">
        <v>811</v>
      </c>
      <c r="E98" t="s">
        <v>5</v>
      </c>
      <c r="F98" s="3">
        <v>15.666666666666668</v>
      </c>
    </row>
    <row r="99" spans="1:6">
      <c r="A99" t="s">
        <v>6</v>
      </c>
      <c r="B99" t="s">
        <v>108</v>
      </c>
      <c r="C99" t="s">
        <v>910</v>
      </c>
      <c r="D99" t="s">
        <v>811</v>
      </c>
      <c r="E99" t="s">
        <v>5</v>
      </c>
      <c r="F99" s="3">
        <v>16.125000000000004</v>
      </c>
    </row>
    <row r="100" spans="1:6">
      <c r="A100" t="s">
        <v>6</v>
      </c>
      <c r="B100" t="s">
        <v>109</v>
      </c>
      <c r="C100" t="s">
        <v>911</v>
      </c>
      <c r="D100" t="s">
        <v>811</v>
      </c>
      <c r="E100" t="s">
        <v>5</v>
      </c>
      <c r="F100" s="3">
        <v>19.100000000000001</v>
      </c>
    </row>
    <row r="101" spans="1:6">
      <c r="A101" t="s">
        <v>6</v>
      </c>
      <c r="B101" t="s">
        <v>110</v>
      </c>
      <c r="C101" t="s">
        <v>912</v>
      </c>
      <c r="D101" t="s">
        <v>811</v>
      </c>
      <c r="E101" t="s">
        <v>5</v>
      </c>
      <c r="F101" s="3">
        <v>22.3</v>
      </c>
    </row>
    <row r="102" spans="1:6">
      <c r="A102" t="s">
        <v>6</v>
      </c>
      <c r="B102" t="s">
        <v>111</v>
      </c>
      <c r="C102" t="s">
        <v>913</v>
      </c>
      <c r="D102" t="s">
        <v>811</v>
      </c>
      <c r="E102" t="s">
        <v>5</v>
      </c>
      <c r="F102" s="3">
        <v>12.591666666666667</v>
      </c>
    </row>
    <row r="103" spans="1:6">
      <c r="A103" t="s">
        <v>9</v>
      </c>
      <c r="B103" t="s">
        <v>112</v>
      </c>
      <c r="C103" t="s">
        <v>914</v>
      </c>
      <c r="D103" t="s">
        <v>811</v>
      </c>
      <c r="E103" t="s">
        <v>5</v>
      </c>
      <c r="F103" s="3">
        <v>16.7</v>
      </c>
    </row>
    <row r="104" spans="1:6">
      <c r="A104" t="s">
        <v>9</v>
      </c>
      <c r="B104" t="s">
        <v>113</v>
      </c>
      <c r="C104" t="s">
        <v>915</v>
      </c>
      <c r="D104" t="s">
        <v>811</v>
      </c>
      <c r="E104" t="s">
        <v>5</v>
      </c>
      <c r="F104" s="3">
        <v>16.208333333333332</v>
      </c>
    </row>
    <row r="105" spans="1:6">
      <c r="A105" t="s">
        <v>7</v>
      </c>
      <c r="B105" t="s">
        <v>114</v>
      </c>
      <c r="C105" t="s">
        <v>916</v>
      </c>
      <c r="D105" t="s">
        <v>811</v>
      </c>
      <c r="E105" t="s">
        <v>5</v>
      </c>
      <c r="F105" s="3">
        <v>2.9083333333333337</v>
      </c>
    </row>
    <row r="106" spans="1:6">
      <c r="A106" t="s">
        <v>9</v>
      </c>
      <c r="B106" t="s">
        <v>115</v>
      </c>
      <c r="C106" t="s">
        <v>917</v>
      </c>
      <c r="D106" t="s">
        <v>811</v>
      </c>
      <c r="E106" t="s">
        <v>5</v>
      </c>
      <c r="F106" s="3">
        <v>8.875</v>
      </c>
    </row>
    <row r="107" spans="1:6">
      <c r="A107" t="s">
        <v>9</v>
      </c>
      <c r="B107" t="s">
        <v>116</v>
      </c>
      <c r="C107" t="s">
        <v>918</v>
      </c>
      <c r="D107" t="s">
        <v>811</v>
      </c>
      <c r="E107" t="s">
        <v>5</v>
      </c>
      <c r="F107" s="3">
        <v>13.591666666666669</v>
      </c>
    </row>
    <row r="108" spans="1:6">
      <c r="A108" t="s">
        <v>6</v>
      </c>
      <c r="B108" t="s">
        <v>117</v>
      </c>
      <c r="C108" t="s">
        <v>919</v>
      </c>
      <c r="D108" t="s">
        <v>811</v>
      </c>
      <c r="E108" t="s">
        <v>5</v>
      </c>
      <c r="F108" s="3">
        <v>52.083333333333336</v>
      </c>
    </row>
    <row r="109" spans="1:6">
      <c r="A109" t="s">
        <v>9</v>
      </c>
      <c r="B109" t="s">
        <v>118</v>
      </c>
      <c r="C109" t="s">
        <v>920</v>
      </c>
      <c r="D109" t="s">
        <v>811</v>
      </c>
      <c r="E109" t="s">
        <v>5</v>
      </c>
      <c r="F109" s="3">
        <v>17.258333333333336</v>
      </c>
    </row>
    <row r="110" spans="1:6">
      <c r="A110" t="s">
        <v>9</v>
      </c>
      <c r="B110" t="s">
        <v>119</v>
      </c>
      <c r="C110" t="s">
        <v>921</v>
      </c>
      <c r="D110" t="s">
        <v>811</v>
      </c>
      <c r="E110" t="s">
        <v>5</v>
      </c>
      <c r="F110" s="3">
        <v>28.191666666666666</v>
      </c>
    </row>
    <row r="111" spans="1:6">
      <c r="A111" t="s">
        <v>6</v>
      </c>
      <c r="B111" t="s">
        <v>120</v>
      </c>
      <c r="C111" t="s">
        <v>922</v>
      </c>
      <c r="D111" t="s">
        <v>811</v>
      </c>
      <c r="E111" t="s">
        <v>5</v>
      </c>
      <c r="F111" s="3">
        <v>5.8666666666666671</v>
      </c>
    </row>
    <row r="112" spans="1:6">
      <c r="A112" t="s">
        <v>7</v>
      </c>
      <c r="B112" t="s">
        <v>121</v>
      </c>
      <c r="C112" t="s">
        <v>923</v>
      </c>
      <c r="D112" t="s">
        <v>811</v>
      </c>
      <c r="E112" t="s">
        <v>5</v>
      </c>
      <c r="F112" s="3">
        <v>5.8583333333333334</v>
      </c>
    </row>
    <row r="113" spans="1:7">
      <c r="A113" t="s">
        <v>9</v>
      </c>
      <c r="B113" t="s">
        <v>122</v>
      </c>
      <c r="C113" t="s">
        <v>924</v>
      </c>
      <c r="D113" t="s">
        <v>811</v>
      </c>
      <c r="E113" t="s">
        <v>5</v>
      </c>
      <c r="F113" s="3">
        <v>6.8083333333333336</v>
      </c>
    </row>
    <row r="114" spans="1:7">
      <c r="A114" t="s">
        <v>9</v>
      </c>
      <c r="B114" t="s">
        <v>123</v>
      </c>
      <c r="C114" t="s">
        <v>925</v>
      </c>
      <c r="D114" t="s">
        <v>811</v>
      </c>
      <c r="E114" t="s">
        <v>5</v>
      </c>
      <c r="F114" s="3">
        <v>26</v>
      </c>
    </row>
    <row r="115" spans="1:7">
      <c r="A115" t="s">
        <v>9</v>
      </c>
      <c r="B115" t="s">
        <v>124</v>
      </c>
      <c r="C115" t="s">
        <v>926</v>
      </c>
      <c r="D115" t="s">
        <v>811</v>
      </c>
      <c r="E115" t="s">
        <v>5</v>
      </c>
      <c r="F115" s="3">
        <v>77.39166666666668</v>
      </c>
    </row>
    <row r="116" spans="1:7">
      <c r="A116" t="s">
        <v>9</v>
      </c>
      <c r="B116" t="s">
        <v>125</v>
      </c>
      <c r="C116" t="s">
        <v>927</v>
      </c>
      <c r="D116" t="s">
        <v>811</v>
      </c>
      <c r="E116" t="s">
        <v>5</v>
      </c>
      <c r="F116" s="3">
        <v>47.325000000000003</v>
      </c>
    </row>
    <row r="117" spans="1:7">
      <c r="A117" t="s">
        <v>9</v>
      </c>
      <c r="B117" t="s">
        <v>126</v>
      </c>
      <c r="C117" t="s">
        <v>928</v>
      </c>
      <c r="D117" t="s">
        <v>811</v>
      </c>
      <c r="E117" t="s">
        <v>5</v>
      </c>
      <c r="F117" s="3">
        <v>33.233333333333334</v>
      </c>
    </row>
    <row r="118" spans="1:7">
      <c r="A118" t="s">
        <v>6</v>
      </c>
      <c r="B118" t="s">
        <v>127</v>
      </c>
      <c r="C118" t="s">
        <v>929</v>
      </c>
      <c r="D118" t="s">
        <v>811</v>
      </c>
      <c r="E118" t="s">
        <v>5</v>
      </c>
      <c r="F118" s="3">
        <v>9.4416666666666664</v>
      </c>
    </row>
    <row r="119" spans="1:7">
      <c r="A119" t="s">
        <v>6</v>
      </c>
      <c r="B119" t="s">
        <v>128</v>
      </c>
      <c r="C119" t="s">
        <v>930</v>
      </c>
      <c r="D119" t="s">
        <v>811</v>
      </c>
      <c r="E119" t="s">
        <v>5</v>
      </c>
      <c r="F119" s="3">
        <v>13.383333333333336</v>
      </c>
    </row>
    <row r="120" spans="1:7">
      <c r="A120" t="s">
        <v>6</v>
      </c>
      <c r="B120" t="s">
        <v>129</v>
      </c>
      <c r="C120" t="s">
        <v>931</v>
      </c>
      <c r="D120" t="s">
        <v>811</v>
      </c>
      <c r="E120" t="s">
        <v>5</v>
      </c>
      <c r="F120" s="3">
        <v>17.666666666666668</v>
      </c>
    </row>
    <row r="121" spans="1:7">
      <c r="A121" t="s">
        <v>6</v>
      </c>
      <c r="B121" t="s">
        <v>130</v>
      </c>
      <c r="C121" t="s">
        <v>932</v>
      </c>
      <c r="D121" t="s">
        <v>811</v>
      </c>
      <c r="E121" t="s">
        <v>5</v>
      </c>
      <c r="F121" s="3">
        <v>17.491666666666667</v>
      </c>
    </row>
    <row r="122" spans="1:7">
      <c r="A122" t="s">
        <v>7</v>
      </c>
      <c r="B122" t="s">
        <v>131</v>
      </c>
      <c r="C122" t="s">
        <v>933</v>
      </c>
      <c r="D122" t="s">
        <v>811</v>
      </c>
      <c r="E122" t="s">
        <v>5</v>
      </c>
      <c r="F122" s="3">
        <v>41.808333333333337</v>
      </c>
      <c r="G122" s="1"/>
    </row>
    <row r="123" spans="1:7">
      <c r="A123" t="s">
        <v>6</v>
      </c>
      <c r="B123" t="s">
        <v>132</v>
      </c>
      <c r="C123" t="s">
        <v>934</v>
      </c>
      <c r="D123" t="s">
        <v>811</v>
      </c>
      <c r="E123" t="s">
        <v>5</v>
      </c>
      <c r="F123" s="3">
        <v>10.541666666666668</v>
      </c>
    </row>
    <row r="124" spans="1:7">
      <c r="A124" t="s">
        <v>7</v>
      </c>
      <c r="B124" t="s">
        <v>133</v>
      </c>
      <c r="C124" t="s">
        <v>935</v>
      </c>
      <c r="D124" t="s">
        <v>811</v>
      </c>
      <c r="E124" t="s">
        <v>5</v>
      </c>
      <c r="F124" s="3">
        <v>7.416666666666667</v>
      </c>
    </row>
    <row r="125" spans="1:7">
      <c r="A125" t="s">
        <v>6</v>
      </c>
      <c r="B125" t="s">
        <v>134</v>
      </c>
      <c r="C125" t="s">
        <v>936</v>
      </c>
      <c r="D125" t="s">
        <v>811</v>
      </c>
      <c r="E125" t="s">
        <v>5</v>
      </c>
      <c r="F125" s="3">
        <v>6.2416666666666671</v>
      </c>
    </row>
    <row r="126" spans="1:7">
      <c r="A126" t="s">
        <v>6</v>
      </c>
      <c r="B126" t="s">
        <v>135</v>
      </c>
      <c r="C126" t="s">
        <v>937</v>
      </c>
      <c r="D126" t="s">
        <v>811</v>
      </c>
      <c r="E126" t="s">
        <v>5</v>
      </c>
      <c r="F126" s="3">
        <v>6.1083333333333334</v>
      </c>
    </row>
    <row r="127" spans="1:7">
      <c r="A127" t="s">
        <v>7</v>
      </c>
      <c r="B127" t="s">
        <v>136</v>
      </c>
      <c r="C127" t="s">
        <v>938</v>
      </c>
      <c r="D127" t="s">
        <v>811</v>
      </c>
      <c r="E127" t="s">
        <v>5</v>
      </c>
      <c r="F127" s="3">
        <v>18.758333333333336</v>
      </c>
    </row>
    <row r="128" spans="1:7">
      <c r="A128" t="s">
        <v>6</v>
      </c>
      <c r="B128" t="s">
        <v>137</v>
      </c>
      <c r="C128" t="s">
        <v>939</v>
      </c>
      <c r="D128" t="s">
        <v>811</v>
      </c>
      <c r="E128" t="s">
        <v>5</v>
      </c>
      <c r="F128" s="3">
        <v>2.4583333333333335</v>
      </c>
    </row>
    <row r="129" spans="1:6">
      <c r="A129" t="s">
        <v>6</v>
      </c>
      <c r="B129" t="s">
        <v>138</v>
      </c>
      <c r="C129" t="s">
        <v>940</v>
      </c>
      <c r="D129" t="s">
        <v>811</v>
      </c>
      <c r="E129" t="s">
        <v>5</v>
      </c>
      <c r="F129" s="3">
        <v>2.5083333333333333</v>
      </c>
    </row>
    <row r="130" spans="1:6">
      <c r="A130" t="s">
        <v>6</v>
      </c>
      <c r="B130" t="s">
        <v>139</v>
      </c>
      <c r="C130" t="s">
        <v>941</v>
      </c>
      <c r="D130" t="s">
        <v>811</v>
      </c>
      <c r="E130" t="s">
        <v>5</v>
      </c>
      <c r="F130" s="3">
        <v>2.2416666666666667</v>
      </c>
    </row>
    <row r="131" spans="1:6">
      <c r="A131" t="s">
        <v>6</v>
      </c>
      <c r="B131" t="s">
        <v>140</v>
      </c>
      <c r="C131" t="s">
        <v>942</v>
      </c>
      <c r="D131" t="s">
        <v>811</v>
      </c>
      <c r="E131" t="s">
        <v>5</v>
      </c>
      <c r="F131" s="3">
        <v>2.4416666666666669</v>
      </c>
    </row>
    <row r="132" spans="1:6">
      <c r="A132" t="s">
        <v>6</v>
      </c>
      <c r="B132" t="s">
        <v>141</v>
      </c>
      <c r="C132" t="s">
        <v>943</v>
      </c>
      <c r="D132" t="s">
        <v>811</v>
      </c>
      <c r="E132" t="s">
        <v>5</v>
      </c>
      <c r="F132" s="3">
        <v>2.3083333333333336</v>
      </c>
    </row>
    <row r="133" spans="1:6">
      <c r="A133" t="s">
        <v>6</v>
      </c>
      <c r="B133" t="s">
        <v>142</v>
      </c>
      <c r="C133" t="s">
        <v>944</v>
      </c>
      <c r="D133" t="s">
        <v>811</v>
      </c>
      <c r="E133" t="s">
        <v>5</v>
      </c>
      <c r="F133" s="3">
        <v>2.65</v>
      </c>
    </row>
    <row r="134" spans="1:6">
      <c r="A134" t="s">
        <v>6</v>
      </c>
      <c r="B134" t="s">
        <v>143</v>
      </c>
      <c r="C134" t="s">
        <v>945</v>
      </c>
      <c r="D134" t="s">
        <v>811</v>
      </c>
      <c r="E134" t="s">
        <v>5</v>
      </c>
      <c r="F134" s="3">
        <v>2.3416666666666668</v>
      </c>
    </row>
    <row r="135" spans="1:6">
      <c r="A135" t="s">
        <v>6</v>
      </c>
      <c r="B135" t="s">
        <v>144</v>
      </c>
      <c r="C135" t="s">
        <v>946</v>
      </c>
      <c r="D135" t="s">
        <v>811</v>
      </c>
      <c r="E135" t="s">
        <v>5</v>
      </c>
      <c r="F135" s="3">
        <v>2.6583333333333332</v>
      </c>
    </row>
    <row r="136" spans="1:6">
      <c r="A136" t="s">
        <v>6</v>
      </c>
      <c r="B136" t="s">
        <v>145</v>
      </c>
      <c r="C136" t="s">
        <v>947</v>
      </c>
      <c r="D136" t="s">
        <v>811</v>
      </c>
      <c r="E136" t="s">
        <v>5</v>
      </c>
      <c r="F136" s="3">
        <v>2.3916666666666671</v>
      </c>
    </row>
    <row r="137" spans="1:6">
      <c r="A137" t="s">
        <v>6</v>
      </c>
      <c r="B137" t="s">
        <v>146</v>
      </c>
      <c r="C137" t="s">
        <v>948</v>
      </c>
      <c r="D137" t="s">
        <v>811</v>
      </c>
      <c r="E137" t="s">
        <v>5</v>
      </c>
      <c r="F137" s="3">
        <v>3.125</v>
      </c>
    </row>
    <row r="138" spans="1:6">
      <c r="A138" t="s">
        <v>6</v>
      </c>
      <c r="B138" t="s">
        <v>147</v>
      </c>
      <c r="C138" t="s">
        <v>949</v>
      </c>
      <c r="D138" t="s">
        <v>811</v>
      </c>
      <c r="E138" t="s">
        <v>5</v>
      </c>
      <c r="F138" s="3">
        <v>3.1583333333333337</v>
      </c>
    </row>
    <row r="139" spans="1:6">
      <c r="A139" t="s">
        <v>6</v>
      </c>
      <c r="B139" t="s">
        <v>148</v>
      </c>
      <c r="C139" t="s">
        <v>950</v>
      </c>
      <c r="D139" t="s">
        <v>811</v>
      </c>
      <c r="E139" t="s">
        <v>5</v>
      </c>
      <c r="F139" s="3">
        <v>3.0166666666666671</v>
      </c>
    </row>
    <row r="140" spans="1:6">
      <c r="A140" t="s">
        <v>6</v>
      </c>
      <c r="B140" t="s">
        <v>149</v>
      </c>
      <c r="C140" t="s">
        <v>951</v>
      </c>
      <c r="D140" t="s">
        <v>811</v>
      </c>
      <c r="E140" t="s">
        <v>5</v>
      </c>
      <c r="F140" s="3">
        <v>3.2250000000000001</v>
      </c>
    </row>
    <row r="141" spans="1:6">
      <c r="A141" t="s">
        <v>6</v>
      </c>
      <c r="B141" t="s">
        <v>150</v>
      </c>
      <c r="C141" t="s">
        <v>952</v>
      </c>
      <c r="D141" t="s">
        <v>811</v>
      </c>
      <c r="E141" t="s">
        <v>5</v>
      </c>
      <c r="F141" s="3">
        <v>3.291666666666667</v>
      </c>
    </row>
    <row r="142" spans="1:6">
      <c r="A142" t="s">
        <v>6</v>
      </c>
      <c r="B142" t="s">
        <v>151</v>
      </c>
      <c r="C142" t="s">
        <v>953</v>
      </c>
      <c r="D142" t="s">
        <v>811</v>
      </c>
      <c r="E142" t="s">
        <v>5</v>
      </c>
      <c r="F142" s="3">
        <v>2.8083333333333336</v>
      </c>
    </row>
    <row r="143" spans="1:6">
      <c r="A143" t="s">
        <v>6</v>
      </c>
      <c r="B143" t="s">
        <v>152</v>
      </c>
      <c r="C143" t="s">
        <v>954</v>
      </c>
      <c r="D143" t="s">
        <v>811</v>
      </c>
      <c r="E143" t="s">
        <v>5</v>
      </c>
      <c r="F143" s="3">
        <v>3.2250000000000001</v>
      </c>
    </row>
    <row r="144" spans="1:6">
      <c r="A144" t="s">
        <v>6</v>
      </c>
      <c r="B144" t="s">
        <v>153</v>
      </c>
      <c r="C144" t="s">
        <v>955</v>
      </c>
      <c r="D144" t="s">
        <v>811</v>
      </c>
      <c r="E144" t="s">
        <v>5</v>
      </c>
      <c r="F144" s="3">
        <v>3.625</v>
      </c>
    </row>
    <row r="145" spans="1:6">
      <c r="A145" t="s">
        <v>6</v>
      </c>
      <c r="B145" t="s">
        <v>154</v>
      </c>
      <c r="C145" t="s">
        <v>956</v>
      </c>
      <c r="D145" t="s">
        <v>811</v>
      </c>
      <c r="E145" t="s">
        <v>5</v>
      </c>
      <c r="F145" s="3">
        <v>3.65</v>
      </c>
    </row>
    <row r="146" spans="1:6">
      <c r="A146" t="s">
        <v>7</v>
      </c>
      <c r="B146" t="s">
        <v>155</v>
      </c>
      <c r="C146" t="s">
        <v>957</v>
      </c>
      <c r="D146" t="s">
        <v>811</v>
      </c>
      <c r="E146" t="s">
        <v>5</v>
      </c>
      <c r="F146" s="3">
        <v>4.5083333333333337</v>
      </c>
    </row>
    <row r="147" spans="1:6">
      <c r="A147" t="s">
        <v>6</v>
      </c>
      <c r="B147" t="s">
        <v>156</v>
      </c>
      <c r="C147" t="s">
        <v>958</v>
      </c>
      <c r="D147" t="s">
        <v>811</v>
      </c>
      <c r="E147" t="s">
        <v>5</v>
      </c>
      <c r="F147" s="3">
        <v>5.4416666666666673</v>
      </c>
    </row>
    <row r="148" spans="1:6">
      <c r="A148" t="s">
        <v>6</v>
      </c>
      <c r="B148" t="s">
        <v>157</v>
      </c>
      <c r="C148" t="s">
        <v>959</v>
      </c>
      <c r="D148" t="s">
        <v>811</v>
      </c>
      <c r="E148" t="s">
        <v>5</v>
      </c>
      <c r="F148" s="3">
        <v>7.1916666666666673</v>
      </c>
    </row>
    <row r="149" spans="1:6">
      <c r="A149" t="s">
        <v>6</v>
      </c>
      <c r="B149" t="s">
        <v>158</v>
      </c>
      <c r="C149" t="s">
        <v>960</v>
      </c>
      <c r="D149" t="s">
        <v>811</v>
      </c>
      <c r="E149" t="s">
        <v>5</v>
      </c>
      <c r="F149" s="3">
        <v>2.6333333333333337</v>
      </c>
    </row>
    <row r="150" spans="1:6">
      <c r="A150" t="s">
        <v>6</v>
      </c>
      <c r="B150" t="s">
        <v>159</v>
      </c>
      <c r="C150" t="s">
        <v>961</v>
      </c>
      <c r="D150" t="s">
        <v>811</v>
      </c>
      <c r="E150" t="s">
        <v>5</v>
      </c>
      <c r="F150" s="3">
        <v>2.4750000000000001</v>
      </c>
    </row>
    <row r="151" spans="1:6">
      <c r="A151" t="s">
        <v>6</v>
      </c>
      <c r="B151" t="s">
        <v>160</v>
      </c>
      <c r="C151" t="s">
        <v>962</v>
      </c>
      <c r="D151" t="s">
        <v>811</v>
      </c>
      <c r="E151" t="s">
        <v>5</v>
      </c>
      <c r="F151" s="3">
        <v>2.75</v>
      </c>
    </row>
    <row r="152" spans="1:6">
      <c r="A152" t="s">
        <v>6</v>
      </c>
      <c r="B152" t="s">
        <v>161</v>
      </c>
      <c r="C152" t="s">
        <v>963</v>
      </c>
      <c r="D152" t="s">
        <v>811</v>
      </c>
      <c r="E152" t="s">
        <v>5</v>
      </c>
      <c r="F152" s="3">
        <v>2.6916666666666669</v>
      </c>
    </row>
    <row r="153" spans="1:6">
      <c r="A153" t="s">
        <v>6</v>
      </c>
      <c r="B153" t="s">
        <v>162</v>
      </c>
      <c r="C153" t="s">
        <v>964</v>
      </c>
      <c r="D153" t="s">
        <v>811</v>
      </c>
      <c r="E153" t="s">
        <v>5</v>
      </c>
      <c r="F153" s="3">
        <v>2.4</v>
      </c>
    </row>
    <row r="154" spans="1:6">
      <c r="A154" t="s">
        <v>6</v>
      </c>
      <c r="B154" t="s">
        <v>163</v>
      </c>
      <c r="C154" t="s">
        <v>965</v>
      </c>
      <c r="D154" t="s">
        <v>811</v>
      </c>
      <c r="E154" t="s">
        <v>5</v>
      </c>
      <c r="F154" s="3">
        <v>2.2833333333333337</v>
      </c>
    </row>
    <row r="155" spans="1:6">
      <c r="A155" t="s">
        <v>6</v>
      </c>
      <c r="B155" t="s">
        <v>164</v>
      </c>
      <c r="C155" t="s">
        <v>966</v>
      </c>
      <c r="D155" t="s">
        <v>811</v>
      </c>
      <c r="E155" t="s">
        <v>5</v>
      </c>
      <c r="F155" s="3">
        <v>2.2083333333333335</v>
      </c>
    </row>
    <row r="156" spans="1:6">
      <c r="A156" t="s">
        <v>6</v>
      </c>
      <c r="B156" t="s">
        <v>165</v>
      </c>
      <c r="C156" t="s">
        <v>967</v>
      </c>
      <c r="D156" t="s">
        <v>811</v>
      </c>
      <c r="E156" t="s">
        <v>5</v>
      </c>
      <c r="F156" s="3">
        <v>2.5</v>
      </c>
    </row>
    <row r="157" spans="1:6">
      <c r="A157" t="s">
        <v>6</v>
      </c>
      <c r="B157" t="s">
        <v>166</v>
      </c>
      <c r="C157" t="s">
        <v>968</v>
      </c>
      <c r="D157" t="s">
        <v>811</v>
      </c>
      <c r="E157" t="s">
        <v>5</v>
      </c>
      <c r="F157" s="3">
        <v>2.166666666666667</v>
      </c>
    </row>
    <row r="158" spans="1:6">
      <c r="A158" t="s">
        <v>6</v>
      </c>
      <c r="B158" t="s">
        <v>167</v>
      </c>
      <c r="C158" t="s">
        <v>969</v>
      </c>
      <c r="D158" t="s">
        <v>811</v>
      </c>
      <c r="E158" t="s">
        <v>5</v>
      </c>
      <c r="F158" s="3">
        <v>2.2083333333333335</v>
      </c>
    </row>
    <row r="159" spans="1:6">
      <c r="A159" t="s">
        <v>6</v>
      </c>
      <c r="B159" t="s">
        <v>168</v>
      </c>
      <c r="C159" t="s">
        <v>970</v>
      </c>
      <c r="D159" t="s">
        <v>811</v>
      </c>
      <c r="E159" t="s">
        <v>5</v>
      </c>
      <c r="F159" s="3">
        <v>2.3583333333333334</v>
      </c>
    </row>
    <row r="160" spans="1:6">
      <c r="A160" t="s">
        <v>6</v>
      </c>
      <c r="B160" t="s">
        <v>169</v>
      </c>
      <c r="C160" t="s">
        <v>971</v>
      </c>
      <c r="D160" t="s">
        <v>811</v>
      </c>
      <c r="E160" t="s">
        <v>5</v>
      </c>
      <c r="F160" s="3">
        <v>2.4</v>
      </c>
    </row>
    <row r="161" spans="1:6">
      <c r="A161" t="s">
        <v>9</v>
      </c>
      <c r="B161" t="s">
        <v>170</v>
      </c>
      <c r="C161" t="s">
        <v>972</v>
      </c>
      <c r="D161" t="s">
        <v>811</v>
      </c>
      <c r="E161" t="s">
        <v>5</v>
      </c>
      <c r="F161" s="3">
        <v>11.691666666666666</v>
      </c>
    </row>
    <row r="162" spans="1:6">
      <c r="A162" t="s">
        <v>7</v>
      </c>
      <c r="B162" t="s">
        <v>171</v>
      </c>
      <c r="C162" t="s">
        <v>973</v>
      </c>
      <c r="D162" t="s">
        <v>811</v>
      </c>
      <c r="E162" t="s">
        <v>5</v>
      </c>
      <c r="F162" s="3">
        <v>16.708333333333336</v>
      </c>
    </row>
    <row r="163" spans="1:6">
      <c r="A163" t="s">
        <v>7</v>
      </c>
      <c r="B163" t="s">
        <v>172</v>
      </c>
      <c r="C163" t="s">
        <v>974</v>
      </c>
      <c r="D163" t="s">
        <v>811</v>
      </c>
      <c r="E163" t="s">
        <v>5</v>
      </c>
      <c r="F163" s="3">
        <v>6.416666666666667</v>
      </c>
    </row>
    <row r="164" spans="1:6">
      <c r="A164" t="s">
        <v>9</v>
      </c>
      <c r="B164" t="s">
        <v>173</v>
      </c>
      <c r="C164" t="s">
        <v>975</v>
      </c>
      <c r="D164" t="s">
        <v>811</v>
      </c>
      <c r="E164" t="s">
        <v>5</v>
      </c>
      <c r="F164" s="3">
        <v>5.9750000000000005</v>
      </c>
    </row>
    <row r="165" spans="1:6">
      <c r="A165" t="s">
        <v>6</v>
      </c>
      <c r="B165" t="s">
        <v>174</v>
      </c>
      <c r="C165" t="s">
        <v>976</v>
      </c>
      <c r="D165" t="s">
        <v>811</v>
      </c>
      <c r="E165" t="s">
        <v>5</v>
      </c>
      <c r="F165" s="3">
        <v>2.9416666666666669</v>
      </c>
    </row>
    <row r="166" spans="1:6">
      <c r="A166" t="s">
        <v>6</v>
      </c>
      <c r="B166" t="s">
        <v>175</v>
      </c>
      <c r="C166" t="s">
        <v>977</v>
      </c>
      <c r="D166" t="s">
        <v>811</v>
      </c>
      <c r="E166" t="s">
        <v>5</v>
      </c>
      <c r="F166" s="3">
        <v>2.291666666666667</v>
      </c>
    </row>
    <row r="167" spans="1:6">
      <c r="A167" t="s">
        <v>7</v>
      </c>
      <c r="B167" t="s">
        <v>176</v>
      </c>
      <c r="C167" t="s">
        <v>978</v>
      </c>
      <c r="D167" t="s">
        <v>811</v>
      </c>
      <c r="E167" t="s">
        <v>5</v>
      </c>
      <c r="F167" s="3">
        <v>2.7166666666666668</v>
      </c>
    </row>
    <row r="168" spans="1:6">
      <c r="A168" t="s">
        <v>6</v>
      </c>
      <c r="B168" t="s">
        <v>177</v>
      </c>
      <c r="C168" t="s">
        <v>979</v>
      </c>
      <c r="D168" t="s">
        <v>811</v>
      </c>
      <c r="E168" t="s">
        <v>5</v>
      </c>
      <c r="F168" s="3">
        <v>2.2999999999999998</v>
      </c>
    </row>
    <row r="169" spans="1:6">
      <c r="A169" t="s">
        <v>6</v>
      </c>
      <c r="B169" t="s">
        <v>178</v>
      </c>
      <c r="C169" t="s">
        <v>980</v>
      </c>
      <c r="D169" t="s">
        <v>811</v>
      </c>
      <c r="E169" t="s">
        <v>5</v>
      </c>
      <c r="F169" s="3">
        <v>2.5583333333333336</v>
      </c>
    </row>
    <row r="170" spans="1:6">
      <c r="A170" t="s">
        <v>6</v>
      </c>
      <c r="B170" t="s">
        <v>179</v>
      </c>
      <c r="C170" t="s">
        <v>981</v>
      </c>
      <c r="D170" t="s">
        <v>811</v>
      </c>
      <c r="E170" t="s">
        <v>5</v>
      </c>
      <c r="F170" s="3">
        <v>2.2500000000000004</v>
      </c>
    </row>
    <row r="171" spans="1:6">
      <c r="A171" t="s">
        <v>6</v>
      </c>
      <c r="B171" t="s">
        <v>180</v>
      </c>
      <c r="C171" t="s">
        <v>982</v>
      </c>
      <c r="D171" t="s">
        <v>811</v>
      </c>
      <c r="E171" t="s">
        <v>5</v>
      </c>
      <c r="F171" s="3">
        <v>2.2833333333333337</v>
      </c>
    </row>
    <row r="172" spans="1:6">
      <c r="A172" t="s">
        <v>7</v>
      </c>
      <c r="B172" t="s">
        <v>181</v>
      </c>
      <c r="C172" t="s">
        <v>983</v>
      </c>
      <c r="D172" t="s">
        <v>811</v>
      </c>
      <c r="E172" t="s">
        <v>5</v>
      </c>
      <c r="F172" s="3">
        <v>3.1833333333333336</v>
      </c>
    </row>
    <row r="173" spans="1:6">
      <c r="A173" t="s">
        <v>6</v>
      </c>
      <c r="B173" t="s">
        <v>182</v>
      </c>
      <c r="C173" t="s">
        <v>984</v>
      </c>
      <c r="D173" t="s">
        <v>811</v>
      </c>
      <c r="E173" t="s">
        <v>5</v>
      </c>
      <c r="F173" s="3">
        <v>2.7166666666666668</v>
      </c>
    </row>
    <row r="174" spans="1:6">
      <c r="A174" t="s">
        <v>6</v>
      </c>
      <c r="B174" t="s">
        <v>183</v>
      </c>
      <c r="C174" t="s">
        <v>985</v>
      </c>
      <c r="D174" t="s">
        <v>811</v>
      </c>
      <c r="E174" t="s">
        <v>5</v>
      </c>
      <c r="F174" s="3">
        <v>2.3583333333333334</v>
      </c>
    </row>
    <row r="175" spans="1:6">
      <c r="A175" t="s">
        <v>6</v>
      </c>
      <c r="B175" t="s">
        <v>184</v>
      </c>
      <c r="C175" t="s">
        <v>986</v>
      </c>
      <c r="D175" t="s">
        <v>811</v>
      </c>
      <c r="E175" t="s">
        <v>5</v>
      </c>
      <c r="F175" s="3">
        <v>2.85</v>
      </c>
    </row>
    <row r="176" spans="1:6">
      <c r="A176" t="s">
        <v>6</v>
      </c>
      <c r="B176" t="s">
        <v>185</v>
      </c>
      <c r="C176" t="s">
        <v>987</v>
      </c>
      <c r="D176" t="s">
        <v>811</v>
      </c>
      <c r="E176" t="s">
        <v>5</v>
      </c>
      <c r="F176" s="3">
        <v>3.7833333333333337</v>
      </c>
    </row>
    <row r="177" spans="1:6">
      <c r="A177" t="s">
        <v>6</v>
      </c>
      <c r="B177" t="s">
        <v>186</v>
      </c>
      <c r="C177" t="s">
        <v>988</v>
      </c>
      <c r="D177" t="s">
        <v>811</v>
      </c>
      <c r="E177" t="s">
        <v>5</v>
      </c>
      <c r="F177" s="3">
        <v>3.8250000000000002</v>
      </c>
    </row>
    <row r="178" spans="1:6">
      <c r="A178" t="s">
        <v>6</v>
      </c>
      <c r="B178" t="s">
        <v>187</v>
      </c>
      <c r="C178" t="s">
        <v>989</v>
      </c>
      <c r="D178" t="s">
        <v>811</v>
      </c>
      <c r="E178" t="s">
        <v>5</v>
      </c>
      <c r="F178" s="3">
        <v>2.5666666666666669</v>
      </c>
    </row>
    <row r="179" spans="1:6">
      <c r="A179" t="s">
        <v>6</v>
      </c>
      <c r="B179" t="s">
        <v>188</v>
      </c>
      <c r="C179" t="s">
        <v>990</v>
      </c>
      <c r="D179" t="s">
        <v>811</v>
      </c>
      <c r="E179" t="s">
        <v>5</v>
      </c>
      <c r="F179" s="3">
        <v>3.9583333333333335</v>
      </c>
    </row>
    <row r="180" spans="1:6">
      <c r="A180" t="s">
        <v>6</v>
      </c>
      <c r="B180" t="s">
        <v>189</v>
      </c>
      <c r="C180" t="s">
        <v>991</v>
      </c>
      <c r="D180" t="s">
        <v>811</v>
      </c>
      <c r="E180" t="s">
        <v>5</v>
      </c>
      <c r="F180" s="3">
        <v>2.8750000000000004</v>
      </c>
    </row>
    <row r="181" spans="1:6">
      <c r="A181" t="s">
        <v>6</v>
      </c>
      <c r="B181" t="s">
        <v>190</v>
      </c>
      <c r="C181" t="s">
        <v>992</v>
      </c>
      <c r="D181" t="s">
        <v>811</v>
      </c>
      <c r="E181" t="s">
        <v>5</v>
      </c>
      <c r="F181" s="3">
        <v>2.8083333333333336</v>
      </c>
    </row>
    <row r="182" spans="1:6">
      <c r="A182" t="s">
        <v>6</v>
      </c>
      <c r="B182" t="s">
        <v>191</v>
      </c>
      <c r="C182" t="s">
        <v>993</v>
      </c>
      <c r="D182" t="s">
        <v>811</v>
      </c>
      <c r="E182" t="s">
        <v>5</v>
      </c>
      <c r="F182" s="3">
        <v>3.125</v>
      </c>
    </row>
    <row r="183" spans="1:6">
      <c r="A183" t="s">
        <v>6</v>
      </c>
      <c r="B183" t="s">
        <v>192</v>
      </c>
      <c r="C183" t="s">
        <v>994</v>
      </c>
      <c r="D183" t="s">
        <v>811</v>
      </c>
      <c r="E183" t="s">
        <v>5</v>
      </c>
      <c r="F183" s="3">
        <v>3.4333333333333336</v>
      </c>
    </row>
    <row r="184" spans="1:6">
      <c r="A184" t="s">
        <v>6</v>
      </c>
      <c r="B184" t="s">
        <v>193</v>
      </c>
      <c r="C184" t="s">
        <v>995</v>
      </c>
      <c r="D184" t="s">
        <v>811</v>
      </c>
      <c r="E184" t="s">
        <v>5</v>
      </c>
      <c r="F184" s="3">
        <v>3.375</v>
      </c>
    </row>
    <row r="185" spans="1:6">
      <c r="A185" t="s">
        <v>6</v>
      </c>
      <c r="B185" t="s">
        <v>194</v>
      </c>
      <c r="C185" t="s">
        <v>996</v>
      </c>
      <c r="D185" t="s">
        <v>811</v>
      </c>
      <c r="E185" t="s">
        <v>5</v>
      </c>
      <c r="F185" s="3">
        <v>3.85</v>
      </c>
    </row>
    <row r="186" spans="1:6">
      <c r="A186" t="s">
        <v>6</v>
      </c>
      <c r="B186" t="s">
        <v>195</v>
      </c>
      <c r="C186" t="s">
        <v>997</v>
      </c>
      <c r="D186" t="s">
        <v>811</v>
      </c>
      <c r="E186" t="s">
        <v>5</v>
      </c>
      <c r="F186" s="3">
        <v>3.0750000000000002</v>
      </c>
    </row>
    <row r="187" spans="1:6">
      <c r="A187" t="s">
        <v>6</v>
      </c>
      <c r="B187" t="s">
        <v>196</v>
      </c>
      <c r="C187" t="s">
        <v>998</v>
      </c>
      <c r="D187" t="s">
        <v>811</v>
      </c>
      <c r="E187" t="s">
        <v>5</v>
      </c>
      <c r="F187" s="3">
        <v>3.6916666666666664</v>
      </c>
    </row>
    <row r="188" spans="1:6">
      <c r="A188" t="s">
        <v>6</v>
      </c>
      <c r="B188" t="s">
        <v>197</v>
      </c>
      <c r="C188" t="s">
        <v>999</v>
      </c>
      <c r="D188" t="s">
        <v>811</v>
      </c>
      <c r="E188" t="s">
        <v>5</v>
      </c>
      <c r="F188" s="3">
        <v>5.3833333333333337</v>
      </c>
    </row>
    <row r="189" spans="1:6">
      <c r="A189" t="s">
        <v>6</v>
      </c>
      <c r="B189" t="s">
        <v>198</v>
      </c>
      <c r="C189" t="s">
        <v>1000</v>
      </c>
      <c r="D189" t="s">
        <v>811</v>
      </c>
      <c r="E189" t="s">
        <v>5</v>
      </c>
      <c r="F189" s="3">
        <v>4.5916666666666668</v>
      </c>
    </row>
    <row r="190" spans="1:6">
      <c r="A190" t="s">
        <v>6</v>
      </c>
      <c r="B190" t="s">
        <v>199</v>
      </c>
      <c r="C190" t="s">
        <v>1001</v>
      </c>
      <c r="D190" t="s">
        <v>811</v>
      </c>
      <c r="E190" t="s">
        <v>5</v>
      </c>
      <c r="F190" s="3">
        <v>3.8166666666666669</v>
      </c>
    </row>
    <row r="191" spans="1:6">
      <c r="A191" t="s">
        <v>6</v>
      </c>
      <c r="B191" t="s">
        <v>200</v>
      </c>
      <c r="C191" t="s">
        <v>1002</v>
      </c>
      <c r="D191" t="s">
        <v>811</v>
      </c>
      <c r="E191" t="s">
        <v>5</v>
      </c>
      <c r="F191" s="3">
        <v>6.4083333333333341</v>
      </c>
    </row>
    <row r="192" spans="1:6">
      <c r="A192" t="s">
        <v>6</v>
      </c>
      <c r="B192" t="s">
        <v>201</v>
      </c>
      <c r="C192" t="s">
        <v>1003</v>
      </c>
      <c r="D192" t="s">
        <v>811</v>
      </c>
      <c r="E192" t="s">
        <v>5</v>
      </c>
      <c r="F192" s="3">
        <v>6.4</v>
      </c>
    </row>
    <row r="193" spans="1:6">
      <c r="A193" t="s">
        <v>6</v>
      </c>
      <c r="B193" t="s">
        <v>202</v>
      </c>
      <c r="C193" t="s">
        <v>1004</v>
      </c>
      <c r="D193" t="s">
        <v>811</v>
      </c>
      <c r="E193" t="s">
        <v>5</v>
      </c>
      <c r="F193" s="3">
        <v>6.1000000000000005</v>
      </c>
    </row>
    <row r="194" spans="1:6">
      <c r="A194" t="s">
        <v>6</v>
      </c>
      <c r="B194" t="s">
        <v>203</v>
      </c>
      <c r="C194" t="s">
        <v>1005</v>
      </c>
      <c r="D194" t="s">
        <v>811</v>
      </c>
      <c r="E194" t="s">
        <v>5</v>
      </c>
      <c r="F194" s="3">
        <v>8.5083333333333346</v>
      </c>
    </row>
    <row r="195" spans="1:6">
      <c r="A195" t="s">
        <v>6</v>
      </c>
      <c r="B195" t="s">
        <v>204</v>
      </c>
      <c r="C195" t="s">
        <v>1006</v>
      </c>
      <c r="D195" t="s">
        <v>811</v>
      </c>
      <c r="E195" t="s">
        <v>5</v>
      </c>
      <c r="F195" s="3">
        <v>10.191666666666668</v>
      </c>
    </row>
    <row r="196" spans="1:6">
      <c r="A196" t="s">
        <v>6</v>
      </c>
      <c r="B196" t="s">
        <v>205</v>
      </c>
      <c r="C196" t="s">
        <v>1007</v>
      </c>
      <c r="D196" t="s">
        <v>811</v>
      </c>
      <c r="E196" t="s">
        <v>5</v>
      </c>
      <c r="F196" s="3">
        <v>11.375</v>
      </c>
    </row>
    <row r="197" spans="1:6">
      <c r="A197" t="s">
        <v>6</v>
      </c>
      <c r="B197" t="s">
        <v>206</v>
      </c>
      <c r="C197" t="s">
        <v>1008</v>
      </c>
      <c r="D197" t="s">
        <v>811</v>
      </c>
      <c r="E197" t="s">
        <v>5</v>
      </c>
      <c r="F197" s="3">
        <v>2.6166666666666667</v>
      </c>
    </row>
    <row r="198" spans="1:6">
      <c r="A198" t="s">
        <v>7</v>
      </c>
      <c r="B198" t="s">
        <v>207</v>
      </c>
      <c r="C198" t="s">
        <v>1009</v>
      </c>
      <c r="D198" t="s">
        <v>811</v>
      </c>
      <c r="E198" t="s">
        <v>5</v>
      </c>
      <c r="F198" s="3">
        <v>3.1916666666666669</v>
      </c>
    </row>
    <row r="199" spans="1:6">
      <c r="A199" t="s">
        <v>6</v>
      </c>
      <c r="B199" t="s">
        <v>208</v>
      </c>
      <c r="C199" t="s">
        <v>1010</v>
      </c>
      <c r="D199" t="s">
        <v>811</v>
      </c>
      <c r="E199" t="s">
        <v>5</v>
      </c>
      <c r="F199" s="3">
        <v>3.5166666666666675</v>
      </c>
    </row>
    <row r="200" spans="1:6">
      <c r="A200" t="s">
        <v>6</v>
      </c>
      <c r="B200" t="s">
        <v>209</v>
      </c>
      <c r="C200" t="s">
        <v>1011</v>
      </c>
      <c r="D200" t="s">
        <v>811</v>
      </c>
      <c r="E200" t="s">
        <v>5</v>
      </c>
      <c r="F200" s="3">
        <v>4.3916666666666666</v>
      </c>
    </row>
    <row r="201" spans="1:6">
      <c r="A201" t="s">
        <v>7</v>
      </c>
      <c r="B201" t="s">
        <v>210</v>
      </c>
      <c r="C201" t="s">
        <v>1012</v>
      </c>
      <c r="D201" t="s">
        <v>811</v>
      </c>
      <c r="E201" t="s">
        <v>5</v>
      </c>
      <c r="F201" s="3">
        <v>4.4083333333333332</v>
      </c>
    </row>
    <row r="202" spans="1:6">
      <c r="A202" t="s">
        <v>6</v>
      </c>
      <c r="B202" t="s">
        <v>211</v>
      </c>
      <c r="C202" t="s">
        <v>1013</v>
      </c>
      <c r="D202" t="s">
        <v>811</v>
      </c>
      <c r="E202" t="s">
        <v>5</v>
      </c>
      <c r="F202" s="3">
        <v>6.0583333333333336</v>
      </c>
    </row>
    <row r="203" spans="1:6">
      <c r="A203" t="s">
        <v>6</v>
      </c>
      <c r="B203" t="s">
        <v>212</v>
      </c>
      <c r="C203" t="s">
        <v>1014</v>
      </c>
      <c r="D203" t="s">
        <v>811</v>
      </c>
      <c r="E203" t="s">
        <v>5</v>
      </c>
      <c r="F203" s="3">
        <v>12.033333333333333</v>
      </c>
    </row>
    <row r="204" spans="1:6">
      <c r="A204" t="s">
        <v>7</v>
      </c>
      <c r="B204" t="s">
        <v>213</v>
      </c>
      <c r="C204" t="s">
        <v>1015</v>
      </c>
      <c r="D204" t="s">
        <v>811</v>
      </c>
      <c r="E204" t="s">
        <v>5</v>
      </c>
      <c r="F204" s="3">
        <v>10.925000000000001</v>
      </c>
    </row>
    <row r="205" spans="1:6">
      <c r="A205" t="s">
        <v>6</v>
      </c>
      <c r="B205" t="s">
        <v>214</v>
      </c>
      <c r="C205" t="s">
        <v>1016</v>
      </c>
      <c r="D205" t="s">
        <v>811</v>
      </c>
      <c r="E205" t="s">
        <v>5</v>
      </c>
      <c r="F205" s="3">
        <v>11.725000000000001</v>
      </c>
    </row>
    <row r="206" spans="1:6">
      <c r="A206" t="s">
        <v>7</v>
      </c>
      <c r="B206" t="s">
        <v>215</v>
      </c>
      <c r="C206" t="s">
        <v>1017</v>
      </c>
      <c r="D206" t="s">
        <v>811</v>
      </c>
      <c r="E206" t="s">
        <v>5</v>
      </c>
      <c r="F206" s="3">
        <v>6.9333333333333336</v>
      </c>
    </row>
    <row r="207" spans="1:6">
      <c r="A207" t="s">
        <v>7</v>
      </c>
      <c r="B207" t="s">
        <v>216</v>
      </c>
      <c r="C207" t="s">
        <v>1018</v>
      </c>
      <c r="D207" t="s">
        <v>811</v>
      </c>
      <c r="E207" t="s">
        <v>5</v>
      </c>
      <c r="F207" s="3">
        <v>6.6583333333333341</v>
      </c>
    </row>
    <row r="208" spans="1:6">
      <c r="A208" t="s">
        <v>7</v>
      </c>
      <c r="B208" t="s">
        <v>217</v>
      </c>
      <c r="C208" t="s">
        <v>1019</v>
      </c>
      <c r="D208" t="s">
        <v>811</v>
      </c>
      <c r="E208" t="s">
        <v>5</v>
      </c>
      <c r="F208" s="3">
        <v>2.5416666666666665</v>
      </c>
    </row>
    <row r="209" spans="1:6">
      <c r="A209" t="s">
        <v>7</v>
      </c>
      <c r="B209" t="s">
        <v>218</v>
      </c>
      <c r="C209" t="s">
        <v>1020</v>
      </c>
      <c r="D209" t="s">
        <v>811</v>
      </c>
      <c r="E209" t="s">
        <v>5</v>
      </c>
      <c r="F209" s="3">
        <v>2.5416666666666665</v>
      </c>
    </row>
    <row r="210" spans="1:6">
      <c r="A210" t="s">
        <v>6</v>
      </c>
      <c r="B210" t="s">
        <v>219</v>
      </c>
      <c r="C210" t="s">
        <v>1021</v>
      </c>
      <c r="D210" t="s">
        <v>811</v>
      </c>
      <c r="E210" t="s">
        <v>5</v>
      </c>
      <c r="F210" s="3">
        <v>2.4250000000000003</v>
      </c>
    </row>
    <row r="211" spans="1:6">
      <c r="A211" t="s">
        <v>6</v>
      </c>
      <c r="B211" t="s">
        <v>220</v>
      </c>
      <c r="C211" t="s">
        <v>1022</v>
      </c>
      <c r="D211" t="s">
        <v>811</v>
      </c>
      <c r="E211" t="s">
        <v>5</v>
      </c>
      <c r="F211" s="3">
        <v>2.3583333333333334</v>
      </c>
    </row>
    <row r="212" spans="1:6">
      <c r="A212" t="s">
        <v>6</v>
      </c>
      <c r="B212" t="s">
        <v>221</v>
      </c>
      <c r="C212" t="s">
        <v>1023</v>
      </c>
      <c r="D212" t="s">
        <v>811</v>
      </c>
      <c r="E212" t="s">
        <v>5</v>
      </c>
      <c r="F212" s="3">
        <v>2.3833333333333333</v>
      </c>
    </row>
    <row r="213" spans="1:6">
      <c r="A213" t="s">
        <v>6</v>
      </c>
      <c r="B213" t="s">
        <v>222</v>
      </c>
      <c r="C213" t="s">
        <v>1024</v>
      </c>
      <c r="D213" t="s">
        <v>811</v>
      </c>
      <c r="E213" t="s">
        <v>5</v>
      </c>
      <c r="F213" s="3">
        <v>2.3583333333333334</v>
      </c>
    </row>
    <row r="214" spans="1:6">
      <c r="A214" t="s">
        <v>9</v>
      </c>
      <c r="B214" t="s">
        <v>223</v>
      </c>
      <c r="C214" t="s">
        <v>1025</v>
      </c>
      <c r="D214" t="s">
        <v>811</v>
      </c>
      <c r="E214" t="s">
        <v>5</v>
      </c>
      <c r="F214" s="3">
        <v>2.3583333333333334</v>
      </c>
    </row>
    <row r="215" spans="1:6">
      <c r="A215" t="s">
        <v>6</v>
      </c>
      <c r="B215" t="s">
        <v>224</v>
      </c>
      <c r="C215" t="s">
        <v>1026</v>
      </c>
      <c r="D215" t="s">
        <v>811</v>
      </c>
      <c r="E215" t="s">
        <v>5</v>
      </c>
      <c r="F215" s="3">
        <v>2.3333333333333335</v>
      </c>
    </row>
    <row r="216" spans="1:6">
      <c r="A216" t="s">
        <v>7</v>
      </c>
      <c r="B216" t="s">
        <v>225</v>
      </c>
      <c r="C216" t="s">
        <v>1027</v>
      </c>
      <c r="D216" t="s">
        <v>811</v>
      </c>
      <c r="E216" t="s">
        <v>5</v>
      </c>
      <c r="F216" s="3">
        <v>2.5916666666666672</v>
      </c>
    </row>
    <row r="217" spans="1:6">
      <c r="A217" t="s">
        <v>6</v>
      </c>
      <c r="B217" t="s">
        <v>226</v>
      </c>
      <c r="C217" t="s">
        <v>1028</v>
      </c>
      <c r="D217" t="s">
        <v>811</v>
      </c>
      <c r="E217" t="s">
        <v>5</v>
      </c>
      <c r="F217" s="3">
        <v>2.5333333333333337</v>
      </c>
    </row>
    <row r="218" spans="1:6">
      <c r="A218" t="s">
        <v>6</v>
      </c>
      <c r="B218" t="s">
        <v>227</v>
      </c>
      <c r="C218" t="s">
        <v>1029</v>
      </c>
      <c r="D218" t="s">
        <v>811</v>
      </c>
      <c r="E218" t="s">
        <v>5</v>
      </c>
      <c r="F218" s="3">
        <v>2.4416666666666669</v>
      </c>
    </row>
    <row r="219" spans="1:6">
      <c r="A219" t="s">
        <v>6</v>
      </c>
      <c r="B219" t="s">
        <v>228</v>
      </c>
      <c r="C219" t="s">
        <v>1030</v>
      </c>
      <c r="D219" t="s">
        <v>811</v>
      </c>
      <c r="E219" t="s">
        <v>5</v>
      </c>
      <c r="F219" s="3">
        <v>2.4500000000000002</v>
      </c>
    </row>
    <row r="220" spans="1:6">
      <c r="A220" t="s">
        <v>6</v>
      </c>
      <c r="B220" t="s">
        <v>229</v>
      </c>
      <c r="C220" t="s">
        <v>1031</v>
      </c>
      <c r="D220" t="s">
        <v>811</v>
      </c>
      <c r="E220" t="s">
        <v>5</v>
      </c>
      <c r="F220" s="3">
        <v>2.6416666666666666</v>
      </c>
    </row>
    <row r="221" spans="1:6">
      <c r="A221" t="s">
        <v>6</v>
      </c>
      <c r="B221" t="s">
        <v>230</v>
      </c>
      <c r="C221" t="s">
        <v>1032</v>
      </c>
      <c r="D221" t="s">
        <v>811</v>
      </c>
      <c r="E221" t="s">
        <v>5</v>
      </c>
      <c r="F221" s="3">
        <v>2.5166666666666666</v>
      </c>
    </row>
    <row r="222" spans="1:6">
      <c r="A222" t="s">
        <v>6</v>
      </c>
      <c r="B222" t="s">
        <v>231</v>
      </c>
      <c r="C222" t="s">
        <v>1033</v>
      </c>
      <c r="D222" t="s">
        <v>811</v>
      </c>
      <c r="E222" t="s">
        <v>5</v>
      </c>
      <c r="F222" s="3">
        <v>2.5250000000000004</v>
      </c>
    </row>
    <row r="223" spans="1:6">
      <c r="A223" t="s">
        <v>7</v>
      </c>
      <c r="B223" t="s">
        <v>232</v>
      </c>
      <c r="C223" t="s">
        <v>1034</v>
      </c>
      <c r="D223" t="s">
        <v>811</v>
      </c>
      <c r="E223" t="s">
        <v>5</v>
      </c>
      <c r="F223" s="3">
        <v>6.1750000000000007</v>
      </c>
    </row>
    <row r="224" spans="1:6">
      <c r="A224" t="s">
        <v>7</v>
      </c>
      <c r="B224" t="s">
        <v>233</v>
      </c>
      <c r="C224" t="s">
        <v>1035</v>
      </c>
      <c r="D224" t="s">
        <v>811</v>
      </c>
      <c r="E224" t="s">
        <v>5</v>
      </c>
      <c r="F224" s="3">
        <v>6.625</v>
      </c>
    </row>
    <row r="225" spans="1:6">
      <c r="A225" t="s">
        <v>7</v>
      </c>
      <c r="B225" t="s">
        <v>234</v>
      </c>
      <c r="C225" t="s">
        <v>1036</v>
      </c>
      <c r="D225" t="s">
        <v>811</v>
      </c>
      <c r="E225" t="s">
        <v>5</v>
      </c>
      <c r="F225" s="3">
        <v>7.1416666666666675</v>
      </c>
    </row>
    <row r="226" spans="1:6">
      <c r="A226" t="s">
        <v>9</v>
      </c>
      <c r="B226" t="s">
        <v>235</v>
      </c>
      <c r="C226" t="s">
        <v>1037</v>
      </c>
      <c r="D226" t="s">
        <v>811</v>
      </c>
      <c r="E226" t="s">
        <v>5</v>
      </c>
      <c r="F226" s="3">
        <v>3.0583333333333336</v>
      </c>
    </row>
    <row r="227" spans="1:6">
      <c r="A227" t="s">
        <v>7</v>
      </c>
      <c r="B227" t="s">
        <v>236</v>
      </c>
      <c r="C227" t="s">
        <v>1038</v>
      </c>
      <c r="D227" t="s">
        <v>811</v>
      </c>
      <c r="E227" t="s">
        <v>5</v>
      </c>
      <c r="F227" s="3">
        <v>3.0333333333333332</v>
      </c>
    </row>
    <row r="228" spans="1:6">
      <c r="A228" t="s">
        <v>6</v>
      </c>
      <c r="B228" t="s">
        <v>237</v>
      </c>
      <c r="C228" t="s">
        <v>1039</v>
      </c>
      <c r="D228" t="s">
        <v>811</v>
      </c>
      <c r="E228" t="s">
        <v>5</v>
      </c>
      <c r="F228" s="3">
        <v>2.5083333333333333</v>
      </c>
    </row>
    <row r="229" spans="1:6">
      <c r="A229" t="s">
        <v>6</v>
      </c>
      <c r="B229" t="s">
        <v>238</v>
      </c>
      <c r="C229" t="s">
        <v>1040</v>
      </c>
      <c r="D229" t="s">
        <v>811</v>
      </c>
      <c r="E229" t="s">
        <v>5</v>
      </c>
      <c r="F229" s="3">
        <v>2.5083333333333333</v>
      </c>
    </row>
    <row r="230" spans="1:6">
      <c r="A230" t="s">
        <v>6</v>
      </c>
      <c r="B230" t="s">
        <v>239</v>
      </c>
      <c r="C230" t="s">
        <v>1041</v>
      </c>
      <c r="D230" t="s">
        <v>811</v>
      </c>
      <c r="E230" t="s">
        <v>5</v>
      </c>
      <c r="F230" s="3">
        <v>3.1916666666666669</v>
      </c>
    </row>
    <row r="231" spans="1:6">
      <c r="A231" t="s">
        <v>6</v>
      </c>
      <c r="B231" t="s">
        <v>240</v>
      </c>
      <c r="C231" t="s">
        <v>1042</v>
      </c>
      <c r="D231" t="s">
        <v>811</v>
      </c>
      <c r="E231" t="s">
        <v>5</v>
      </c>
      <c r="F231" s="3">
        <v>2.8083333333333336</v>
      </c>
    </row>
    <row r="232" spans="1:6">
      <c r="A232" t="s">
        <v>6</v>
      </c>
      <c r="B232" t="s">
        <v>241</v>
      </c>
      <c r="C232" t="s">
        <v>1043</v>
      </c>
      <c r="D232" t="s">
        <v>811</v>
      </c>
      <c r="E232" t="s">
        <v>5</v>
      </c>
      <c r="F232" s="3">
        <v>3.125</v>
      </c>
    </row>
    <row r="233" spans="1:6">
      <c r="A233" t="s">
        <v>6</v>
      </c>
      <c r="B233" t="s">
        <v>242</v>
      </c>
      <c r="C233" t="s">
        <v>1044</v>
      </c>
      <c r="D233" t="s">
        <v>811</v>
      </c>
      <c r="E233" t="s">
        <v>5</v>
      </c>
      <c r="F233" s="3">
        <v>3.4166666666666665</v>
      </c>
    </row>
    <row r="234" spans="1:6">
      <c r="A234" t="s">
        <v>6</v>
      </c>
      <c r="B234" t="s">
        <v>243</v>
      </c>
      <c r="C234" t="s">
        <v>1045</v>
      </c>
      <c r="D234" t="s">
        <v>811</v>
      </c>
      <c r="E234" t="s">
        <v>5</v>
      </c>
      <c r="F234" s="3">
        <v>2.916666666666667</v>
      </c>
    </row>
    <row r="235" spans="1:6">
      <c r="A235" t="s">
        <v>6</v>
      </c>
      <c r="B235" t="s">
        <v>244</v>
      </c>
      <c r="C235" t="s">
        <v>1046</v>
      </c>
      <c r="D235" t="s">
        <v>811</v>
      </c>
      <c r="E235" t="s">
        <v>5</v>
      </c>
      <c r="F235" s="3">
        <v>3.6000000000000005</v>
      </c>
    </row>
    <row r="236" spans="1:6">
      <c r="A236" t="s">
        <v>6</v>
      </c>
      <c r="B236" t="s">
        <v>245</v>
      </c>
      <c r="C236" t="s">
        <v>1047</v>
      </c>
      <c r="D236" t="s">
        <v>811</v>
      </c>
      <c r="E236" t="s">
        <v>5</v>
      </c>
      <c r="F236" s="3">
        <v>3.6999999999999997</v>
      </c>
    </row>
    <row r="237" spans="1:6">
      <c r="A237" t="s">
        <v>6</v>
      </c>
      <c r="B237" t="s">
        <v>246</v>
      </c>
      <c r="C237" t="s">
        <v>1048</v>
      </c>
      <c r="D237" t="s">
        <v>811</v>
      </c>
      <c r="E237" t="s">
        <v>5</v>
      </c>
      <c r="F237" s="3">
        <v>3.9250000000000003</v>
      </c>
    </row>
    <row r="238" spans="1:6">
      <c r="A238" t="s">
        <v>6</v>
      </c>
      <c r="B238" t="s">
        <v>247</v>
      </c>
      <c r="C238" t="s">
        <v>1049</v>
      </c>
      <c r="D238" t="s">
        <v>811</v>
      </c>
      <c r="E238" t="s">
        <v>5</v>
      </c>
      <c r="F238" s="3">
        <v>3.6583333333333341</v>
      </c>
    </row>
    <row r="239" spans="1:6">
      <c r="A239" t="s">
        <v>6</v>
      </c>
      <c r="B239" t="s">
        <v>248</v>
      </c>
      <c r="C239" t="s">
        <v>1050</v>
      </c>
      <c r="D239" t="s">
        <v>811</v>
      </c>
      <c r="E239" t="s">
        <v>5</v>
      </c>
      <c r="F239" s="3">
        <v>4.55</v>
      </c>
    </row>
    <row r="240" spans="1:6">
      <c r="A240" t="s">
        <v>6</v>
      </c>
      <c r="B240" t="s">
        <v>249</v>
      </c>
      <c r="C240" t="s">
        <v>1051</v>
      </c>
      <c r="D240" t="s">
        <v>811</v>
      </c>
      <c r="E240" t="s">
        <v>5</v>
      </c>
      <c r="F240" s="3">
        <v>3.9583333333333335</v>
      </c>
    </row>
    <row r="241" spans="1:7">
      <c r="A241" t="s">
        <v>6</v>
      </c>
      <c r="B241" t="s">
        <v>250</v>
      </c>
      <c r="C241" t="s">
        <v>1052</v>
      </c>
      <c r="D241" t="s">
        <v>811</v>
      </c>
      <c r="E241" t="s">
        <v>5</v>
      </c>
      <c r="F241" s="3">
        <v>6.3583333333333334</v>
      </c>
    </row>
    <row r="242" spans="1:7">
      <c r="A242" t="s">
        <v>6</v>
      </c>
      <c r="B242" t="s">
        <v>251</v>
      </c>
      <c r="C242" t="s">
        <v>1053</v>
      </c>
      <c r="D242" t="s">
        <v>811</v>
      </c>
      <c r="E242" t="s">
        <v>5</v>
      </c>
      <c r="F242" s="3">
        <v>5.2083333333333339</v>
      </c>
    </row>
    <row r="243" spans="1:7">
      <c r="A243" t="s">
        <v>9</v>
      </c>
      <c r="B243" t="s">
        <v>252</v>
      </c>
      <c r="C243" t="s">
        <v>1054</v>
      </c>
      <c r="D243" t="s">
        <v>811</v>
      </c>
      <c r="E243" t="s">
        <v>5</v>
      </c>
      <c r="F243" s="3">
        <v>5.9833333333333334</v>
      </c>
    </row>
    <row r="244" spans="1:7">
      <c r="A244" t="s">
        <v>9</v>
      </c>
      <c r="B244" t="s">
        <v>253</v>
      </c>
      <c r="C244" t="s">
        <v>1055</v>
      </c>
      <c r="D244" t="s">
        <v>811</v>
      </c>
      <c r="E244" t="s">
        <v>5</v>
      </c>
      <c r="F244" s="3">
        <v>10.858333333333333</v>
      </c>
    </row>
    <row r="245" spans="1:7">
      <c r="A245" t="s">
        <v>6</v>
      </c>
      <c r="B245" t="s">
        <v>254</v>
      </c>
      <c r="C245" t="s">
        <v>1056</v>
      </c>
      <c r="D245" t="s">
        <v>811</v>
      </c>
      <c r="E245" t="s">
        <v>5</v>
      </c>
      <c r="F245" s="3">
        <v>6.9166666666666679</v>
      </c>
    </row>
    <row r="246" spans="1:7">
      <c r="A246" t="s">
        <v>6</v>
      </c>
      <c r="B246" t="s">
        <v>255</v>
      </c>
      <c r="C246" t="s">
        <v>1057</v>
      </c>
      <c r="D246" t="s">
        <v>811</v>
      </c>
      <c r="E246" t="s">
        <v>5</v>
      </c>
      <c r="F246" s="3">
        <v>5.85</v>
      </c>
    </row>
    <row r="247" spans="1:7">
      <c r="A247" t="s">
        <v>9</v>
      </c>
      <c r="B247" t="s">
        <v>256</v>
      </c>
      <c r="C247" t="s">
        <v>1058</v>
      </c>
      <c r="D247" t="s">
        <v>811</v>
      </c>
      <c r="E247" t="s">
        <v>5</v>
      </c>
      <c r="F247" s="3">
        <v>8.3833333333333346</v>
      </c>
    </row>
    <row r="248" spans="1:7">
      <c r="A248" t="s">
        <v>6</v>
      </c>
      <c r="B248" t="s">
        <v>257</v>
      </c>
      <c r="C248" t="s">
        <v>1059</v>
      </c>
      <c r="D248" t="s">
        <v>811</v>
      </c>
      <c r="E248" t="s">
        <v>5</v>
      </c>
      <c r="F248" s="3">
        <v>9.4583333333333339</v>
      </c>
    </row>
    <row r="249" spans="1:7">
      <c r="A249" t="s">
        <v>6</v>
      </c>
      <c r="B249" t="s">
        <v>258</v>
      </c>
      <c r="C249" t="s">
        <v>1060</v>
      </c>
      <c r="D249" t="s">
        <v>811</v>
      </c>
      <c r="E249" t="s">
        <v>5</v>
      </c>
      <c r="F249" s="3">
        <v>7.5750000000000002</v>
      </c>
    </row>
    <row r="250" spans="1:7">
      <c r="A250" t="s">
        <v>6</v>
      </c>
      <c r="B250" t="s">
        <v>259</v>
      </c>
      <c r="C250" t="s">
        <v>1061</v>
      </c>
      <c r="D250" t="s">
        <v>811</v>
      </c>
      <c r="E250" t="s">
        <v>5</v>
      </c>
      <c r="F250" s="3">
        <v>11.475</v>
      </c>
    </row>
    <row r="251" spans="1:7">
      <c r="A251" t="s">
        <v>9</v>
      </c>
      <c r="B251" t="s">
        <v>260</v>
      </c>
      <c r="C251" t="s">
        <v>1062</v>
      </c>
      <c r="D251" t="s">
        <v>811</v>
      </c>
      <c r="E251" t="s">
        <v>5</v>
      </c>
      <c r="F251" s="3">
        <v>12.3</v>
      </c>
    </row>
    <row r="252" spans="1:7">
      <c r="A252" t="s">
        <v>6</v>
      </c>
      <c r="B252" t="s">
        <v>261</v>
      </c>
      <c r="C252" t="s">
        <v>1063</v>
      </c>
      <c r="D252" t="s">
        <v>811</v>
      </c>
      <c r="E252" t="s">
        <v>5</v>
      </c>
      <c r="F252" s="3">
        <v>15.100000000000001</v>
      </c>
    </row>
    <row r="253" spans="1:7">
      <c r="A253" t="s">
        <v>6</v>
      </c>
      <c r="B253" t="s">
        <v>262</v>
      </c>
      <c r="C253" t="s">
        <v>1064</v>
      </c>
      <c r="D253" t="s">
        <v>811</v>
      </c>
      <c r="E253" t="s">
        <v>5</v>
      </c>
      <c r="F253" s="3">
        <v>22.691666666666666</v>
      </c>
      <c r="G253" s="1"/>
    </row>
    <row r="254" spans="1:7">
      <c r="A254" t="s">
        <v>7</v>
      </c>
      <c r="B254" t="s">
        <v>263</v>
      </c>
      <c r="C254" t="s">
        <v>1065</v>
      </c>
      <c r="D254" t="s">
        <v>811</v>
      </c>
      <c r="E254" t="s">
        <v>5</v>
      </c>
      <c r="F254" s="3">
        <v>25.891666666666669</v>
      </c>
    </row>
    <row r="255" spans="1:7">
      <c r="A255" t="s">
        <v>6</v>
      </c>
      <c r="B255" t="s">
        <v>264</v>
      </c>
      <c r="C255" t="s">
        <v>1066</v>
      </c>
      <c r="D255" t="s">
        <v>811</v>
      </c>
      <c r="E255" t="s">
        <v>5</v>
      </c>
      <c r="F255" s="3">
        <v>74.333333333333343</v>
      </c>
      <c r="G255" s="1"/>
    </row>
    <row r="256" spans="1:7">
      <c r="A256" t="s">
        <v>6</v>
      </c>
      <c r="B256" t="s">
        <v>265</v>
      </c>
      <c r="C256" t="s">
        <v>1067</v>
      </c>
      <c r="D256" t="s">
        <v>811</v>
      </c>
      <c r="E256" t="s">
        <v>5</v>
      </c>
      <c r="F256" s="3">
        <v>10.508333333333333</v>
      </c>
    </row>
    <row r="257" spans="1:6">
      <c r="A257" t="s">
        <v>7</v>
      </c>
      <c r="B257" t="s">
        <v>266</v>
      </c>
      <c r="C257" t="s">
        <v>1068</v>
      </c>
      <c r="D257" t="s">
        <v>811</v>
      </c>
      <c r="E257" t="s">
        <v>5</v>
      </c>
      <c r="F257" s="3">
        <v>2.791666666666667</v>
      </c>
    </row>
    <row r="258" spans="1:6">
      <c r="A258" t="s">
        <v>9</v>
      </c>
      <c r="B258" t="s">
        <v>267</v>
      </c>
      <c r="C258" t="s">
        <v>1069</v>
      </c>
      <c r="D258" t="s">
        <v>811</v>
      </c>
      <c r="E258" t="s">
        <v>5</v>
      </c>
      <c r="F258" s="3">
        <v>16.508333333333333</v>
      </c>
    </row>
    <row r="259" spans="1:6">
      <c r="A259" t="s">
        <v>6</v>
      </c>
      <c r="B259" t="s">
        <v>268</v>
      </c>
      <c r="C259" t="s">
        <v>1070</v>
      </c>
      <c r="D259" t="s">
        <v>811</v>
      </c>
      <c r="E259" t="s">
        <v>5</v>
      </c>
      <c r="F259" s="3">
        <v>2.5916666666666672</v>
      </c>
    </row>
    <row r="260" spans="1:6">
      <c r="A260" t="s">
        <v>6</v>
      </c>
      <c r="B260" t="s">
        <v>269</v>
      </c>
      <c r="C260" t="s">
        <v>1071</v>
      </c>
      <c r="D260" t="s">
        <v>811</v>
      </c>
      <c r="E260" t="s">
        <v>5</v>
      </c>
      <c r="F260" s="3">
        <v>2.4250000000000003</v>
      </c>
    </row>
    <row r="261" spans="1:6">
      <c r="A261" t="s">
        <v>6</v>
      </c>
      <c r="B261" t="s">
        <v>270</v>
      </c>
      <c r="C261" t="s">
        <v>1072</v>
      </c>
      <c r="D261" t="s">
        <v>811</v>
      </c>
      <c r="E261" t="s">
        <v>5</v>
      </c>
      <c r="F261" s="3">
        <v>2.9083333333333337</v>
      </c>
    </row>
    <row r="262" spans="1:6">
      <c r="A262" t="s">
        <v>6</v>
      </c>
      <c r="B262" t="s">
        <v>271</v>
      </c>
      <c r="C262" t="s">
        <v>1073</v>
      </c>
      <c r="D262" t="s">
        <v>811</v>
      </c>
      <c r="E262" t="s">
        <v>5</v>
      </c>
      <c r="F262" s="3">
        <v>2.9916666666666667</v>
      </c>
    </row>
    <row r="263" spans="1:6">
      <c r="A263" t="s">
        <v>6</v>
      </c>
      <c r="B263" t="s">
        <v>272</v>
      </c>
      <c r="C263" t="s">
        <v>1074</v>
      </c>
      <c r="D263" t="s">
        <v>811</v>
      </c>
      <c r="E263" t="s">
        <v>5</v>
      </c>
      <c r="F263" s="3">
        <v>2.6916666666666669</v>
      </c>
    </row>
    <row r="264" spans="1:6">
      <c r="A264" t="s">
        <v>9</v>
      </c>
      <c r="B264" t="s">
        <v>273</v>
      </c>
      <c r="C264" t="s">
        <v>1075</v>
      </c>
      <c r="D264" t="s">
        <v>811</v>
      </c>
      <c r="E264" t="s">
        <v>5</v>
      </c>
      <c r="F264" s="3">
        <v>21.85</v>
      </c>
    </row>
    <row r="265" spans="1:6">
      <c r="A265" t="s">
        <v>6</v>
      </c>
      <c r="B265" t="s">
        <v>274</v>
      </c>
      <c r="C265" t="s">
        <v>1076</v>
      </c>
      <c r="D265" t="s">
        <v>811</v>
      </c>
      <c r="E265" t="s">
        <v>5</v>
      </c>
      <c r="F265" s="3">
        <v>20.575000000000003</v>
      </c>
    </row>
    <row r="266" spans="1:6">
      <c r="A266" t="s">
        <v>6</v>
      </c>
      <c r="B266" t="s">
        <v>275</v>
      </c>
      <c r="C266" t="s">
        <v>1077</v>
      </c>
      <c r="D266" t="s">
        <v>811</v>
      </c>
      <c r="E266" t="s">
        <v>5</v>
      </c>
      <c r="F266" s="3">
        <v>2.6583333333333332</v>
      </c>
    </row>
    <row r="267" spans="1:6">
      <c r="A267" t="s">
        <v>6</v>
      </c>
      <c r="B267" t="s">
        <v>276</v>
      </c>
      <c r="C267" t="s">
        <v>1078</v>
      </c>
      <c r="D267" t="s">
        <v>811</v>
      </c>
      <c r="E267" t="s">
        <v>5</v>
      </c>
      <c r="F267" s="3">
        <v>2.95</v>
      </c>
    </row>
    <row r="268" spans="1:6">
      <c r="A268" t="s">
        <v>6</v>
      </c>
      <c r="B268" t="s">
        <v>277</v>
      </c>
      <c r="C268" t="s">
        <v>1079</v>
      </c>
      <c r="D268" t="s">
        <v>811</v>
      </c>
      <c r="E268" t="s">
        <v>5</v>
      </c>
      <c r="F268" s="3">
        <v>2.8166666666666669</v>
      </c>
    </row>
    <row r="269" spans="1:6">
      <c r="A269" t="s">
        <v>6</v>
      </c>
      <c r="B269" t="s">
        <v>278</v>
      </c>
      <c r="C269" t="s">
        <v>1080</v>
      </c>
      <c r="D269" t="s">
        <v>811</v>
      </c>
      <c r="E269" t="s">
        <v>5</v>
      </c>
      <c r="F269" s="3">
        <v>2.7833333333333332</v>
      </c>
    </row>
    <row r="270" spans="1:6">
      <c r="A270" t="s">
        <v>7</v>
      </c>
      <c r="B270" t="s">
        <v>279</v>
      </c>
      <c r="C270" t="s">
        <v>1081</v>
      </c>
      <c r="D270" t="s">
        <v>811</v>
      </c>
      <c r="E270" t="s">
        <v>5</v>
      </c>
      <c r="F270" s="3">
        <v>2.8833333333333333</v>
      </c>
    </row>
    <row r="271" spans="1:6">
      <c r="A271" t="s">
        <v>6</v>
      </c>
      <c r="B271" t="s">
        <v>280</v>
      </c>
      <c r="C271" t="s">
        <v>1082</v>
      </c>
      <c r="D271" t="s">
        <v>811</v>
      </c>
      <c r="E271" t="s">
        <v>5</v>
      </c>
      <c r="F271" s="3">
        <v>3.1</v>
      </c>
    </row>
    <row r="272" spans="1:6">
      <c r="A272" t="s">
        <v>6</v>
      </c>
      <c r="B272" t="s">
        <v>281</v>
      </c>
      <c r="C272" t="s">
        <v>1083</v>
      </c>
      <c r="D272" t="s">
        <v>811</v>
      </c>
      <c r="E272" t="s">
        <v>5</v>
      </c>
      <c r="F272" s="3">
        <v>3.1083333333333334</v>
      </c>
    </row>
    <row r="273" spans="1:7">
      <c r="A273" t="s">
        <v>6</v>
      </c>
      <c r="B273" t="s">
        <v>282</v>
      </c>
      <c r="C273" t="s">
        <v>1084</v>
      </c>
      <c r="D273" t="s">
        <v>811</v>
      </c>
      <c r="E273" t="s">
        <v>5</v>
      </c>
      <c r="F273" s="3">
        <v>3.4583333333333339</v>
      </c>
    </row>
    <row r="274" spans="1:7">
      <c r="A274" t="s">
        <v>6</v>
      </c>
      <c r="B274" t="s">
        <v>283</v>
      </c>
      <c r="C274" t="s">
        <v>1085</v>
      </c>
      <c r="D274" t="s">
        <v>811</v>
      </c>
      <c r="E274" t="s">
        <v>5</v>
      </c>
      <c r="F274" s="3">
        <v>3.4083333333333332</v>
      </c>
    </row>
    <row r="275" spans="1:7">
      <c r="A275" t="s">
        <v>6</v>
      </c>
      <c r="B275" t="s">
        <v>284</v>
      </c>
      <c r="C275" t="s">
        <v>1086</v>
      </c>
      <c r="D275" t="s">
        <v>811</v>
      </c>
      <c r="E275" t="s">
        <v>5</v>
      </c>
      <c r="F275" s="3">
        <v>3.4333333333333336</v>
      </c>
    </row>
    <row r="276" spans="1:7">
      <c r="A276" t="s">
        <v>9</v>
      </c>
      <c r="B276" t="s">
        <v>285</v>
      </c>
      <c r="C276" t="s">
        <v>1087</v>
      </c>
      <c r="D276" t="s">
        <v>811</v>
      </c>
      <c r="E276" t="s">
        <v>5</v>
      </c>
      <c r="F276" s="3">
        <v>26.416666666666668</v>
      </c>
    </row>
    <row r="277" spans="1:7">
      <c r="A277" t="s">
        <v>9</v>
      </c>
      <c r="B277" t="s">
        <v>286</v>
      </c>
      <c r="C277" t="s">
        <v>1088</v>
      </c>
      <c r="D277" t="s">
        <v>811</v>
      </c>
      <c r="E277" t="s">
        <v>5</v>
      </c>
      <c r="F277" s="3">
        <v>35.141666666666673</v>
      </c>
      <c r="G277" s="1"/>
    </row>
    <row r="278" spans="1:7">
      <c r="A278" t="s">
        <v>9</v>
      </c>
      <c r="B278" t="s">
        <v>287</v>
      </c>
      <c r="C278" t="s">
        <v>1089</v>
      </c>
      <c r="D278" t="s">
        <v>811</v>
      </c>
      <c r="E278" t="s">
        <v>5</v>
      </c>
      <c r="F278" s="3">
        <v>31.974999999999998</v>
      </c>
    </row>
    <row r="279" spans="1:7">
      <c r="A279" t="s">
        <v>6</v>
      </c>
      <c r="B279" t="s">
        <v>288</v>
      </c>
      <c r="C279" t="s">
        <v>1090</v>
      </c>
      <c r="D279" t="s">
        <v>811</v>
      </c>
      <c r="E279" t="s">
        <v>5</v>
      </c>
      <c r="F279" s="3">
        <v>23.941666666666666</v>
      </c>
    </row>
    <row r="280" spans="1:7">
      <c r="A280" t="s">
        <v>6</v>
      </c>
      <c r="B280" t="s">
        <v>289</v>
      </c>
      <c r="C280" t="s">
        <v>1091</v>
      </c>
      <c r="D280" t="s">
        <v>811</v>
      </c>
      <c r="E280" t="s">
        <v>5</v>
      </c>
      <c r="F280" s="3">
        <v>7.5</v>
      </c>
    </row>
    <row r="281" spans="1:7">
      <c r="A281" t="s">
        <v>6</v>
      </c>
      <c r="B281" t="s">
        <v>290</v>
      </c>
      <c r="C281" t="s">
        <v>1092</v>
      </c>
      <c r="D281" t="s">
        <v>811</v>
      </c>
      <c r="E281" t="s">
        <v>5</v>
      </c>
      <c r="F281" s="3">
        <v>7.9583333333333339</v>
      </c>
    </row>
    <row r="282" spans="1:7">
      <c r="A282" t="s">
        <v>7</v>
      </c>
      <c r="B282" t="s">
        <v>291</v>
      </c>
      <c r="C282" t="s">
        <v>1093</v>
      </c>
      <c r="D282" t="s">
        <v>811</v>
      </c>
      <c r="E282" t="s">
        <v>5</v>
      </c>
      <c r="F282" s="3">
        <v>20.241666666666667</v>
      </c>
    </row>
    <row r="283" spans="1:7">
      <c r="A283" t="s">
        <v>6</v>
      </c>
      <c r="B283" t="s">
        <v>292</v>
      </c>
      <c r="C283" t="s">
        <v>1094</v>
      </c>
      <c r="D283" t="s">
        <v>811</v>
      </c>
      <c r="E283" t="s">
        <v>5</v>
      </c>
      <c r="F283" s="3">
        <v>3.9416666666666673</v>
      </c>
    </row>
    <row r="284" spans="1:7">
      <c r="A284" t="s">
        <v>6</v>
      </c>
      <c r="B284" t="s">
        <v>293</v>
      </c>
      <c r="C284" t="s">
        <v>1095</v>
      </c>
      <c r="D284" t="s">
        <v>811</v>
      </c>
      <c r="E284" t="s">
        <v>5</v>
      </c>
      <c r="F284" s="3">
        <v>5.8583333333333334</v>
      </c>
    </row>
    <row r="285" spans="1:7">
      <c r="A285" t="s">
        <v>6</v>
      </c>
      <c r="B285" t="s">
        <v>294</v>
      </c>
      <c r="C285" t="s">
        <v>1096</v>
      </c>
      <c r="D285" t="s">
        <v>811</v>
      </c>
      <c r="E285" t="s">
        <v>5</v>
      </c>
      <c r="F285" s="3">
        <v>4.2666666666666666</v>
      </c>
    </row>
    <row r="286" spans="1:7">
      <c r="A286" t="s">
        <v>6</v>
      </c>
      <c r="B286" t="s">
        <v>295</v>
      </c>
      <c r="C286" t="s">
        <v>1097</v>
      </c>
      <c r="D286" t="s">
        <v>811</v>
      </c>
      <c r="E286" t="s">
        <v>5</v>
      </c>
      <c r="F286" s="3">
        <v>6.0583333333333336</v>
      </c>
    </row>
    <row r="287" spans="1:7">
      <c r="A287" t="s">
        <v>6</v>
      </c>
      <c r="B287" t="s">
        <v>296</v>
      </c>
      <c r="C287" t="s">
        <v>1098</v>
      </c>
      <c r="D287" t="s">
        <v>811</v>
      </c>
      <c r="E287" t="s">
        <v>5</v>
      </c>
      <c r="F287" s="3">
        <v>6.3083333333333336</v>
      </c>
    </row>
    <row r="288" spans="1:7">
      <c r="A288" t="s">
        <v>6</v>
      </c>
      <c r="B288" t="s">
        <v>297</v>
      </c>
      <c r="C288" t="s">
        <v>1099</v>
      </c>
      <c r="D288" t="s">
        <v>811</v>
      </c>
      <c r="E288" t="s">
        <v>5</v>
      </c>
      <c r="F288" s="3">
        <v>3.9583333333333335</v>
      </c>
    </row>
    <row r="289" spans="1:7">
      <c r="A289" t="s">
        <v>6</v>
      </c>
      <c r="B289" t="s">
        <v>298</v>
      </c>
      <c r="C289" t="s">
        <v>1100</v>
      </c>
      <c r="D289" t="s">
        <v>811</v>
      </c>
      <c r="E289" t="s">
        <v>5</v>
      </c>
      <c r="F289" s="3">
        <v>15.533333333333335</v>
      </c>
    </row>
    <row r="290" spans="1:7">
      <c r="A290" t="s">
        <v>7</v>
      </c>
      <c r="B290" t="s">
        <v>299</v>
      </c>
      <c r="C290" t="s">
        <v>1101</v>
      </c>
      <c r="D290" t="s">
        <v>811</v>
      </c>
      <c r="E290" t="s">
        <v>5</v>
      </c>
      <c r="F290" s="3">
        <v>5.3333333333333339</v>
      </c>
    </row>
    <row r="291" spans="1:7">
      <c r="A291" t="s">
        <v>7</v>
      </c>
      <c r="B291" t="s">
        <v>300</v>
      </c>
      <c r="C291" t="s">
        <v>1102</v>
      </c>
      <c r="D291" t="s">
        <v>811</v>
      </c>
      <c r="E291" t="s">
        <v>5</v>
      </c>
      <c r="F291" s="3">
        <v>7.7500000000000009</v>
      </c>
    </row>
    <row r="292" spans="1:7">
      <c r="A292" t="s">
        <v>9</v>
      </c>
      <c r="B292" t="s">
        <v>301</v>
      </c>
      <c r="C292" t="s">
        <v>1103</v>
      </c>
      <c r="D292" t="s">
        <v>811</v>
      </c>
      <c r="E292" t="s">
        <v>5</v>
      </c>
      <c r="F292" s="3">
        <v>11.033333333333333</v>
      </c>
    </row>
    <row r="293" spans="1:7">
      <c r="A293" t="s">
        <v>6</v>
      </c>
      <c r="B293" t="s">
        <v>302</v>
      </c>
      <c r="C293" t="s">
        <v>1104</v>
      </c>
      <c r="D293" t="s">
        <v>811</v>
      </c>
      <c r="E293" t="s">
        <v>5</v>
      </c>
      <c r="F293" s="3">
        <v>12.641666666666667</v>
      </c>
    </row>
    <row r="294" spans="1:7">
      <c r="A294" t="s">
        <v>9</v>
      </c>
      <c r="B294" t="s">
        <v>303</v>
      </c>
      <c r="C294" t="s">
        <v>1105</v>
      </c>
      <c r="D294" t="s">
        <v>811</v>
      </c>
      <c r="E294" t="s">
        <v>5</v>
      </c>
      <c r="F294" s="3">
        <v>6.4916666666666671</v>
      </c>
    </row>
    <row r="295" spans="1:7">
      <c r="A295" t="s">
        <v>9</v>
      </c>
      <c r="B295" t="s">
        <v>304</v>
      </c>
      <c r="C295" t="s">
        <v>1106</v>
      </c>
      <c r="D295" t="s">
        <v>811</v>
      </c>
      <c r="E295" t="s">
        <v>5</v>
      </c>
      <c r="F295" s="3">
        <v>13.266666666666667</v>
      </c>
    </row>
    <row r="296" spans="1:7">
      <c r="A296" t="s">
        <v>6</v>
      </c>
      <c r="B296" t="s">
        <v>305</v>
      </c>
      <c r="C296" t="s">
        <v>1107</v>
      </c>
      <c r="D296" t="s">
        <v>811</v>
      </c>
      <c r="E296" t="s">
        <v>5</v>
      </c>
      <c r="F296" s="3">
        <v>29.608333333333334</v>
      </c>
      <c r="G296" s="1"/>
    </row>
    <row r="297" spans="1:7">
      <c r="A297" t="s">
        <v>6</v>
      </c>
      <c r="B297" t="s">
        <v>306</v>
      </c>
      <c r="C297" t="s">
        <v>1108</v>
      </c>
      <c r="D297" t="s">
        <v>811</v>
      </c>
      <c r="E297" t="s">
        <v>5</v>
      </c>
      <c r="F297" s="3">
        <v>14.06666666666667</v>
      </c>
    </row>
    <row r="298" spans="1:7">
      <c r="A298" t="s">
        <v>6</v>
      </c>
      <c r="B298" t="s">
        <v>307</v>
      </c>
      <c r="C298" t="s">
        <v>1109</v>
      </c>
      <c r="D298" t="s">
        <v>811</v>
      </c>
      <c r="E298" t="s">
        <v>5</v>
      </c>
      <c r="F298" s="3">
        <v>5.2083333333333339</v>
      </c>
    </row>
    <row r="299" spans="1:7">
      <c r="A299" t="s">
        <v>9</v>
      </c>
      <c r="B299" t="s">
        <v>308</v>
      </c>
      <c r="C299" t="s">
        <v>1110</v>
      </c>
      <c r="D299" t="s">
        <v>811</v>
      </c>
      <c r="E299" t="s">
        <v>5</v>
      </c>
      <c r="F299" s="3">
        <v>10.033333333333333</v>
      </c>
    </row>
    <row r="300" spans="1:7">
      <c r="A300" t="s">
        <v>9</v>
      </c>
      <c r="B300" t="s">
        <v>309</v>
      </c>
      <c r="C300" t="s">
        <v>1111</v>
      </c>
      <c r="D300" t="s">
        <v>811</v>
      </c>
      <c r="E300" t="s">
        <v>5</v>
      </c>
      <c r="F300" s="3">
        <v>17.858333333333334</v>
      </c>
    </row>
    <row r="301" spans="1:7">
      <c r="A301" t="s">
        <v>6</v>
      </c>
      <c r="B301" t="s">
        <v>310</v>
      </c>
      <c r="C301" t="s">
        <v>1112</v>
      </c>
      <c r="D301" t="s">
        <v>811</v>
      </c>
      <c r="E301" t="s">
        <v>5</v>
      </c>
      <c r="F301" s="3">
        <v>2.2583333333333333</v>
      </c>
    </row>
    <row r="302" spans="1:7">
      <c r="A302" t="s">
        <v>9</v>
      </c>
      <c r="B302" t="s">
        <v>311</v>
      </c>
      <c r="C302" t="s">
        <v>1113</v>
      </c>
      <c r="D302" t="s">
        <v>811</v>
      </c>
      <c r="E302" t="s">
        <v>5</v>
      </c>
      <c r="F302" s="3">
        <v>6.541666666666667</v>
      </c>
    </row>
    <row r="303" spans="1:7">
      <c r="A303" t="s">
        <v>9</v>
      </c>
      <c r="B303" t="s">
        <v>312</v>
      </c>
      <c r="C303" t="s">
        <v>1114</v>
      </c>
      <c r="D303" t="s">
        <v>811</v>
      </c>
      <c r="E303" t="s">
        <v>5</v>
      </c>
      <c r="F303" s="3">
        <v>3.7833333333333337</v>
      </c>
    </row>
    <row r="304" spans="1:7">
      <c r="A304" t="s">
        <v>9</v>
      </c>
      <c r="B304" t="s">
        <v>313</v>
      </c>
      <c r="C304" t="s">
        <v>1115</v>
      </c>
      <c r="D304" t="s">
        <v>811</v>
      </c>
      <c r="E304" t="s">
        <v>5</v>
      </c>
      <c r="F304" s="3">
        <v>3.2833333333333332</v>
      </c>
    </row>
    <row r="305" spans="1:6">
      <c r="A305" t="s">
        <v>9</v>
      </c>
      <c r="B305" t="s">
        <v>314</v>
      </c>
      <c r="C305" t="s">
        <v>1116</v>
      </c>
      <c r="D305" t="s">
        <v>811</v>
      </c>
      <c r="E305" t="s">
        <v>5</v>
      </c>
      <c r="F305" s="3">
        <v>1.8416666666666668</v>
      </c>
    </row>
    <row r="306" spans="1:6">
      <c r="A306" t="s">
        <v>9</v>
      </c>
      <c r="B306" t="s">
        <v>315</v>
      </c>
      <c r="C306" t="s">
        <v>1117</v>
      </c>
      <c r="D306" t="s">
        <v>811</v>
      </c>
      <c r="E306" t="s">
        <v>5</v>
      </c>
      <c r="F306" s="3">
        <v>2.5833333333333335</v>
      </c>
    </row>
    <row r="307" spans="1:6">
      <c r="A307" t="s">
        <v>9</v>
      </c>
      <c r="B307" t="s">
        <v>316</v>
      </c>
      <c r="C307" t="s">
        <v>1118</v>
      </c>
      <c r="D307" t="s">
        <v>811</v>
      </c>
      <c r="E307" t="s">
        <v>5</v>
      </c>
      <c r="F307" s="3">
        <v>2.041666666666667</v>
      </c>
    </row>
    <row r="308" spans="1:6">
      <c r="A308" t="s">
        <v>9</v>
      </c>
      <c r="B308" t="s">
        <v>317</v>
      </c>
      <c r="C308" t="s">
        <v>1119</v>
      </c>
      <c r="D308" t="s">
        <v>811</v>
      </c>
      <c r="E308" t="s">
        <v>5</v>
      </c>
      <c r="F308" s="3">
        <v>2.1166666666666667</v>
      </c>
    </row>
    <row r="309" spans="1:6">
      <c r="A309" t="s">
        <v>6</v>
      </c>
      <c r="B309" t="s">
        <v>318</v>
      </c>
      <c r="C309" t="s">
        <v>1120</v>
      </c>
      <c r="D309" t="s">
        <v>811</v>
      </c>
      <c r="E309" t="s">
        <v>5</v>
      </c>
      <c r="F309" s="3">
        <v>2.041666666666667</v>
      </c>
    </row>
    <row r="310" spans="1:6">
      <c r="A310" t="s">
        <v>9</v>
      </c>
      <c r="B310" t="s">
        <v>319</v>
      </c>
      <c r="C310" t="s">
        <v>1121</v>
      </c>
      <c r="D310" t="s">
        <v>811</v>
      </c>
      <c r="E310" t="s">
        <v>5</v>
      </c>
      <c r="F310" s="3">
        <v>2.7083333333333335</v>
      </c>
    </row>
    <row r="311" spans="1:6">
      <c r="A311" t="s">
        <v>9</v>
      </c>
      <c r="B311" t="s">
        <v>320</v>
      </c>
      <c r="C311" t="s">
        <v>1122</v>
      </c>
      <c r="D311" t="s">
        <v>811</v>
      </c>
      <c r="E311" t="s">
        <v>5</v>
      </c>
      <c r="F311" s="3">
        <v>18.25</v>
      </c>
    </row>
    <row r="312" spans="1:6">
      <c r="A312" t="s">
        <v>6</v>
      </c>
      <c r="B312" t="s">
        <v>321</v>
      </c>
      <c r="C312" t="s">
        <v>1123</v>
      </c>
      <c r="D312" t="s">
        <v>811</v>
      </c>
      <c r="E312" t="s">
        <v>5</v>
      </c>
      <c r="F312" s="3">
        <v>5.2583333333333329</v>
      </c>
    </row>
    <row r="313" spans="1:6">
      <c r="A313" t="s">
        <v>9</v>
      </c>
      <c r="B313" t="s">
        <v>322</v>
      </c>
      <c r="C313" t="s">
        <v>1124</v>
      </c>
      <c r="D313" t="s">
        <v>811</v>
      </c>
      <c r="E313" t="s">
        <v>5</v>
      </c>
      <c r="F313" s="3">
        <v>5.3833333333333337</v>
      </c>
    </row>
    <row r="314" spans="1:6">
      <c r="A314" t="s">
        <v>7</v>
      </c>
      <c r="B314" t="s">
        <v>323</v>
      </c>
      <c r="C314" t="s">
        <v>1125</v>
      </c>
      <c r="D314" t="s">
        <v>811</v>
      </c>
      <c r="E314" t="s">
        <v>5</v>
      </c>
      <c r="F314" s="3">
        <v>6.3833333333333337</v>
      </c>
    </row>
    <row r="315" spans="1:6">
      <c r="A315" t="s">
        <v>9</v>
      </c>
      <c r="B315" t="s">
        <v>324</v>
      </c>
      <c r="C315" t="s">
        <v>1126</v>
      </c>
      <c r="D315" t="s">
        <v>811</v>
      </c>
      <c r="E315" t="s">
        <v>5</v>
      </c>
      <c r="F315" s="3">
        <v>7.1749999999999998</v>
      </c>
    </row>
    <row r="316" spans="1:6">
      <c r="A316" t="s">
        <v>6</v>
      </c>
      <c r="B316" t="s">
        <v>325</v>
      </c>
      <c r="C316" t="s">
        <v>1127</v>
      </c>
      <c r="D316" t="s">
        <v>811</v>
      </c>
      <c r="E316" t="s">
        <v>5</v>
      </c>
      <c r="F316" s="3">
        <v>5.3500000000000005</v>
      </c>
    </row>
    <row r="317" spans="1:6">
      <c r="A317" t="s">
        <v>7</v>
      </c>
      <c r="B317" t="s">
        <v>326</v>
      </c>
      <c r="C317" t="s">
        <v>1128</v>
      </c>
      <c r="D317" t="s">
        <v>811</v>
      </c>
      <c r="E317" t="s">
        <v>5</v>
      </c>
      <c r="F317" s="3">
        <v>5.625</v>
      </c>
    </row>
    <row r="318" spans="1:6">
      <c r="A318" t="s">
        <v>7</v>
      </c>
      <c r="B318" t="s">
        <v>327</v>
      </c>
      <c r="C318" t="s">
        <v>1129</v>
      </c>
      <c r="D318" t="s">
        <v>811</v>
      </c>
      <c r="E318" t="s">
        <v>5</v>
      </c>
      <c r="F318" s="3">
        <v>4.8416666666666677</v>
      </c>
    </row>
    <row r="319" spans="1:6">
      <c r="A319" t="s">
        <v>6</v>
      </c>
      <c r="B319" t="s">
        <v>328</v>
      </c>
      <c r="C319" t="s">
        <v>1130</v>
      </c>
      <c r="D319" t="s">
        <v>811</v>
      </c>
      <c r="E319" t="s">
        <v>5</v>
      </c>
      <c r="F319" s="3">
        <v>5.2083333333333339</v>
      </c>
    </row>
    <row r="320" spans="1:6">
      <c r="A320" t="s">
        <v>6</v>
      </c>
      <c r="B320" t="s">
        <v>329</v>
      </c>
      <c r="C320" t="s">
        <v>1131</v>
      </c>
      <c r="D320" t="s">
        <v>811</v>
      </c>
      <c r="E320" t="s">
        <v>5</v>
      </c>
      <c r="F320" s="3">
        <v>11.6</v>
      </c>
    </row>
    <row r="321" spans="1:7">
      <c r="A321" t="s">
        <v>7</v>
      </c>
      <c r="B321" t="s">
        <v>330</v>
      </c>
      <c r="C321" t="s">
        <v>1132</v>
      </c>
      <c r="D321" t="s">
        <v>811</v>
      </c>
      <c r="E321" t="s">
        <v>10</v>
      </c>
      <c r="F321" s="3">
        <v>4.9833333333333343</v>
      </c>
    </row>
    <row r="322" spans="1:7">
      <c r="A322" t="s">
        <v>7</v>
      </c>
      <c r="B322" t="s">
        <v>331</v>
      </c>
      <c r="C322" t="s">
        <v>1133</v>
      </c>
      <c r="D322" t="s">
        <v>811</v>
      </c>
      <c r="E322" t="s">
        <v>10</v>
      </c>
      <c r="F322" s="3">
        <v>4.5833333333333339</v>
      </c>
    </row>
    <row r="323" spans="1:7">
      <c r="A323" t="s">
        <v>6</v>
      </c>
      <c r="B323" t="s">
        <v>332</v>
      </c>
      <c r="C323" t="s">
        <v>1134</v>
      </c>
      <c r="D323" t="s">
        <v>811</v>
      </c>
      <c r="E323" t="s">
        <v>5</v>
      </c>
      <c r="F323" s="3">
        <v>11.533333333333333</v>
      </c>
    </row>
    <row r="324" spans="1:7">
      <c r="A324" t="s">
        <v>9</v>
      </c>
      <c r="B324" t="s">
        <v>333</v>
      </c>
      <c r="C324" t="s">
        <v>1135</v>
      </c>
      <c r="D324" t="s">
        <v>811</v>
      </c>
      <c r="E324" t="s">
        <v>5</v>
      </c>
      <c r="F324" s="3">
        <v>14.258333333333333</v>
      </c>
    </row>
    <row r="325" spans="1:7">
      <c r="A325" t="s">
        <v>6</v>
      </c>
      <c r="B325" t="s">
        <v>334</v>
      </c>
      <c r="C325" t="s">
        <v>1136</v>
      </c>
      <c r="D325" t="s">
        <v>811</v>
      </c>
      <c r="E325" t="s">
        <v>5</v>
      </c>
      <c r="F325" s="3">
        <v>20.758333333333333</v>
      </c>
    </row>
    <row r="326" spans="1:7">
      <c r="A326" t="s">
        <v>9</v>
      </c>
      <c r="B326" t="s">
        <v>335</v>
      </c>
      <c r="C326" t="s">
        <v>1137</v>
      </c>
      <c r="D326" t="s">
        <v>811</v>
      </c>
      <c r="E326" t="s">
        <v>5</v>
      </c>
      <c r="F326" s="3">
        <v>39.400000000000006</v>
      </c>
      <c r="G326" s="1"/>
    </row>
    <row r="327" spans="1:7">
      <c r="A327" t="s">
        <v>6</v>
      </c>
      <c r="B327" t="s">
        <v>336</v>
      </c>
      <c r="C327" t="s">
        <v>1138</v>
      </c>
      <c r="D327" t="s">
        <v>811</v>
      </c>
      <c r="E327" t="s">
        <v>5</v>
      </c>
      <c r="F327" s="3">
        <v>15.008333333333335</v>
      </c>
    </row>
    <row r="328" spans="1:7">
      <c r="A328" t="s">
        <v>9</v>
      </c>
      <c r="B328" t="s">
        <v>337</v>
      </c>
      <c r="C328" t="s">
        <v>1139</v>
      </c>
      <c r="D328" t="s">
        <v>811</v>
      </c>
      <c r="E328" t="s">
        <v>5</v>
      </c>
      <c r="F328" s="3">
        <v>40.450000000000003</v>
      </c>
      <c r="G328" s="1"/>
    </row>
    <row r="329" spans="1:7">
      <c r="A329" t="s">
        <v>9</v>
      </c>
      <c r="B329" t="s">
        <v>338</v>
      </c>
      <c r="C329" t="s">
        <v>1140</v>
      </c>
      <c r="D329" t="s">
        <v>811</v>
      </c>
      <c r="E329" t="s">
        <v>5</v>
      </c>
      <c r="F329" s="3">
        <v>35.633333333333333</v>
      </c>
      <c r="G329" s="1"/>
    </row>
    <row r="330" spans="1:7">
      <c r="A330" t="s">
        <v>9</v>
      </c>
      <c r="B330" t="s">
        <v>339</v>
      </c>
      <c r="C330" t="s">
        <v>1141</v>
      </c>
      <c r="D330" t="s">
        <v>811</v>
      </c>
      <c r="E330" t="s">
        <v>5</v>
      </c>
      <c r="F330" s="3">
        <v>53.933333333333337</v>
      </c>
      <c r="G330" s="1"/>
    </row>
    <row r="331" spans="1:7">
      <c r="A331" t="s">
        <v>6</v>
      </c>
      <c r="B331" t="s">
        <v>340</v>
      </c>
      <c r="C331" t="s">
        <v>1142</v>
      </c>
      <c r="D331" t="s">
        <v>811</v>
      </c>
      <c r="E331" t="s">
        <v>5</v>
      </c>
      <c r="F331" s="3">
        <v>15.55</v>
      </c>
    </row>
    <row r="332" spans="1:7">
      <c r="A332" t="s">
        <v>9</v>
      </c>
      <c r="B332" t="s">
        <v>341</v>
      </c>
      <c r="C332" t="s">
        <v>1143</v>
      </c>
      <c r="D332" t="s">
        <v>811</v>
      </c>
      <c r="E332" t="s">
        <v>5</v>
      </c>
      <c r="F332" s="3">
        <v>25.083333333333336</v>
      </c>
    </row>
    <row r="333" spans="1:7">
      <c r="A333" t="s">
        <v>9</v>
      </c>
      <c r="B333" t="s">
        <v>342</v>
      </c>
      <c r="C333" t="s">
        <v>1144</v>
      </c>
      <c r="D333" t="s">
        <v>811</v>
      </c>
      <c r="E333" t="s">
        <v>5</v>
      </c>
      <c r="F333" s="3">
        <v>40.825000000000003</v>
      </c>
      <c r="G333" s="1"/>
    </row>
    <row r="334" spans="1:7">
      <c r="A334" t="s">
        <v>6</v>
      </c>
      <c r="B334" t="s">
        <v>343</v>
      </c>
      <c r="C334" t="s">
        <v>1145</v>
      </c>
      <c r="D334" t="s">
        <v>811</v>
      </c>
      <c r="E334" t="s">
        <v>5</v>
      </c>
      <c r="F334" s="3">
        <v>56.641666666666666</v>
      </c>
      <c r="G334" s="1"/>
    </row>
    <row r="335" spans="1:7">
      <c r="A335" t="s">
        <v>9</v>
      </c>
      <c r="B335" t="s">
        <v>344</v>
      </c>
      <c r="C335" t="s">
        <v>1146</v>
      </c>
      <c r="D335" t="s">
        <v>811</v>
      </c>
      <c r="E335" t="s">
        <v>5</v>
      </c>
      <c r="F335" s="3">
        <v>45.825000000000003</v>
      </c>
      <c r="G335" s="1"/>
    </row>
    <row r="336" spans="1:7">
      <c r="A336" t="s">
        <v>6</v>
      </c>
      <c r="B336" t="s">
        <v>345</v>
      </c>
      <c r="C336" t="s">
        <v>1147</v>
      </c>
      <c r="D336" t="s">
        <v>811</v>
      </c>
      <c r="E336" t="s">
        <v>5</v>
      </c>
      <c r="F336" s="3">
        <v>64.816666666666677</v>
      </c>
      <c r="G336" s="1"/>
    </row>
    <row r="337" spans="1:7">
      <c r="A337" t="s">
        <v>6</v>
      </c>
      <c r="B337" t="s">
        <v>346</v>
      </c>
      <c r="C337" t="s">
        <v>1148</v>
      </c>
      <c r="D337" t="s">
        <v>811</v>
      </c>
      <c r="E337" t="s">
        <v>5</v>
      </c>
      <c r="F337" s="3">
        <v>13.508333333333335</v>
      </c>
    </row>
    <row r="338" spans="1:7">
      <c r="A338" t="s">
        <v>9</v>
      </c>
      <c r="B338" t="s">
        <v>347</v>
      </c>
      <c r="C338" t="s">
        <v>1149</v>
      </c>
      <c r="D338" t="s">
        <v>811</v>
      </c>
      <c r="E338" t="s">
        <v>5</v>
      </c>
      <c r="F338" s="3">
        <v>6.1416666666666666</v>
      </c>
    </row>
    <row r="339" spans="1:7">
      <c r="A339" t="s">
        <v>6</v>
      </c>
      <c r="B339" t="s">
        <v>348</v>
      </c>
      <c r="C339" t="s">
        <v>1150</v>
      </c>
      <c r="D339" t="s">
        <v>811</v>
      </c>
      <c r="E339" t="s">
        <v>5</v>
      </c>
      <c r="F339" s="3">
        <v>7.7083333333333339</v>
      </c>
    </row>
    <row r="340" spans="1:7">
      <c r="A340" t="s">
        <v>9</v>
      </c>
      <c r="B340" t="s">
        <v>349</v>
      </c>
      <c r="C340" t="s">
        <v>1151</v>
      </c>
      <c r="D340" t="s">
        <v>811</v>
      </c>
      <c r="E340" t="s">
        <v>5</v>
      </c>
      <c r="F340" s="3">
        <v>30.666666666666664</v>
      </c>
    </row>
    <row r="341" spans="1:7">
      <c r="A341" t="s">
        <v>6</v>
      </c>
      <c r="B341" t="s">
        <v>350</v>
      </c>
      <c r="C341" t="s">
        <v>1152</v>
      </c>
      <c r="D341" t="s">
        <v>811</v>
      </c>
      <c r="E341" t="s">
        <v>5</v>
      </c>
      <c r="F341" s="3">
        <v>8.2333333333333325</v>
      </c>
    </row>
    <row r="342" spans="1:7">
      <c r="A342" t="s">
        <v>6</v>
      </c>
      <c r="B342" t="s">
        <v>351</v>
      </c>
      <c r="C342" t="s">
        <v>1153</v>
      </c>
      <c r="D342" t="s">
        <v>811</v>
      </c>
      <c r="E342" t="s">
        <v>5</v>
      </c>
      <c r="F342" s="3">
        <v>30.166666666666671</v>
      </c>
    </row>
    <row r="343" spans="1:7">
      <c r="A343" t="s">
        <v>9</v>
      </c>
      <c r="B343" t="s">
        <v>352</v>
      </c>
      <c r="C343" t="s">
        <v>1154</v>
      </c>
      <c r="D343" t="s">
        <v>811</v>
      </c>
      <c r="E343" t="s">
        <v>5</v>
      </c>
      <c r="F343" s="3">
        <v>51.583333333333336</v>
      </c>
      <c r="G343" s="1"/>
    </row>
    <row r="344" spans="1:7">
      <c r="A344" t="s">
        <v>9</v>
      </c>
      <c r="B344" t="s">
        <v>353</v>
      </c>
      <c r="C344" t="s">
        <v>1155</v>
      </c>
      <c r="D344" t="s">
        <v>811</v>
      </c>
      <c r="E344" t="s">
        <v>5</v>
      </c>
      <c r="F344" s="3">
        <v>19.19166666666667</v>
      </c>
    </row>
    <row r="345" spans="1:7">
      <c r="A345" t="s">
        <v>9</v>
      </c>
      <c r="B345" t="s">
        <v>354</v>
      </c>
      <c r="C345" t="s">
        <v>1156</v>
      </c>
      <c r="D345" t="s">
        <v>811</v>
      </c>
      <c r="E345" t="s">
        <v>5</v>
      </c>
      <c r="F345" s="3">
        <v>11.525</v>
      </c>
    </row>
    <row r="346" spans="1:7">
      <c r="A346" t="s">
        <v>9</v>
      </c>
      <c r="B346" t="s">
        <v>355</v>
      </c>
      <c r="C346" t="s">
        <v>1157</v>
      </c>
      <c r="D346" t="s">
        <v>811</v>
      </c>
      <c r="E346" t="s">
        <v>5</v>
      </c>
      <c r="F346" s="3">
        <v>71.216666666666669</v>
      </c>
      <c r="G346" s="1"/>
    </row>
    <row r="347" spans="1:7">
      <c r="A347" t="s">
        <v>9</v>
      </c>
      <c r="B347" t="s">
        <v>356</v>
      </c>
      <c r="C347" t="s">
        <v>1158</v>
      </c>
      <c r="D347" t="s">
        <v>811</v>
      </c>
      <c r="E347" t="s">
        <v>5</v>
      </c>
      <c r="F347" s="3">
        <v>8.8583333333333343</v>
      </c>
    </row>
    <row r="348" spans="1:7">
      <c r="A348" t="s">
        <v>6</v>
      </c>
      <c r="B348" t="s">
        <v>357</v>
      </c>
      <c r="C348" t="s">
        <v>1159</v>
      </c>
      <c r="D348" t="s">
        <v>811</v>
      </c>
      <c r="E348" t="s">
        <v>5</v>
      </c>
      <c r="F348" s="3">
        <v>41.65</v>
      </c>
      <c r="G348" s="1"/>
    </row>
    <row r="349" spans="1:7">
      <c r="A349" t="s">
        <v>9</v>
      </c>
      <c r="B349" t="s">
        <v>358</v>
      </c>
      <c r="C349" t="s">
        <v>1160</v>
      </c>
      <c r="D349" t="s">
        <v>811</v>
      </c>
      <c r="E349" t="s">
        <v>5</v>
      </c>
      <c r="F349" s="3">
        <v>25.683333333333334</v>
      </c>
      <c r="G349" s="1"/>
    </row>
    <row r="350" spans="1:7">
      <c r="A350" t="s">
        <v>9</v>
      </c>
      <c r="B350" t="s">
        <v>359</v>
      </c>
      <c r="C350" t="s">
        <v>1161</v>
      </c>
      <c r="D350" t="s">
        <v>811</v>
      </c>
      <c r="E350" t="s">
        <v>5</v>
      </c>
      <c r="F350" s="3">
        <v>13.291666666666666</v>
      </c>
    </row>
    <row r="351" spans="1:7">
      <c r="A351" t="s">
        <v>9</v>
      </c>
      <c r="B351" t="s">
        <v>360</v>
      </c>
      <c r="C351" t="s">
        <v>1162</v>
      </c>
      <c r="D351" t="s">
        <v>811</v>
      </c>
      <c r="E351" t="s">
        <v>5</v>
      </c>
      <c r="F351" s="3">
        <v>43.258333333333333</v>
      </c>
      <c r="G351" s="1"/>
    </row>
    <row r="352" spans="1:7">
      <c r="A352" t="s">
        <v>9</v>
      </c>
      <c r="B352" t="s">
        <v>361</v>
      </c>
      <c r="C352" t="s">
        <v>1163</v>
      </c>
      <c r="D352" t="s">
        <v>811</v>
      </c>
      <c r="E352" t="s">
        <v>5</v>
      </c>
      <c r="F352" s="3">
        <v>27.416666666666668</v>
      </c>
    </row>
    <row r="353" spans="1:7">
      <c r="A353" t="s">
        <v>9</v>
      </c>
      <c r="B353" t="s">
        <v>362</v>
      </c>
      <c r="C353" t="s">
        <v>1164</v>
      </c>
      <c r="D353" t="s">
        <v>811</v>
      </c>
      <c r="E353" t="s">
        <v>5</v>
      </c>
      <c r="F353" s="3">
        <v>16.375</v>
      </c>
    </row>
    <row r="354" spans="1:7">
      <c r="A354" t="s">
        <v>6</v>
      </c>
      <c r="B354" t="s">
        <v>363</v>
      </c>
      <c r="C354" t="s">
        <v>1165</v>
      </c>
      <c r="D354" t="s">
        <v>811</v>
      </c>
      <c r="E354" t="s">
        <v>5</v>
      </c>
      <c r="F354" s="3">
        <v>22.916666666666668</v>
      </c>
      <c r="G354" s="1"/>
    </row>
    <row r="355" spans="1:7">
      <c r="A355" t="s">
        <v>9</v>
      </c>
      <c r="B355" t="s">
        <v>364</v>
      </c>
      <c r="C355" t="s">
        <v>1166</v>
      </c>
      <c r="D355" t="s">
        <v>811</v>
      </c>
      <c r="E355" t="s">
        <v>5</v>
      </c>
      <c r="F355" s="3">
        <v>15.433333333333334</v>
      </c>
    </row>
    <row r="356" spans="1:7">
      <c r="A356" t="s">
        <v>7</v>
      </c>
      <c r="B356" t="s">
        <v>365</v>
      </c>
      <c r="C356" t="s">
        <v>1167</v>
      </c>
      <c r="D356" t="s">
        <v>811</v>
      </c>
      <c r="E356" t="s">
        <v>5</v>
      </c>
      <c r="F356" s="3">
        <v>5.7500000000000009</v>
      </c>
    </row>
    <row r="357" spans="1:7">
      <c r="A357" t="s">
        <v>9</v>
      </c>
      <c r="B357" t="s">
        <v>366</v>
      </c>
      <c r="C357" t="s">
        <v>1168</v>
      </c>
      <c r="D357" t="s">
        <v>811</v>
      </c>
      <c r="E357" t="s">
        <v>5</v>
      </c>
      <c r="F357" s="3">
        <v>8.1083333333333343</v>
      </c>
    </row>
    <row r="358" spans="1:7">
      <c r="A358" t="s">
        <v>9</v>
      </c>
      <c r="B358" t="s">
        <v>367</v>
      </c>
      <c r="C358" t="s">
        <v>1169</v>
      </c>
      <c r="D358" t="s">
        <v>811</v>
      </c>
      <c r="E358" t="s">
        <v>5</v>
      </c>
      <c r="F358" s="3">
        <v>17.058333333333334</v>
      </c>
    </row>
    <row r="359" spans="1:7">
      <c r="A359" t="s">
        <v>7</v>
      </c>
      <c r="B359" t="s">
        <v>368</v>
      </c>
      <c r="C359" t="s">
        <v>1170</v>
      </c>
      <c r="D359" t="s">
        <v>811</v>
      </c>
      <c r="E359" t="s">
        <v>5</v>
      </c>
      <c r="F359" s="3">
        <v>3.95</v>
      </c>
    </row>
    <row r="360" spans="1:7">
      <c r="A360" t="s">
        <v>6</v>
      </c>
      <c r="B360" t="s">
        <v>369</v>
      </c>
      <c r="C360" t="s">
        <v>1171</v>
      </c>
      <c r="D360" t="s">
        <v>811</v>
      </c>
      <c r="E360" t="s">
        <v>5</v>
      </c>
      <c r="F360" s="3">
        <v>36.950000000000003</v>
      </c>
      <c r="G360" s="1"/>
    </row>
    <row r="361" spans="1:7">
      <c r="A361" t="s">
        <v>6</v>
      </c>
      <c r="B361" t="s">
        <v>370</v>
      </c>
      <c r="C361" t="s">
        <v>1172</v>
      </c>
      <c r="D361" t="s">
        <v>811</v>
      </c>
      <c r="E361" t="s">
        <v>5</v>
      </c>
      <c r="F361" s="3">
        <v>68.349999999999994</v>
      </c>
      <c r="G361" s="1"/>
    </row>
    <row r="362" spans="1:7">
      <c r="A362" t="s">
        <v>9</v>
      </c>
      <c r="B362" t="s">
        <v>371</v>
      </c>
      <c r="C362" t="s">
        <v>1173</v>
      </c>
      <c r="D362" t="s">
        <v>811</v>
      </c>
      <c r="E362" t="s">
        <v>5</v>
      </c>
      <c r="F362" s="3">
        <v>20.500000000000004</v>
      </c>
    </row>
    <row r="363" spans="1:7">
      <c r="A363" t="s">
        <v>9</v>
      </c>
      <c r="B363" t="s">
        <v>372</v>
      </c>
      <c r="C363" t="s">
        <v>1174</v>
      </c>
      <c r="D363" t="s">
        <v>811</v>
      </c>
      <c r="E363" t="s">
        <v>5</v>
      </c>
      <c r="F363" s="3">
        <v>25.058333333333334</v>
      </c>
      <c r="G363" s="1"/>
    </row>
    <row r="364" spans="1:7">
      <c r="A364" t="s">
        <v>9</v>
      </c>
      <c r="B364" t="s">
        <v>373</v>
      </c>
      <c r="C364" t="s">
        <v>1175</v>
      </c>
      <c r="D364" t="s">
        <v>811</v>
      </c>
      <c r="E364" t="s">
        <v>5</v>
      </c>
      <c r="F364" s="3">
        <v>28.583333333333332</v>
      </c>
    </row>
    <row r="365" spans="1:7">
      <c r="A365" t="s">
        <v>6</v>
      </c>
      <c r="B365" t="s">
        <v>374</v>
      </c>
      <c r="C365" t="s">
        <v>1176</v>
      </c>
      <c r="D365" t="s">
        <v>811</v>
      </c>
      <c r="E365" t="s">
        <v>5</v>
      </c>
      <c r="F365" s="3">
        <v>54.083333333333343</v>
      </c>
      <c r="G365" s="1"/>
    </row>
    <row r="366" spans="1:7">
      <c r="A366" t="s">
        <v>9</v>
      </c>
      <c r="B366" t="s">
        <v>375</v>
      </c>
      <c r="C366" t="s">
        <v>1177</v>
      </c>
      <c r="D366" t="s">
        <v>811</v>
      </c>
      <c r="E366" t="s">
        <v>5</v>
      </c>
      <c r="F366" s="3">
        <v>23.125</v>
      </c>
    </row>
    <row r="367" spans="1:7">
      <c r="A367" t="s">
        <v>7</v>
      </c>
      <c r="B367" t="s">
        <v>376</v>
      </c>
      <c r="C367" t="s">
        <v>1178</v>
      </c>
      <c r="D367" t="s">
        <v>811</v>
      </c>
      <c r="E367" t="s">
        <v>5</v>
      </c>
      <c r="F367" s="3">
        <v>6.6416666666666666</v>
      </c>
    </row>
    <row r="368" spans="1:7">
      <c r="A368" t="s">
        <v>6</v>
      </c>
      <c r="B368" t="s">
        <v>377</v>
      </c>
      <c r="C368" t="s">
        <v>1179</v>
      </c>
      <c r="D368" t="s">
        <v>811</v>
      </c>
      <c r="E368" t="s">
        <v>5</v>
      </c>
      <c r="F368" s="3">
        <v>15.049999999999999</v>
      </c>
    </row>
    <row r="369" spans="1:7">
      <c r="A369" t="s">
        <v>6</v>
      </c>
      <c r="B369" t="s">
        <v>378</v>
      </c>
      <c r="C369" t="s">
        <v>1180</v>
      </c>
      <c r="D369" t="s">
        <v>811</v>
      </c>
      <c r="E369" t="s">
        <v>5</v>
      </c>
      <c r="F369" s="3">
        <v>7.0583333333333327</v>
      </c>
    </row>
    <row r="370" spans="1:7">
      <c r="A370" t="s">
        <v>9</v>
      </c>
      <c r="B370" t="s">
        <v>379</v>
      </c>
      <c r="C370" t="s">
        <v>1181</v>
      </c>
      <c r="D370" t="s">
        <v>811</v>
      </c>
      <c r="E370" t="s">
        <v>5</v>
      </c>
      <c r="F370" s="3">
        <v>65.941666666666663</v>
      </c>
      <c r="G370" s="1"/>
    </row>
    <row r="371" spans="1:7">
      <c r="A371" t="s">
        <v>6</v>
      </c>
      <c r="B371" t="s">
        <v>380</v>
      </c>
      <c r="C371" t="s">
        <v>1182</v>
      </c>
      <c r="D371" t="s">
        <v>811</v>
      </c>
      <c r="E371" t="s">
        <v>5</v>
      </c>
      <c r="F371" s="3">
        <v>21.8</v>
      </c>
    </row>
    <row r="372" spans="1:7">
      <c r="A372" t="s">
        <v>9</v>
      </c>
      <c r="B372" t="s">
        <v>381</v>
      </c>
      <c r="C372" t="s">
        <v>1183</v>
      </c>
      <c r="D372" t="s">
        <v>811</v>
      </c>
      <c r="E372" t="s">
        <v>5</v>
      </c>
      <c r="F372" s="3">
        <v>33.274999999999999</v>
      </c>
    </row>
    <row r="373" spans="1:7">
      <c r="A373" t="s">
        <v>7</v>
      </c>
      <c r="B373" t="s">
        <v>382</v>
      </c>
      <c r="C373" t="s">
        <v>1184</v>
      </c>
      <c r="D373" t="s">
        <v>811</v>
      </c>
      <c r="E373" t="s">
        <v>5</v>
      </c>
      <c r="F373" s="3">
        <v>6.958333333333333</v>
      </c>
    </row>
    <row r="374" spans="1:7">
      <c r="A374" t="s">
        <v>7</v>
      </c>
      <c r="B374" t="s">
        <v>383</v>
      </c>
      <c r="C374" t="s">
        <v>1185</v>
      </c>
      <c r="D374" t="s">
        <v>811</v>
      </c>
      <c r="E374" t="s">
        <v>5</v>
      </c>
      <c r="F374" s="3">
        <v>67.825000000000003</v>
      </c>
      <c r="G374" s="1"/>
    </row>
    <row r="375" spans="1:7">
      <c r="A375" t="s">
        <v>6</v>
      </c>
      <c r="B375" t="s">
        <v>384</v>
      </c>
      <c r="C375" t="s">
        <v>1186</v>
      </c>
      <c r="D375" t="s">
        <v>811</v>
      </c>
      <c r="E375" t="s">
        <v>5</v>
      </c>
      <c r="F375" s="3">
        <v>52.291666666666671</v>
      </c>
      <c r="G375" s="1"/>
    </row>
    <row r="376" spans="1:7">
      <c r="A376" t="s">
        <v>6</v>
      </c>
      <c r="B376" t="s">
        <v>385</v>
      </c>
      <c r="C376" t="s">
        <v>1187</v>
      </c>
      <c r="D376" t="s">
        <v>811</v>
      </c>
      <c r="E376" t="s">
        <v>5</v>
      </c>
      <c r="F376" s="3">
        <v>9.3333333333333339</v>
      </c>
    </row>
    <row r="377" spans="1:7">
      <c r="A377" t="s">
        <v>6</v>
      </c>
      <c r="B377" t="s">
        <v>386</v>
      </c>
      <c r="C377" t="s">
        <v>1188</v>
      </c>
      <c r="D377" t="s">
        <v>811</v>
      </c>
      <c r="E377" t="s">
        <v>5</v>
      </c>
      <c r="F377" s="3">
        <v>12.416666666666668</v>
      </c>
    </row>
    <row r="378" spans="1:7">
      <c r="A378" t="s">
        <v>6</v>
      </c>
      <c r="B378" t="s">
        <v>387</v>
      </c>
      <c r="C378" t="s">
        <v>1189</v>
      </c>
      <c r="D378" t="s">
        <v>811</v>
      </c>
      <c r="E378" t="s">
        <v>5</v>
      </c>
      <c r="F378" s="3">
        <v>12.733333333333333</v>
      </c>
    </row>
    <row r="379" spans="1:7">
      <c r="A379" t="s">
        <v>6</v>
      </c>
      <c r="B379" t="s">
        <v>388</v>
      </c>
      <c r="C379" t="s">
        <v>1190</v>
      </c>
      <c r="D379" t="s">
        <v>811</v>
      </c>
      <c r="E379" t="s">
        <v>5</v>
      </c>
      <c r="F379" s="3">
        <v>13.158333333333333</v>
      </c>
    </row>
    <row r="380" spans="1:7">
      <c r="A380" t="s">
        <v>6</v>
      </c>
      <c r="B380" t="s">
        <v>389</v>
      </c>
      <c r="C380" t="s">
        <v>1191</v>
      </c>
      <c r="D380" t="s">
        <v>811</v>
      </c>
      <c r="E380" t="s">
        <v>5</v>
      </c>
      <c r="F380" s="3">
        <v>12.733333333333333</v>
      </c>
    </row>
    <row r="381" spans="1:7">
      <c r="A381" t="s">
        <v>6</v>
      </c>
      <c r="B381" t="s">
        <v>390</v>
      </c>
      <c r="C381" t="s">
        <v>1192</v>
      </c>
      <c r="D381" t="s">
        <v>811</v>
      </c>
      <c r="E381" t="s">
        <v>5</v>
      </c>
      <c r="F381" s="3">
        <v>12.241666666666667</v>
      </c>
    </row>
    <row r="382" spans="1:7">
      <c r="A382" t="s">
        <v>6</v>
      </c>
      <c r="B382" t="s">
        <v>391</v>
      </c>
      <c r="C382" t="s">
        <v>1193</v>
      </c>
      <c r="D382" t="s">
        <v>811</v>
      </c>
      <c r="E382" t="s">
        <v>5</v>
      </c>
      <c r="F382" s="3">
        <v>13.15</v>
      </c>
    </row>
    <row r="383" spans="1:7">
      <c r="A383" t="s">
        <v>6</v>
      </c>
      <c r="B383" t="s">
        <v>392</v>
      </c>
      <c r="C383" t="s">
        <v>1194</v>
      </c>
      <c r="D383" t="s">
        <v>811</v>
      </c>
      <c r="E383" t="s">
        <v>5</v>
      </c>
      <c r="F383" s="3">
        <v>24.358333333333334</v>
      </c>
      <c r="G383" s="1"/>
    </row>
    <row r="384" spans="1:7">
      <c r="A384" t="s">
        <v>7</v>
      </c>
      <c r="B384" t="s">
        <v>393</v>
      </c>
      <c r="C384" t="s">
        <v>1195</v>
      </c>
      <c r="D384" t="s">
        <v>811</v>
      </c>
      <c r="E384" t="s">
        <v>5</v>
      </c>
      <c r="F384" s="3">
        <v>39.716666666666669</v>
      </c>
      <c r="G384" s="1"/>
    </row>
    <row r="385" spans="1:7">
      <c r="A385" t="s">
        <v>9</v>
      </c>
      <c r="B385" t="s">
        <v>394</v>
      </c>
      <c r="C385" t="s">
        <v>1196</v>
      </c>
      <c r="D385" t="s">
        <v>811</v>
      </c>
      <c r="E385" t="s">
        <v>5</v>
      </c>
      <c r="F385" s="3">
        <v>26.875</v>
      </c>
    </row>
    <row r="386" spans="1:7">
      <c r="A386" t="s">
        <v>9</v>
      </c>
      <c r="B386" t="s">
        <v>395</v>
      </c>
      <c r="C386" t="s">
        <v>1197</v>
      </c>
      <c r="D386" t="s">
        <v>811</v>
      </c>
      <c r="E386" t="s">
        <v>5</v>
      </c>
      <c r="F386" s="3">
        <v>26.06666666666667</v>
      </c>
    </row>
    <row r="387" spans="1:7">
      <c r="A387" t="s">
        <v>6</v>
      </c>
      <c r="B387" t="s">
        <v>396</v>
      </c>
      <c r="C387" t="s">
        <v>1198</v>
      </c>
      <c r="D387" t="s">
        <v>811</v>
      </c>
      <c r="E387" t="s">
        <v>5</v>
      </c>
      <c r="F387" s="3">
        <v>7.3500000000000005</v>
      </c>
    </row>
    <row r="388" spans="1:7">
      <c r="A388" t="s">
        <v>6</v>
      </c>
      <c r="B388" t="s">
        <v>397</v>
      </c>
      <c r="C388" t="s">
        <v>1199</v>
      </c>
      <c r="D388" t="s">
        <v>811</v>
      </c>
      <c r="E388" t="s">
        <v>5</v>
      </c>
      <c r="F388" s="3">
        <v>31.191666666666666</v>
      </c>
    </row>
    <row r="389" spans="1:7">
      <c r="A389" t="s">
        <v>9</v>
      </c>
      <c r="B389" t="s">
        <v>398</v>
      </c>
      <c r="C389" t="s">
        <v>1200</v>
      </c>
      <c r="D389" t="s">
        <v>811</v>
      </c>
      <c r="E389" t="s">
        <v>5</v>
      </c>
      <c r="F389" s="3">
        <v>9.6333333333333346</v>
      </c>
    </row>
    <row r="390" spans="1:7">
      <c r="A390" t="s">
        <v>7</v>
      </c>
      <c r="B390" t="s">
        <v>399</v>
      </c>
      <c r="C390" t="s">
        <v>1201</v>
      </c>
      <c r="D390" t="s">
        <v>811</v>
      </c>
      <c r="E390" t="s">
        <v>5</v>
      </c>
      <c r="F390" s="3">
        <v>33.625</v>
      </c>
      <c r="G390" s="1"/>
    </row>
    <row r="391" spans="1:7">
      <c r="A391" t="s">
        <v>6</v>
      </c>
      <c r="B391" t="s">
        <v>400</v>
      </c>
      <c r="C391" t="s">
        <v>1202</v>
      </c>
      <c r="D391" t="s">
        <v>811</v>
      </c>
      <c r="E391" t="s">
        <v>5</v>
      </c>
      <c r="F391" s="3">
        <v>16.758333333333333</v>
      </c>
    </row>
    <row r="392" spans="1:7">
      <c r="A392" t="s">
        <v>7</v>
      </c>
      <c r="B392" t="s">
        <v>401</v>
      </c>
      <c r="C392" t="s">
        <v>1203</v>
      </c>
      <c r="D392" t="s">
        <v>811</v>
      </c>
      <c r="E392" t="s">
        <v>5</v>
      </c>
      <c r="F392" s="3">
        <v>17.100000000000001</v>
      </c>
    </row>
    <row r="393" spans="1:7">
      <c r="A393" t="s">
        <v>7</v>
      </c>
      <c r="B393" t="s">
        <v>402</v>
      </c>
      <c r="C393" t="s">
        <v>1204</v>
      </c>
      <c r="D393" t="s">
        <v>811</v>
      </c>
      <c r="E393" t="s">
        <v>5</v>
      </c>
      <c r="F393" s="3">
        <v>12.466666666666669</v>
      </c>
    </row>
    <row r="394" spans="1:7">
      <c r="A394" t="s">
        <v>9</v>
      </c>
      <c r="B394" t="s">
        <v>403</v>
      </c>
      <c r="C394" t="s">
        <v>1205</v>
      </c>
      <c r="D394" t="s">
        <v>811</v>
      </c>
      <c r="E394" t="s">
        <v>5</v>
      </c>
      <c r="F394" s="3">
        <v>20.141666666666669</v>
      </c>
    </row>
    <row r="395" spans="1:7">
      <c r="A395" t="s">
        <v>7</v>
      </c>
      <c r="B395" t="s">
        <v>404</v>
      </c>
      <c r="C395" t="s">
        <v>1206</v>
      </c>
      <c r="D395" t="s">
        <v>811</v>
      </c>
      <c r="E395" t="s">
        <v>5</v>
      </c>
      <c r="F395" s="3">
        <v>44.174999999999997</v>
      </c>
      <c r="G395" s="1"/>
    </row>
    <row r="396" spans="1:7">
      <c r="A396" t="s">
        <v>6</v>
      </c>
      <c r="B396" t="s">
        <v>405</v>
      </c>
      <c r="C396" t="s">
        <v>1207</v>
      </c>
      <c r="D396" t="s">
        <v>811</v>
      </c>
      <c r="E396" t="s">
        <v>5</v>
      </c>
      <c r="F396" s="3">
        <v>51.083333333333336</v>
      </c>
      <c r="G396" s="1"/>
    </row>
    <row r="397" spans="1:7">
      <c r="A397" t="s">
        <v>7</v>
      </c>
      <c r="B397" t="s">
        <v>406</v>
      </c>
      <c r="C397" t="s">
        <v>1208</v>
      </c>
      <c r="D397" t="s">
        <v>811</v>
      </c>
      <c r="E397" t="s">
        <v>5</v>
      </c>
      <c r="F397" s="3">
        <v>44.216666666666669</v>
      </c>
      <c r="G397" s="1"/>
    </row>
    <row r="398" spans="1:7">
      <c r="A398" t="s">
        <v>6</v>
      </c>
      <c r="B398" t="s">
        <v>407</v>
      </c>
      <c r="C398" t="s">
        <v>1209</v>
      </c>
      <c r="D398" t="s">
        <v>811</v>
      </c>
      <c r="E398" t="s">
        <v>5</v>
      </c>
      <c r="F398" s="3">
        <v>74.966666666666669</v>
      </c>
      <c r="G398" s="1"/>
    </row>
    <row r="399" spans="1:7">
      <c r="A399" t="s">
        <v>9</v>
      </c>
      <c r="B399" t="s">
        <v>408</v>
      </c>
      <c r="C399" t="s">
        <v>1210</v>
      </c>
      <c r="D399" t="s">
        <v>811</v>
      </c>
      <c r="E399" t="s">
        <v>5</v>
      </c>
      <c r="F399" s="3">
        <v>65.900000000000006</v>
      </c>
      <c r="G399" s="1"/>
    </row>
    <row r="400" spans="1:7">
      <c r="A400" t="s">
        <v>6</v>
      </c>
      <c r="B400" t="s">
        <v>409</v>
      </c>
      <c r="C400" t="s">
        <v>1211</v>
      </c>
      <c r="D400" t="s">
        <v>811</v>
      </c>
      <c r="E400" t="s">
        <v>5</v>
      </c>
      <c r="F400" s="3">
        <v>75.51666666666668</v>
      </c>
      <c r="G400" s="1"/>
    </row>
    <row r="401" spans="1:7">
      <c r="A401" t="s">
        <v>9</v>
      </c>
      <c r="B401" t="s">
        <v>410</v>
      </c>
      <c r="C401" t="s">
        <v>1212</v>
      </c>
      <c r="D401" t="s">
        <v>811</v>
      </c>
      <c r="E401" t="s">
        <v>5</v>
      </c>
      <c r="F401" s="3">
        <v>13.125</v>
      </c>
    </row>
    <row r="402" spans="1:7">
      <c r="A402" t="s">
        <v>9</v>
      </c>
      <c r="B402" t="s">
        <v>411</v>
      </c>
      <c r="C402" t="s">
        <v>1213</v>
      </c>
      <c r="D402" t="s">
        <v>811</v>
      </c>
      <c r="E402" t="s">
        <v>5</v>
      </c>
      <c r="F402" s="3">
        <v>13.850000000000001</v>
      </c>
    </row>
    <row r="403" spans="1:7">
      <c r="A403" t="s">
        <v>6</v>
      </c>
      <c r="B403" t="s">
        <v>412</v>
      </c>
      <c r="C403" t="s">
        <v>1214</v>
      </c>
      <c r="D403" t="s">
        <v>811</v>
      </c>
      <c r="E403" t="s">
        <v>5</v>
      </c>
      <c r="F403" s="3">
        <v>11.016666666666667</v>
      </c>
    </row>
    <row r="404" spans="1:7">
      <c r="A404" t="s">
        <v>9</v>
      </c>
      <c r="B404" t="s">
        <v>413</v>
      </c>
      <c r="C404" t="s">
        <v>1215</v>
      </c>
      <c r="D404" t="s">
        <v>811</v>
      </c>
      <c r="E404" t="s">
        <v>5</v>
      </c>
      <c r="F404" s="3">
        <v>10.475000000000001</v>
      </c>
    </row>
    <row r="405" spans="1:7">
      <c r="A405" t="s">
        <v>9</v>
      </c>
      <c r="B405" t="s">
        <v>414</v>
      </c>
      <c r="C405" t="s">
        <v>1216</v>
      </c>
      <c r="D405" t="s">
        <v>811</v>
      </c>
      <c r="E405" t="s">
        <v>5</v>
      </c>
      <c r="F405" s="3">
        <v>10.758333333333335</v>
      </c>
    </row>
    <row r="406" spans="1:7">
      <c r="A406" t="s">
        <v>7</v>
      </c>
      <c r="B406" t="s">
        <v>415</v>
      </c>
      <c r="C406" t="s">
        <v>1217</v>
      </c>
      <c r="D406" t="s">
        <v>811</v>
      </c>
      <c r="E406" t="s">
        <v>5</v>
      </c>
      <c r="F406" s="3">
        <v>11.591666666666667</v>
      </c>
    </row>
    <row r="407" spans="1:7">
      <c r="A407" t="s">
        <v>6</v>
      </c>
      <c r="B407" t="s">
        <v>416</v>
      </c>
      <c r="C407" t="s">
        <v>1218</v>
      </c>
      <c r="D407" t="s">
        <v>811</v>
      </c>
      <c r="E407" t="s">
        <v>5</v>
      </c>
      <c r="F407" s="3">
        <v>20.44166666666667</v>
      </c>
    </row>
    <row r="408" spans="1:7">
      <c r="A408" t="s">
        <v>9</v>
      </c>
      <c r="B408" t="s">
        <v>417</v>
      </c>
      <c r="C408" t="s">
        <v>1219</v>
      </c>
      <c r="D408" t="s">
        <v>811</v>
      </c>
      <c r="E408" t="s">
        <v>5</v>
      </c>
      <c r="F408" s="3">
        <v>20</v>
      </c>
    </row>
    <row r="409" spans="1:7">
      <c r="A409" t="s">
        <v>6</v>
      </c>
      <c r="B409" t="s">
        <v>418</v>
      </c>
      <c r="C409" t="s">
        <v>1220</v>
      </c>
      <c r="D409" t="s">
        <v>811</v>
      </c>
      <c r="E409" t="s">
        <v>5</v>
      </c>
      <c r="F409" s="3">
        <v>7.6166666666666671</v>
      </c>
    </row>
    <row r="410" spans="1:7">
      <c r="A410" t="s">
        <v>6</v>
      </c>
      <c r="B410" t="s">
        <v>419</v>
      </c>
      <c r="C410" t="s">
        <v>1221</v>
      </c>
      <c r="D410" t="s">
        <v>811</v>
      </c>
      <c r="E410" t="s">
        <v>5</v>
      </c>
      <c r="F410" s="3">
        <v>7.1</v>
      </c>
    </row>
    <row r="411" spans="1:7">
      <c r="A411" t="s">
        <v>7</v>
      </c>
      <c r="B411" t="s">
        <v>420</v>
      </c>
      <c r="C411" t="s">
        <v>1222</v>
      </c>
      <c r="D411" t="s">
        <v>811</v>
      </c>
      <c r="E411" t="s">
        <v>5</v>
      </c>
      <c r="F411" s="3">
        <v>13.849999999999998</v>
      </c>
    </row>
    <row r="412" spans="1:7">
      <c r="A412" t="s">
        <v>6</v>
      </c>
      <c r="B412" t="s">
        <v>421</v>
      </c>
      <c r="C412" t="s">
        <v>1223</v>
      </c>
      <c r="D412" t="s">
        <v>811</v>
      </c>
      <c r="E412" t="s">
        <v>5</v>
      </c>
      <c r="F412" s="3">
        <v>10.825000000000001</v>
      </c>
    </row>
    <row r="413" spans="1:7">
      <c r="A413" t="s">
        <v>9</v>
      </c>
      <c r="B413" t="s">
        <v>422</v>
      </c>
      <c r="C413" t="s">
        <v>1224</v>
      </c>
      <c r="D413" t="s">
        <v>811</v>
      </c>
      <c r="E413" t="s">
        <v>5</v>
      </c>
      <c r="F413" s="3">
        <v>79.166666666666671</v>
      </c>
      <c r="G413" s="1"/>
    </row>
    <row r="414" spans="1:7">
      <c r="A414" t="s">
        <v>9</v>
      </c>
      <c r="B414" t="s">
        <v>423</v>
      </c>
      <c r="C414" t="s">
        <v>1225</v>
      </c>
      <c r="D414" t="s">
        <v>811</v>
      </c>
      <c r="E414" t="s">
        <v>5</v>
      </c>
      <c r="F414" s="3">
        <v>10.825000000000001</v>
      </c>
    </row>
    <row r="415" spans="1:7">
      <c r="A415" t="s">
        <v>7</v>
      </c>
      <c r="B415" t="s">
        <v>424</v>
      </c>
      <c r="C415" t="s">
        <v>1226</v>
      </c>
      <c r="D415" t="s">
        <v>811</v>
      </c>
      <c r="E415" t="s">
        <v>5</v>
      </c>
      <c r="F415" s="3">
        <v>13.516666666666666</v>
      </c>
    </row>
    <row r="416" spans="1:7">
      <c r="A416" t="s">
        <v>7</v>
      </c>
      <c r="B416" t="s">
        <v>425</v>
      </c>
      <c r="C416" t="s">
        <v>1227</v>
      </c>
      <c r="D416" t="s">
        <v>811</v>
      </c>
      <c r="E416" t="s">
        <v>5</v>
      </c>
      <c r="F416" s="3">
        <v>8.75</v>
      </c>
    </row>
    <row r="417" spans="1:7">
      <c r="A417" t="s">
        <v>7</v>
      </c>
      <c r="B417" t="s">
        <v>426</v>
      </c>
      <c r="C417" t="s">
        <v>1228</v>
      </c>
      <c r="D417" t="s">
        <v>811</v>
      </c>
      <c r="E417" t="s">
        <v>5</v>
      </c>
      <c r="F417" s="3">
        <v>16.625</v>
      </c>
    </row>
    <row r="418" spans="1:7">
      <c r="A418" t="s">
        <v>9</v>
      </c>
      <c r="B418" t="s">
        <v>427</v>
      </c>
      <c r="C418" t="s">
        <v>1229</v>
      </c>
      <c r="D418" t="s">
        <v>811</v>
      </c>
      <c r="E418" t="s">
        <v>5</v>
      </c>
      <c r="F418" s="3">
        <v>26.783333333333335</v>
      </c>
    </row>
    <row r="419" spans="1:7">
      <c r="A419" t="s">
        <v>6</v>
      </c>
      <c r="B419" t="s">
        <v>428</v>
      </c>
      <c r="C419" t="s">
        <v>1230</v>
      </c>
      <c r="D419" t="s">
        <v>811</v>
      </c>
      <c r="E419" t="s">
        <v>5</v>
      </c>
      <c r="F419" s="3">
        <v>20.933333333333334</v>
      </c>
    </row>
    <row r="420" spans="1:7">
      <c r="A420" t="s">
        <v>9</v>
      </c>
      <c r="B420" t="s">
        <v>429</v>
      </c>
      <c r="C420" t="s">
        <v>1231</v>
      </c>
      <c r="D420" t="s">
        <v>811</v>
      </c>
      <c r="E420" t="s">
        <v>5</v>
      </c>
      <c r="F420" s="3">
        <v>37.708333333333336</v>
      </c>
      <c r="G420" s="1"/>
    </row>
    <row r="421" spans="1:7">
      <c r="A421" t="s">
        <v>9</v>
      </c>
      <c r="B421" t="s">
        <v>430</v>
      </c>
      <c r="C421" t="s">
        <v>1232</v>
      </c>
      <c r="D421" t="s">
        <v>811</v>
      </c>
      <c r="E421" t="s">
        <v>5</v>
      </c>
      <c r="F421" s="3">
        <v>45.225000000000001</v>
      </c>
      <c r="G421" s="1"/>
    </row>
    <row r="422" spans="1:7">
      <c r="A422" t="s">
        <v>9</v>
      </c>
      <c r="B422" t="s">
        <v>431</v>
      </c>
      <c r="C422" t="s">
        <v>1233</v>
      </c>
      <c r="D422" t="s">
        <v>811</v>
      </c>
      <c r="E422" t="s">
        <v>5</v>
      </c>
      <c r="F422" s="3">
        <v>55.524999999999999</v>
      </c>
      <c r="G422" s="1"/>
    </row>
    <row r="423" spans="1:7">
      <c r="A423" t="s">
        <v>6</v>
      </c>
      <c r="B423" t="s">
        <v>432</v>
      </c>
      <c r="C423" t="s">
        <v>1234</v>
      </c>
      <c r="D423" t="s">
        <v>811</v>
      </c>
      <c r="E423" t="s">
        <v>5</v>
      </c>
      <c r="F423" s="3">
        <v>82.5</v>
      </c>
      <c r="G423" s="1"/>
    </row>
    <row r="424" spans="1:7">
      <c r="A424" t="s">
        <v>9</v>
      </c>
      <c r="B424" t="s">
        <v>433</v>
      </c>
      <c r="C424" t="s">
        <v>1235</v>
      </c>
      <c r="D424" t="s">
        <v>811</v>
      </c>
      <c r="E424" t="s">
        <v>5</v>
      </c>
      <c r="F424" s="3">
        <v>37.633333333333333</v>
      </c>
      <c r="G424" s="1"/>
    </row>
    <row r="425" spans="1:7">
      <c r="A425" t="s">
        <v>9</v>
      </c>
      <c r="B425" t="s">
        <v>434</v>
      </c>
      <c r="C425" t="s">
        <v>1236</v>
      </c>
      <c r="D425" t="s">
        <v>811</v>
      </c>
      <c r="E425" t="s">
        <v>5</v>
      </c>
      <c r="F425" s="3">
        <v>24.966666666666669</v>
      </c>
      <c r="G425" s="1"/>
    </row>
    <row r="426" spans="1:7">
      <c r="A426" t="s">
        <v>6</v>
      </c>
      <c r="B426" t="s">
        <v>435</v>
      </c>
      <c r="C426" t="s">
        <v>1237</v>
      </c>
      <c r="D426" t="s">
        <v>811</v>
      </c>
      <c r="E426" t="s">
        <v>5</v>
      </c>
      <c r="F426" s="3">
        <v>46.108333333333334</v>
      </c>
      <c r="G426" s="1"/>
    </row>
    <row r="427" spans="1:7">
      <c r="A427" t="s">
        <v>7</v>
      </c>
      <c r="B427" t="s">
        <v>436</v>
      </c>
      <c r="C427" t="s">
        <v>1238</v>
      </c>
      <c r="D427" t="s">
        <v>811</v>
      </c>
      <c r="E427" t="s">
        <v>5</v>
      </c>
      <c r="F427" s="3">
        <v>5.3583333333333334</v>
      </c>
    </row>
    <row r="428" spans="1:7">
      <c r="A428" t="s">
        <v>7</v>
      </c>
      <c r="B428" t="s">
        <v>437</v>
      </c>
      <c r="C428" t="s">
        <v>1239</v>
      </c>
      <c r="D428" t="s">
        <v>811</v>
      </c>
      <c r="E428" t="s">
        <v>5</v>
      </c>
      <c r="F428" s="3">
        <v>6.8833333333333337</v>
      </c>
    </row>
    <row r="429" spans="1:7">
      <c r="A429" t="s">
        <v>7</v>
      </c>
      <c r="B429" t="s">
        <v>438</v>
      </c>
      <c r="C429" t="s">
        <v>1240</v>
      </c>
      <c r="D429" t="s">
        <v>811</v>
      </c>
      <c r="E429" t="s">
        <v>5</v>
      </c>
      <c r="F429" s="3">
        <v>6.3083333333333336</v>
      </c>
    </row>
    <row r="430" spans="1:7">
      <c r="A430" t="s">
        <v>6</v>
      </c>
      <c r="B430" t="s">
        <v>439</v>
      </c>
      <c r="C430" t="s">
        <v>1241</v>
      </c>
      <c r="D430" t="s">
        <v>811</v>
      </c>
      <c r="E430" t="s">
        <v>5</v>
      </c>
      <c r="F430" s="3">
        <v>7.458333333333333</v>
      </c>
    </row>
    <row r="431" spans="1:7">
      <c r="A431" t="s">
        <v>6</v>
      </c>
      <c r="B431" t="s">
        <v>440</v>
      </c>
      <c r="C431" t="s">
        <v>1242</v>
      </c>
      <c r="D431" t="s">
        <v>811</v>
      </c>
      <c r="E431" t="s">
        <v>5</v>
      </c>
      <c r="F431" s="3">
        <v>8.0166666666666675</v>
      </c>
    </row>
    <row r="432" spans="1:7">
      <c r="A432" t="s">
        <v>9</v>
      </c>
      <c r="B432" t="s">
        <v>441</v>
      </c>
      <c r="C432" t="s">
        <v>1243</v>
      </c>
      <c r="D432" t="s">
        <v>811</v>
      </c>
      <c r="E432" t="s">
        <v>5</v>
      </c>
      <c r="F432" s="3">
        <v>7.4749999999999996</v>
      </c>
    </row>
    <row r="433" spans="1:7">
      <c r="A433" t="s">
        <v>6</v>
      </c>
      <c r="B433" t="s">
        <v>442</v>
      </c>
      <c r="C433" t="s">
        <v>1244</v>
      </c>
      <c r="D433" t="s">
        <v>811</v>
      </c>
      <c r="E433" t="s">
        <v>5</v>
      </c>
      <c r="F433" s="3">
        <v>7.7333333333333343</v>
      </c>
    </row>
    <row r="434" spans="1:7">
      <c r="A434" t="s">
        <v>7</v>
      </c>
      <c r="B434" t="s">
        <v>443</v>
      </c>
      <c r="C434" t="s">
        <v>1245</v>
      </c>
      <c r="D434" t="s">
        <v>811</v>
      </c>
      <c r="E434" t="s">
        <v>5</v>
      </c>
      <c r="F434" s="3">
        <v>9.875</v>
      </c>
    </row>
    <row r="435" spans="1:7">
      <c r="A435" t="s">
        <v>9</v>
      </c>
      <c r="B435" t="s">
        <v>444</v>
      </c>
      <c r="C435" t="s">
        <v>1246</v>
      </c>
      <c r="D435" t="s">
        <v>811</v>
      </c>
      <c r="E435" t="s">
        <v>5</v>
      </c>
      <c r="F435" s="3">
        <v>8.6916666666666664</v>
      </c>
    </row>
    <row r="436" spans="1:7">
      <c r="A436" t="s">
        <v>9</v>
      </c>
      <c r="B436" t="s">
        <v>445</v>
      </c>
      <c r="C436" t="s">
        <v>1247</v>
      </c>
      <c r="D436" t="s">
        <v>811</v>
      </c>
      <c r="E436" t="s">
        <v>5</v>
      </c>
      <c r="F436" s="3">
        <v>11.633333333333335</v>
      </c>
    </row>
    <row r="437" spans="1:7">
      <c r="A437" t="s">
        <v>6</v>
      </c>
      <c r="B437" t="s">
        <v>446</v>
      </c>
      <c r="C437" t="s">
        <v>1248</v>
      </c>
      <c r="D437" t="s">
        <v>811</v>
      </c>
      <c r="E437" t="s">
        <v>5</v>
      </c>
      <c r="F437" s="3">
        <v>11.016666666666667</v>
      </c>
    </row>
    <row r="438" spans="1:7">
      <c r="A438" t="s">
        <v>9</v>
      </c>
      <c r="B438" t="s">
        <v>447</v>
      </c>
      <c r="C438" t="s">
        <v>1249</v>
      </c>
      <c r="D438" t="s">
        <v>811</v>
      </c>
      <c r="E438" t="s">
        <v>5</v>
      </c>
      <c r="F438" s="3">
        <v>40.375000000000007</v>
      </c>
      <c r="G438" s="1"/>
    </row>
    <row r="439" spans="1:7">
      <c r="A439" t="s">
        <v>9</v>
      </c>
      <c r="B439" t="s">
        <v>448</v>
      </c>
      <c r="C439" t="s">
        <v>1250</v>
      </c>
      <c r="D439" t="s">
        <v>811</v>
      </c>
      <c r="E439" t="s">
        <v>5</v>
      </c>
      <c r="F439" s="3">
        <v>12.041666666666666</v>
      </c>
    </row>
    <row r="440" spans="1:7">
      <c r="A440" t="s">
        <v>9</v>
      </c>
      <c r="B440" t="s">
        <v>449</v>
      </c>
      <c r="C440" t="s">
        <v>1251</v>
      </c>
      <c r="D440" t="s">
        <v>811</v>
      </c>
      <c r="E440" t="s">
        <v>5</v>
      </c>
      <c r="F440" s="3">
        <v>11.75</v>
      </c>
    </row>
    <row r="441" spans="1:7">
      <c r="A441" t="s">
        <v>9</v>
      </c>
      <c r="B441" t="s">
        <v>450</v>
      </c>
      <c r="C441" t="s">
        <v>1252</v>
      </c>
      <c r="D441" t="s">
        <v>811</v>
      </c>
      <c r="E441" t="s">
        <v>5</v>
      </c>
      <c r="F441" s="3">
        <v>13.35</v>
      </c>
    </row>
    <row r="442" spans="1:7">
      <c r="A442" t="s">
        <v>9</v>
      </c>
      <c r="B442" t="s">
        <v>451</v>
      </c>
      <c r="C442" t="s">
        <v>1253</v>
      </c>
      <c r="D442" t="s">
        <v>811</v>
      </c>
      <c r="E442" t="s">
        <v>5</v>
      </c>
      <c r="F442" s="3">
        <v>13.008333333333333</v>
      </c>
    </row>
    <row r="443" spans="1:7">
      <c r="A443" t="s">
        <v>9</v>
      </c>
      <c r="B443" t="s">
        <v>452</v>
      </c>
      <c r="C443" t="s">
        <v>1254</v>
      </c>
      <c r="D443" t="s">
        <v>811</v>
      </c>
      <c r="E443" t="s">
        <v>5</v>
      </c>
      <c r="F443" s="3">
        <v>17.94166666666667</v>
      </c>
    </row>
    <row r="444" spans="1:7">
      <c r="A444" t="s">
        <v>7</v>
      </c>
      <c r="B444" t="s">
        <v>453</v>
      </c>
      <c r="C444" t="s">
        <v>1255</v>
      </c>
      <c r="D444" t="s">
        <v>811</v>
      </c>
      <c r="E444" t="s">
        <v>5</v>
      </c>
      <c r="F444" s="3">
        <v>17.591666666666669</v>
      </c>
    </row>
    <row r="445" spans="1:7">
      <c r="A445" t="s">
        <v>6</v>
      </c>
      <c r="B445" t="s">
        <v>454</v>
      </c>
      <c r="C445" t="s">
        <v>1256</v>
      </c>
      <c r="D445" t="s">
        <v>811</v>
      </c>
      <c r="E445" t="s">
        <v>5</v>
      </c>
      <c r="F445" s="3">
        <v>11.166666666666668</v>
      </c>
    </row>
    <row r="446" spans="1:7">
      <c r="A446" t="s">
        <v>9</v>
      </c>
      <c r="B446" t="s">
        <v>455</v>
      </c>
      <c r="C446" t="s">
        <v>1257</v>
      </c>
      <c r="D446" t="s">
        <v>811</v>
      </c>
      <c r="E446" t="s">
        <v>5</v>
      </c>
      <c r="F446" s="3">
        <v>11.100000000000001</v>
      </c>
    </row>
    <row r="447" spans="1:7">
      <c r="A447" t="s">
        <v>9</v>
      </c>
      <c r="B447" t="s">
        <v>456</v>
      </c>
      <c r="C447" t="s">
        <v>1258</v>
      </c>
      <c r="D447" t="s">
        <v>811</v>
      </c>
      <c r="E447" t="s">
        <v>5</v>
      </c>
      <c r="F447" s="3">
        <v>12.700000000000001</v>
      </c>
    </row>
    <row r="448" spans="1:7">
      <c r="A448" t="s">
        <v>9</v>
      </c>
      <c r="B448" t="s">
        <v>457</v>
      </c>
      <c r="C448" t="s">
        <v>1259</v>
      </c>
      <c r="D448" t="s">
        <v>811</v>
      </c>
      <c r="E448" t="s">
        <v>5</v>
      </c>
      <c r="F448" s="3">
        <v>7.0166666666666666</v>
      </c>
    </row>
    <row r="449" spans="1:7">
      <c r="A449" t="s">
        <v>9</v>
      </c>
      <c r="B449" t="s">
        <v>458</v>
      </c>
      <c r="C449" t="s">
        <v>1260</v>
      </c>
      <c r="D449" t="s">
        <v>811</v>
      </c>
      <c r="E449" t="s">
        <v>5</v>
      </c>
      <c r="F449" s="3">
        <v>8.6416666666666657</v>
      </c>
    </row>
    <row r="450" spans="1:7">
      <c r="A450" t="s">
        <v>9</v>
      </c>
      <c r="B450" t="s">
        <v>459</v>
      </c>
      <c r="C450" t="s">
        <v>1261</v>
      </c>
      <c r="D450" t="s">
        <v>811</v>
      </c>
      <c r="E450" t="s">
        <v>5</v>
      </c>
      <c r="F450" s="3">
        <v>2.4083333333333337</v>
      </c>
    </row>
    <row r="451" spans="1:7">
      <c r="A451" t="s">
        <v>9</v>
      </c>
      <c r="B451" t="s">
        <v>460</v>
      </c>
      <c r="C451" t="s">
        <v>1262</v>
      </c>
      <c r="D451" t="s">
        <v>811</v>
      </c>
      <c r="E451" t="s">
        <v>5</v>
      </c>
      <c r="F451" s="3">
        <v>10.358333333333334</v>
      </c>
    </row>
    <row r="452" spans="1:7">
      <c r="A452" t="s">
        <v>6</v>
      </c>
      <c r="B452" t="s">
        <v>461</v>
      </c>
      <c r="C452" t="s">
        <v>1263</v>
      </c>
      <c r="D452" t="s">
        <v>811</v>
      </c>
      <c r="E452" t="s">
        <v>5</v>
      </c>
      <c r="F452" s="3">
        <v>2.4333333333333336</v>
      </c>
    </row>
    <row r="453" spans="1:7">
      <c r="A453" t="s">
        <v>9</v>
      </c>
      <c r="B453" t="s">
        <v>462</v>
      </c>
      <c r="C453" t="s">
        <v>1264</v>
      </c>
      <c r="D453" t="s">
        <v>811</v>
      </c>
      <c r="E453" t="s">
        <v>5</v>
      </c>
      <c r="F453" s="3">
        <v>15.3</v>
      </c>
    </row>
    <row r="454" spans="1:7">
      <c r="A454" t="s">
        <v>6</v>
      </c>
      <c r="B454" t="s">
        <v>463</v>
      </c>
      <c r="C454" t="s">
        <v>1265</v>
      </c>
      <c r="D454" t="s">
        <v>811</v>
      </c>
      <c r="E454" t="s">
        <v>5</v>
      </c>
      <c r="F454" s="3">
        <v>53.75</v>
      </c>
      <c r="G454" s="1"/>
    </row>
    <row r="455" spans="1:7">
      <c r="A455" t="s">
        <v>9</v>
      </c>
      <c r="B455" t="s">
        <v>464</v>
      </c>
      <c r="C455" t="s">
        <v>1266</v>
      </c>
      <c r="D455" t="s">
        <v>811</v>
      </c>
      <c r="E455" t="s">
        <v>5</v>
      </c>
      <c r="F455" s="3">
        <v>22.916666666666668</v>
      </c>
    </row>
    <row r="456" spans="1:7">
      <c r="A456" t="s">
        <v>6</v>
      </c>
      <c r="B456" t="s">
        <v>465</v>
      </c>
      <c r="C456" t="s">
        <v>1267</v>
      </c>
      <c r="D456" t="s">
        <v>811</v>
      </c>
      <c r="E456" t="s">
        <v>5</v>
      </c>
      <c r="F456" s="3">
        <v>22.916666666666668</v>
      </c>
    </row>
    <row r="457" spans="1:7">
      <c r="A457" t="s">
        <v>6</v>
      </c>
      <c r="B457" t="s">
        <v>466</v>
      </c>
      <c r="C457" t="s">
        <v>1268</v>
      </c>
      <c r="D457" t="s">
        <v>811</v>
      </c>
      <c r="E457" t="s">
        <v>5</v>
      </c>
      <c r="F457" s="3">
        <v>18.066666666666666</v>
      </c>
    </row>
    <row r="458" spans="1:7">
      <c r="A458" t="s">
        <v>6</v>
      </c>
      <c r="B458" t="s">
        <v>467</v>
      </c>
      <c r="C458" t="s">
        <v>1269</v>
      </c>
      <c r="D458" t="s">
        <v>811</v>
      </c>
      <c r="E458" t="s">
        <v>5</v>
      </c>
      <c r="F458" s="3">
        <v>29.233333333333334</v>
      </c>
      <c r="G458" s="1"/>
    </row>
    <row r="459" spans="1:7">
      <c r="A459" t="s">
        <v>6</v>
      </c>
      <c r="B459" t="s">
        <v>468</v>
      </c>
      <c r="C459" t="s">
        <v>1270</v>
      </c>
      <c r="D459" t="s">
        <v>811</v>
      </c>
      <c r="E459" t="s">
        <v>5</v>
      </c>
      <c r="F459" s="3">
        <v>29.233333333333334</v>
      </c>
      <c r="G459" s="1"/>
    </row>
    <row r="460" spans="1:7">
      <c r="A460" t="s">
        <v>6</v>
      </c>
      <c r="B460" t="s">
        <v>469</v>
      </c>
      <c r="C460" t="s">
        <v>1271</v>
      </c>
      <c r="D460" t="s">
        <v>811</v>
      </c>
      <c r="E460" t="s">
        <v>5</v>
      </c>
      <c r="F460" s="3">
        <v>5.7416666666666663</v>
      </c>
    </row>
    <row r="461" spans="1:7">
      <c r="A461" t="s">
        <v>6</v>
      </c>
      <c r="B461" t="s">
        <v>470</v>
      </c>
      <c r="C461" t="s">
        <v>1272</v>
      </c>
      <c r="D461" t="s">
        <v>811</v>
      </c>
      <c r="E461" t="s">
        <v>5</v>
      </c>
      <c r="F461" s="3">
        <v>15.691666666666666</v>
      </c>
    </row>
    <row r="462" spans="1:7">
      <c r="A462" t="s">
        <v>6</v>
      </c>
      <c r="B462" t="s">
        <v>471</v>
      </c>
      <c r="C462" t="s">
        <v>1273</v>
      </c>
      <c r="D462" t="s">
        <v>811</v>
      </c>
      <c r="E462" t="s">
        <v>5</v>
      </c>
      <c r="F462" s="3">
        <v>19.55</v>
      </c>
    </row>
    <row r="463" spans="1:7">
      <c r="A463" t="s">
        <v>9</v>
      </c>
      <c r="B463" t="s">
        <v>472</v>
      </c>
      <c r="C463" t="s">
        <v>1274</v>
      </c>
      <c r="D463" t="s">
        <v>811</v>
      </c>
      <c r="E463" t="s">
        <v>5</v>
      </c>
      <c r="F463" s="3">
        <v>16.183333333333337</v>
      </c>
    </row>
    <row r="464" spans="1:7">
      <c r="A464" t="s">
        <v>9</v>
      </c>
      <c r="B464" t="s">
        <v>473</v>
      </c>
      <c r="C464" t="s">
        <v>1275</v>
      </c>
      <c r="D464" t="s">
        <v>811</v>
      </c>
      <c r="E464" t="s">
        <v>5</v>
      </c>
      <c r="F464" s="3">
        <v>4.2250000000000005</v>
      </c>
    </row>
    <row r="465" spans="1:7">
      <c r="A465" t="s">
        <v>7</v>
      </c>
      <c r="B465" t="s">
        <v>474</v>
      </c>
      <c r="C465" t="s">
        <v>1276</v>
      </c>
      <c r="D465" t="s">
        <v>811</v>
      </c>
      <c r="E465" t="s">
        <v>5</v>
      </c>
      <c r="F465" s="3">
        <v>2.35</v>
      </c>
    </row>
    <row r="466" spans="1:7">
      <c r="A466" t="s">
        <v>9</v>
      </c>
      <c r="B466" t="s">
        <v>475</v>
      </c>
      <c r="C466" t="s">
        <v>1277</v>
      </c>
      <c r="D466" t="s">
        <v>811</v>
      </c>
      <c r="E466" t="s">
        <v>5</v>
      </c>
      <c r="F466" s="3">
        <v>21.541666666666668</v>
      </c>
    </row>
    <row r="467" spans="1:7">
      <c r="A467" t="s">
        <v>9</v>
      </c>
      <c r="B467" t="s">
        <v>476</v>
      </c>
      <c r="C467" t="s">
        <v>1278</v>
      </c>
      <c r="D467" t="s">
        <v>811</v>
      </c>
      <c r="E467" t="s">
        <v>5</v>
      </c>
      <c r="F467" s="3">
        <v>18.891666666666669</v>
      </c>
    </row>
    <row r="468" spans="1:7">
      <c r="A468" t="s">
        <v>9</v>
      </c>
      <c r="B468" t="s">
        <v>477</v>
      </c>
      <c r="C468" t="s">
        <v>1279</v>
      </c>
      <c r="D468" t="s">
        <v>811</v>
      </c>
      <c r="E468" t="s">
        <v>5</v>
      </c>
      <c r="F468" s="3">
        <v>18.241666666666667</v>
      </c>
    </row>
    <row r="469" spans="1:7">
      <c r="A469" t="s">
        <v>6</v>
      </c>
      <c r="B469" t="s">
        <v>478</v>
      </c>
      <c r="C469" t="s">
        <v>1280</v>
      </c>
      <c r="D469" t="s">
        <v>811</v>
      </c>
      <c r="E469" t="s">
        <v>5</v>
      </c>
      <c r="F469" s="3">
        <v>8.4</v>
      </c>
    </row>
    <row r="470" spans="1:7">
      <c r="A470" t="s">
        <v>9</v>
      </c>
      <c r="B470" t="s">
        <v>479</v>
      </c>
      <c r="C470" t="s">
        <v>1281</v>
      </c>
      <c r="D470" t="s">
        <v>811</v>
      </c>
      <c r="E470" t="s">
        <v>5</v>
      </c>
      <c r="F470" s="3">
        <v>7.3833333333333329</v>
      </c>
    </row>
    <row r="471" spans="1:7">
      <c r="A471" t="s">
        <v>9</v>
      </c>
      <c r="B471" t="s">
        <v>480</v>
      </c>
      <c r="C471" t="s">
        <v>1282</v>
      </c>
      <c r="D471" t="s">
        <v>811</v>
      </c>
      <c r="E471" t="s">
        <v>5</v>
      </c>
      <c r="F471" s="3">
        <v>24.683333333333334</v>
      </c>
      <c r="G471" s="1"/>
    </row>
    <row r="472" spans="1:7">
      <c r="A472" t="s">
        <v>6</v>
      </c>
      <c r="B472" t="s">
        <v>481</v>
      </c>
      <c r="C472" t="s">
        <v>1283</v>
      </c>
      <c r="D472" t="s">
        <v>811</v>
      </c>
      <c r="E472" t="s">
        <v>5</v>
      </c>
      <c r="F472" s="3">
        <v>21.958333333333336</v>
      </c>
    </row>
    <row r="473" spans="1:7">
      <c r="A473" t="s">
        <v>6</v>
      </c>
      <c r="B473" t="s">
        <v>482</v>
      </c>
      <c r="C473" t="s">
        <v>1284</v>
      </c>
      <c r="D473" t="s">
        <v>811</v>
      </c>
      <c r="E473" t="s">
        <v>5</v>
      </c>
      <c r="F473" s="3">
        <v>28.650000000000002</v>
      </c>
    </row>
    <row r="474" spans="1:7">
      <c r="A474" t="s">
        <v>9</v>
      </c>
      <c r="B474" t="s">
        <v>483</v>
      </c>
      <c r="C474" t="s">
        <v>1285</v>
      </c>
      <c r="D474" t="s">
        <v>811</v>
      </c>
      <c r="E474" t="s">
        <v>5</v>
      </c>
      <c r="F474" s="3">
        <v>11.35</v>
      </c>
    </row>
    <row r="475" spans="1:7">
      <c r="A475" t="s">
        <v>6</v>
      </c>
      <c r="B475" t="s">
        <v>484</v>
      </c>
      <c r="C475" t="s">
        <v>1286</v>
      </c>
      <c r="D475" t="s">
        <v>811</v>
      </c>
      <c r="E475" t="s">
        <v>5</v>
      </c>
      <c r="F475" s="3">
        <v>5.7416666666666663</v>
      </c>
    </row>
    <row r="476" spans="1:7">
      <c r="A476" t="s">
        <v>6</v>
      </c>
      <c r="B476" t="s">
        <v>485</v>
      </c>
      <c r="C476" t="s">
        <v>1287</v>
      </c>
      <c r="D476" t="s">
        <v>811</v>
      </c>
      <c r="E476" t="s">
        <v>5</v>
      </c>
      <c r="F476" s="3">
        <v>5.7416666666666663</v>
      </c>
    </row>
    <row r="477" spans="1:7">
      <c r="A477" t="s">
        <v>6</v>
      </c>
      <c r="B477" t="s">
        <v>486</v>
      </c>
      <c r="C477" t="s">
        <v>1288</v>
      </c>
      <c r="D477" t="s">
        <v>811</v>
      </c>
      <c r="E477" t="s">
        <v>5</v>
      </c>
      <c r="F477" s="3">
        <v>6.9333333333333336</v>
      </c>
    </row>
    <row r="478" spans="1:7">
      <c r="A478" t="s">
        <v>9</v>
      </c>
      <c r="B478" t="s">
        <v>487</v>
      </c>
      <c r="C478" t="s">
        <v>1289</v>
      </c>
      <c r="D478" t="s">
        <v>811</v>
      </c>
      <c r="E478" t="s">
        <v>5</v>
      </c>
      <c r="F478" s="3">
        <v>23.558333333333334</v>
      </c>
    </row>
    <row r="479" spans="1:7">
      <c r="A479" t="s">
        <v>6</v>
      </c>
      <c r="B479" t="s">
        <v>488</v>
      </c>
      <c r="C479" t="s">
        <v>1290</v>
      </c>
      <c r="D479" t="s">
        <v>811</v>
      </c>
      <c r="E479" t="s">
        <v>5</v>
      </c>
      <c r="F479" s="3">
        <v>13.841666666666667</v>
      </c>
    </row>
    <row r="480" spans="1:7">
      <c r="A480" t="s">
        <v>9</v>
      </c>
      <c r="B480" t="s">
        <v>489</v>
      </c>
      <c r="C480" t="s">
        <v>1291</v>
      </c>
      <c r="D480" t="s">
        <v>811</v>
      </c>
      <c r="E480" t="s">
        <v>5</v>
      </c>
      <c r="F480" s="3">
        <v>4.8583333333333334</v>
      </c>
    </row>
    <row r="481" spans="1:7">
      <c r="A481" t="s">
        <v>7</v>
      </c>
      <c r="B481" t="s">
        <v>490</v>
      </c>
      <c r="C481" t="s">
        <v>1292</v>
      </c>
      <c r="D481" t="s">
        <v>811</v>
      </c>
      <c r="E481" t="s">
        <v>5</v>
      </c>
      <c r="F481" s="3">
        <v>26.141666666666669</v>
      </c>
      <c r="G481" s="1"/>
    </row>
    <row r="482" spans="1:7">
      <c r="A482" t="s">
        <v>7</v>
      </c>
      <c r="B482" t="s">
        <v>491</v>
      </c>
      <c r="C482" t="s">
        <v>1293</v>
      </c>
      <c r="D482" t="s">
        <v>811</v>
      </c>
      <c r="E482" t="s">
        <v>5</v>
      </c>
      <c r="F482" s="3">
        <v>3.0333333333333332</v>
      </c>
    </row>
    <row r="483" spans="1:7">
      <c r="A483" t="s">
        <v>6</v>
      </c>
      <c r="B483" t="s">
        <v>492</v>
      </c>
      <c r="C483" t="s">
        <v>1294</v>
      </c>
      <c r="D483" t="s">
        <v>811</v>
      </c>
      <c r="E483" t="s">
        <v>5</v>
      </c>
      <c r="F483" s="3">
        <v>17.333333333333336</v>
      </c>
    </row>
    <row r="484" spans="1:7">
      <c r="A484" t="s">
        <v>9</v>
      </c>
      <c r="B484" t="s">
        <v>493</v>
      </c>
      <c r="C484" t="s">
        <v>1295</v>
      </c>
      <c r="D484" t="s">
        <v>811</v>
      </c>
      <c r="E484" t="s">
        <v>5</v>
      </c>
      <c r="F484" s="3">
        <v>4.9250000000000007</v>
      </c>
    </row>
    <row r="485" spans="1:7">
      <c r="A485" t="s">
        <v>9</v>
      </c>
      <c r="B485" t="s">
        <v>494</v>
      </c>
      <c r="C485" t="s">
        <v>1296</v>
      </c>
      <c r="D485" t="s">
        <v>811</v>
      </c>
      <c r="E485" t="s">
        <v>5</v>
      </c>
      <c r="F485" s="3">
        <v>3.6750000000000003</v>
      </c>
    </row>
    <row r="486" spans="1:7">
      <c r="A486" t="s">
        <v>9</v>
      </c>
      <c r="B486" t="s">
        <v>495</v>
      </c>
      <c r="C486" t="s">
        <v>1297</v>
      </c>
      <c r="D486" t="s">
        <v>811</v>
      </c>
      <c r="E486" t="s">
        <v>5</v>
      </c>
      <c r="F486" s="3">
        <v>3.7166666666666668</v>
      </c>
    </row>
    <row r="487" spans="1:7">
      <c r="A487" t="s">
        <v>9</v>
      </c>
      <c r="B487" t="s">
        <v>496</v>
      </c>
      <c r="C487" t="s">
        <v>1298</v>
      </c>
      <c r="D487" t="s">
        <v>811</v>
      </c>
      <c r="E487" t="s">
        <v>5</v>
      </c>
      <c r="F487" s="3">
        <v>5</v>
      </c>
    </row>
    <row r="488" spans="1:7">
      <c r="A488" t="s">
        <v>9</v>
      </c>
      <c r="B488" t="s">
        <v>497</v>
      </c>
      <c r="C488" t="s">
        <v>1299</v>
      </c>
      <c r="D488" t="s">
        <v>811</v>
      </c>
      <c r="E488" t="s">
        <v>5</v>
      </c>
      <c r="F488" s="3">
        <v>6.083333333333333</v>
      </c>
    </row>
    <row r="489" spans="1:7">
      <c r="A489" t="s">
        <v>9</v>
      </c>
      <c r="B489" t="s">
        <v>498</v>
      </c>
      <c r="C489" t="s">
        <v>1300</v>
      </c>
      <c r="D489" t="s">
        <v>811</v>
      </c>
      <c r="E489" t="s">
        <v>5</v>
      </c>
      <c r="F489" s="3">
        <v>6.4333333333333336</v>
      </c>
    </row>
    <row r="490" spans="1:7">
      <c r="A490" t="s">
        <v>9</v>
      </c>
      <c r="B490" t="s">
        <v>499</v>
      </c>
      <c r="C490" t="s">
        <v>1301</v>
      </c>
      <c r="D490" t="s">
        <v>811</v>
      </c>
      <c r="E490" t="s">
        <v>5</v>
      </c>
      <c r="F490" s="3">
        <v>7.25</v>
      </c>
    </row>
    <row r="491" spans="1:7">
      <c r="A491" t="s">
        <v>6</v>
      </c>
      <c r="B491" t="s">
        <v>500</v>
      </c>
      <c r="C491" t="s">
        <v>1302</v>
      </c>
      <c r="D491" t="s">
        <v>811</v>
      </c>
      <c r="E491" t="s">
        <v>5</v>
      </c>
      <c r="F491" s="3">
        <v>7.583333333333333</v>
      </c>
    </row>
    <row r="492" spans="1:7">
      <c r="A492" t="s">
        <v>9</v>
      </c>
      <c r="B492" t="s">
        <v>501</v>
      </c>
      <c r="C492" t="s">
        <v>1303</v>
      </c>
      <c r="D492" t="s">
        <v>811</v>
      </c>
      <c r="E492" t="s">
        <v>5</v>
      </c>
      <c r="F492" s="3">
        <v>9.4083333333333332</v>
      </c>
    </row>
    <row r="493" spans="1:7">
      <c r="A493" t="s">
        <v>9</v>
      </c>
      <c r="B493" t="s">
        <v>502</v>
      </c>
      <c r="C493" t="s">
        <v>1304</v>
      </c>
      <c r="D493" t="s">
        <v>811</v>
      </c>
      <c r="E493" t="s">
        <v>5</v>
      </c>
      <c r="F493" s="3">
        <v>9.3833333333333329</v>
      </c>
    </row>
    <row r="494" spans="1:7">
      <c r="A494" t="s">
        <v>6</v>
      </c>
      <c r="B494" t="s">
        <v>503</v>
      </c>
      <c r="C494" t="s">
        <v>1305</v>
      </c>
      <c r="D494" t="s">
        <v>811</v>
      </c>
      <c r="E494" t="s">
        <v>5</v>
      </c>
      <c r="F494" s="3">
        <v>10.691666666666666</v>
      </c>
    </row>
    <row r="495" spans="1:7">
      <c r="A495" t="s">
        <v>6</v>
      </c>
      <c r="B495" t="s">
        <v>504</v>
      </c>
      <c r="C495" t="s">
        <v>1306</v>
      </c>
      <c r="D495" t="s">
        <v>811</v>
      </c>
      <c r="E495" t="s">
        <v>5</v>
      </c>
      <c r="F495" s="3">
        <v>11.991666666666667</v>
      </c>
    </row>
    <row r="496" spans="1:7">
      <c r="A496" t="s">
        <v>9</v>
      </c>
      <c r="B496" t="s">
        <v>505</v>
      </c>
      <c r="C496" t="s">
        <v>1307</v>
      </c>
      <c r="D496" t="s">
        <v>811</v>
      </c>
      <c r="E496" t="s">
        <v>5</v>
      </c>
      <c r="F496" s="3">
        <v>12.925000000000001</v>
      </c>
    </row>
    <row r="497" spans="1:6">
      <c r="A497" t="s">
        <v>6</v>
      </c>
      <c r="B497" t="s">
        <v>506</v>
      </c>
      <c r="C497" t="s">
        <v>1308</v>
      </c>
      <c r="D497" t="s">
        <v>811</v>
      </c>
      <c r="E497" t="s">
        <v>5</v>
      </c>
      <c r="F497" s="3">
        <v>14.5</v>
      </c>
    </row>
    <row r="498" spans="1:6">
      <c r="A498" t="s">
        <v>7</v>
      </c>
      <c r="B498" t="s">
        <v>507</v>
      </c>
      <c r="C498" t="s">
        <v>1309</v>
      </c>
      <c r="D498" t="s">
        <v>811</v>
      </c>
      <c r="E498" t="s">
        <v>5</v>
      </c>
      <c r="F498" s="3">
        <v>23.833333333333336</v>
      </c>
    </row>
    <row r="499" spans="1:6">
      <c r="A499" t="s">
        <v>7</v>
      </c>
      <c r="B499" t="s">
        <v>508</v>
      </c>
      <c r="C499" t="s">
        <v>1310</v>
      </c>
      <c r="D499" t="s">
        <v>811</v>
      </c>
      <c r="E499" t="s">
        <v>5</v>
      </c>
      <c r="F499" s="3">
        <v>3.541666666666667</v>
      </c>
    </row>
    <row r="500" spans="1:6">
      <c r="A500" t="s">
        <v>7</v>
      </c>
      <c r="B500" t="s">
        <v>509</v>
      </c>
      <c r="C500" t="s">
        <v>1311</v>
      </c>
      <c r="D500" t="s">
        <v>811</v>
      </c>
      <c r="E500" t="s">
        <v>5</v>
      </c>
      <c r="F500" s="3">
        <v>3.6000000000000005</v>
      </c>
    </row>
    <row r="501" spans="1:6">
      <c r="A501" t="s">
        <v>6</v>
      </c>
      <c r="B501" t="s">
        <v>510</v>
      </c>
      <c r="C501" t="s">
        <v>1312</v>
      </c>
      <c r="D501" t="s">
        <v>811</v>
      </c>
      <c r="E501" t="s">
        <v>5</v>
      </c>
      <c r="F501" s="3">
        <v>3.9749999999999996</v>
      </c>
    </row>
    <row r="502" spans="1:6">
      <c r="A502" t="s">
        <v>7</v>
      </c>
      <c r="B502" t="s">
        <v>511</v>
      </c>
      <c r="C502" t="s">
        <v>1313</v>
      </c>
      <c r="D502" t="s">
        <v>811</v>
      </c>
      <c r="E502" t="s">
        <v>5</v>
      </c>
      <c r="F502" s="3">
        <v>4.3083333333333336</v>
      </c>
    </row>
    <row r="503" spans="1:6">
      <c r="A503" t="s">
        <v>9</v>
      </c>
      <c r="B503" t="s">
        <v>512</v>
      </c>
      <c r="C503" t="s">
        <v>1314</v>
      </c>
      <c r="D503" t="s">
        <v>811</v>
      </c>
      <c r="E503" t="s">
        <v>5</v>
      </c>
      <c r="F503" s="3">
        <v>4.5250000000000004</v>
      </c>
    </row>
    <row r="504" spans="1:6">
      <c r="A504" t="s">
        <v>9</v>
      </c>
      <c r="B504" t="s">
        <v>513</v>
      </c>
      <c r="C504" t="s">
        <v>1315</v>
      </c>
      <c r="D504" t="s">
        <v>811</v>
      </c>
      <c r="E504" t="s">
        <v>5</v>
      </c>
      <c r="F504" s="3">
        <v>5.166666666666667</v>
      </c>
    </row>
    <row r="505" spans="1:6">
      <c r="A505" t="s">
        <v>9</v>
      </c>
      <c r="B505" t="s">
        <v>514</v>
      </c>
      <c r="C505" t="s">
        <v>1316</v>
      </c>
      <c r="D505" t="s">
        <v>811</v>
      </c>
      <c r="E505" t="s">
        <v>5</v>
      </c>
      <c r="F505" s="3">
        <v>6.0750000000000002</v>
      </c>
    </row>
    <row r="506" spans="1:6">
      <c r="A506" t="s">
        <v>9</v>
      </c>
      <c r="B506" t="s">
        <v>515</v>
      </c>
      <c r="C506" t="s">
        <v>1317</v>
      </c>
      <c r="D506" t="s">
        <v>811</v>
      </c>
      <c r="E506" t="s">
        <v>5</v>
      </c>
      <c r="F506" s="3">
        <v>5.7500000000000009</v>
      </c>
    </row>
    <row r="507" spans="1:6">
      <c r="A507" t="s">
        <v>9</v>
      </c>
      <c r="B507" t="s">
        <v>516</v>
      </c>
      <c r="C507" t="s">
        <v>1318</v>
      </c>
      <c r="D507" t="s">
        <v>811</v>
      </c>
      <c r="E507" t="s">
        <v>5</v>
      </c>
      <c r="F507" s="3">
        <v>7.916666666666667</v>
      </c>
    </row>
    <row r="508" spans="1:6">
      <c r="A508" t="s">
        <v>6</v>
      </c>
      <c r="B508" t="s">
        <v>517</v>
      </c>
      <c r="C508" t="s">
        <v>1319</v>
      </c>
      <c r="D508" t="s">
        <v>811</v>
      </c>
      <c r="E508" t="s">
        <v>5</v>
      </c>
      <c r="F508" s="3">
        <v>8.4416666666666682</v>
      </c>
    </row>
    <row r="509" spans="1:6">
      <c r="A509" t="s">
        <v>9</v>
      </c>
      <c r="B509" t="s">
        <v>518</v>
      </c>
      <c r="C509" t="s">
        <v>1320</v>
      </c>
      <c r="D509" t="s">
        <v>811</v>
      </c>
      <c r="E509" t="s">
        <v>5</v>
      </c>
      <c r="F509" s="3">
        <v>12.758333333333335</v>
      </c>
    </row>
    <row r="510" spans="1:6">
      <c r="A510" t="s">
        <v>6</v>
      </c>
      <c r="B510" t="s">
        <v>519</v>
      </c>
      <c r="C510" t="s">
        <v>1321</v>
      </c>
      <c r="D510" t="s">
        <v>811</v>
      </c>
      <c r="E510" t="s">
        <v>5</v>
      </c>
      <c r="F510" s="3">
        <v>5.416666666666667</v>
      </c>
    </row>
    <row r="511" spans="1:6">
      <c r="A511" t="s">
        <v>7</v>
      </c>
      <c r="B511" t="s">
        <v>520</v>
      </c>
      <c r="C511" t="s">
        <v>1322</v>
      </c>
      <c r="D511" t="s">
        <v>811</v>
      </c>
      <c r="E511" t="s">
        <v>5</v>
      </c>
      <c r="F511" s="3">
        <v>5.1583333333333341</v>
      </c>
    </row>
    <row r="512" spans="1:6">
      <c r="A512" t="s">
        <v>7</v>
      </c>
      <c r="B512" t="s">
        <v>521</v>
      </c>
      <c r="C512" t="s">
        <v>1323</v>
      </c>
      <c r="D512" t="s">
        <v>811</v>
      </c>
      <c r="E512" t="s">
        <v>5</v>
      </c>
      <c r="F512" s="3">
        <v>5.8333333333333339</v>
      </c>
    </row>
    <row r="513" spans="1:7">
      <c r="A513" t="s">
        <v>9</v>
      </c>
      <c r="B513" t="s">
        <v>522</v>
      </c>
      <c r="C513" t="s">
        <v>1324</v>
      </c>
      <c r="D513" t="s">
        <v>811</v>
      </c>
      <c r="E513" t="s">
        <v>5</v>
      </c>
      <c r="F513" s="3">
        <v>7.1833333333333345</v>
      </c>
    </row>
    <row r="514" spans="1:7">
      <c r="A514" t="s">
        <v>9</v>
      </c>
      <c r="B514" t="s">
        <v>523</v>
      </c>
      <c r="C514" t="s">
        <v>1325</v>
      </c>
      <c r="D514" t="s">
        <v>811</v>
      </c>
      <c r="E514" t="s">
        <v>5</v>
      </c>
      <c r="F514" s="3">
        <v>7.9916666666666671</v>
      </c>
    </row>
    <row r="515" spans="1:7">
      <c r="A515" t="s">
        <v>6</v>
      </c>
      <c r="B515" t="s">
        <v>524</v>
      </c>
      <c r="C515" t="s">
        <v>1326</v>
      </c>
      <c r="D515" t="s">
        <v>811</v>
      </c>
      <c r="E515" t="s">
        <v>5</v>
      </c>
      <c r="F515" s="3">
        <v>11.833333333333334</v>
      </c>
    </row>
    <row r="516" spans="1:7">
      <c r="A516" t="s">
        <v>6</v>
      </c>
      <c r="B516" t="s">
        <v>525</v>
      </c>
      <c r="C516" t="s">
        <v>1327</v>
      </c>
      <c r="D516" t="s">
        <v>811</v>
      </c>
      <c r="E516" t="s">
        <v>5</v>
      </c>
      <c r="F516" s="3">
        <v>14.708333333333332</v>
      </c>
    </row>
    <row r="517" spans="1:7">
      <c r="A517" t="s">
        <v>9</v>
      </c>
      <c r="B517" t="s">
        <v>526</v>
      </c>
      <c r="C517" t="s">
        <v>1328</v>
      </c>
      <c r="D517" t="s">
        <v>811</v>
      </c>
      <c r="E517" t="s">
        <v>5</v>
      </c>
      <c r="F517" s="3">
        <v>18.441666666666666</v>
      </c>
    </row>
    <row r="518" spans="1:7">
      <c r="A518" t="s">
        <v>6</v>
      </c>
      <c r="B518" t="s">
        <v>527</v>
      </c>
      <c r="C518" t="s">
        <v>1329</v>
      </c>
      <c r="D518" t="s">
        <v>811</v>
      </c>
      <c r="E518" t="s">
        <v>5</v>
      </c>
      <c r="F518" s="3">
        <v>12.15</v>
      </c>
    </row>
    <row r="519" spans="1:7">
      <c r="A519" t="s">
        <v>6</v>
      </c>
      <c r="B519" t="s">
        <v>528</v>
      </c>
      <c r="C519" t="s">
        <v>1330</v>
      </c>
      <c r="D519" t="s">
        <v>811</v>
      </c>
      <c r="E519" t="s">
        <v>5</v>
      </c>
      <c r="F519" s="3">
        <v>27.94166666666667</v>
      </c>
    </row>
    <row r="520" spans="1:7">
      <c r="A520" t="s">
        <v>6</v>
      </c>
      <c r="B520" t="s">
        <v>529</v>
      </c>
      <c r="C520" t="s">
        <v>1331</v>
      </c>
      <c r="D520" t="s">
        <v>811</v>
      </c>
      <c r="E520" t="s">
        <v>5</v>
      </c>
      <c r="F520" s="3">
        <v>45.774999999999999</v>
      </c>
      <c r="G520" s="1"/>
    </row>
    <row r="521" spans="1:7">
      <c r="A521" t="s">
        <v>7</v>
      </c>
      <c r="B521" t="s">
        <v>530</v>
      </c>
      <c r="C521" t="s">
        <v>1332</v>
      </c>
      <c r="D521" t="s">
        <v>811</v>
      </c>
      <c r="E521" t="s">
        <v>5</v>
      </c>
      <c r="F521" s="3">
        <v>2.7166666666666668</v>
      </c>
    </row>
    <row r="522" spans="1:7">
      <c r="A522" t="s">
        <v>6</v>
      </c>
      <c r="B522" t="s">
        <v>531</v>
      </c>
      <c r="C522" t="s">
        <v>1333</v>
      </c>
      <c r="D522" t="s">
        <v>811</v>
      </c>
      <c r="E522" t="s">
        <v>5</v>
      </c>
      <c r="F522" s="3">
        <v>4.7416666666666663</v>
      </c>
    </row>
    <row r="523" spans="1:7">
      <c r="A523" t="s">
        <v>6</v>
      </c>
      <c r="B523" t="s">
        <v>532</v>
      </c>
      <c r="C523" t="s">
        <v>1334</v>
      </c>
      <c r="D523" t="s">
        <v>811</v>
      </c>
      <c r="E523" t="s">
        <v>5</v>
      </c>
      <c r="F523" s="3">
        <v>5.3583333333333334</v>
      </c>
    </row>
    <row r="524" spans="1:7">
      <c r="A524" t="s">
        <v>7</v>
      </c>
      <c r="B524" t="s">
        <v>533</v>
      </c>
      <c r="C524" t="s">
        <v>1335</v>
      </c>
      <c r="D524" t="s">
        <v>811</v>
      </c>
      <c r="E524" t="s">
        <v>5</v>
      </c>
      <c r="F524" s="3">
        <v>5.6</v>
      </c>
    </row>
    <row r="525" spans="1:7">
      <c r="A525" t="s">
        <v>6</v>
      </c>
      <c r="B525" t="s">
        <v>534</v>
      </c>
      <c r="C525" t="s">
        <v>1336</v>
      </c>
      <c r="D525" t="s">
        <v>811</v>
      </c>
      <c r="E525" t="s">
        <v>5</v>
      </c>
      <c r="F525" s="3">
        <v>6.3416666666666668</v>
      </c>
    </row>
    <row r="526" spans="1:7">
      <c r="A526" t="s">
        <v>7</v>
      </c>
      <c r="B526" t="s">
        <v>535</v>
      </c>
      <c r="C526" t="s">
        <v>1337</v>
      </c>
      <c r="D526" t="s">
        <v>811</v>
      </c>
      <c r="E526" t="s">
        <v>5</v>
      </c>
      <c r="F526" s="3">
        <v>7.2666666666666657</v>
      </c>
    </row>
    <row r="527" spans="1:7">
      <c r="A527" t="s">
        <v>9</v>
      </c>
      <c r="B527" t="s">
        <v>536</v>
      </c>
      <c r="C527" t="s">
        <v>1338</v>
      </c>
      <c r="D527" t="s">
        <v>811</v>
      </c>
      <c r="E527" t="s">
        <v>5</v>
      </c>
      <c r="F527" s="3">
        <v>8.7416666666666671</v>
      </c>
    </row>
    <row r="528" spans="1:7">
      <c r="A528" t="s">
        <v>9</v>
      </c>
      <c r="B528" t="s">
        <v>537</v>
      </c>
      <c r="C528" t="s">
        <v>1339</v>
      </c>
      <c r="D528" t="s">
        <v>811</v>
      </c>
      <c r="E528" t="s">
        <v>5</v>
      </c>
      <c r="F528" s="3">
        <v>9.7083333333333339</v>
      </c>
    </row>
    <row r="529" spans="1:7">
      <c r="A529" t="s">
        <v>7</v>
      </c>
      <c r="B529" t="s">
        <v>538</v>
      </c>
      <c r="C529" t="s">
        <v>1340</v>
      </c>
      <c r="D529" t="s">
        <v>811</v>
      </c>
      <c r="E529" t="s">
        <v>5</v>
      </c>
      <c r="F529" s="3">
        <v>4.916666666666667</v>
      </c>
    </row>
    <row r="530" spans="1:7">
      <c r="A530" t="s">
        <v>9</v>
      </c>
      <c r="B530" t="s">
        <v>539</v>
      </c>
      <c r="C530" t="s">
        <v>1341</v>
      </c>
      <c r="D530" t="s">
        <v>811</v>
      </c>
      <c r="E530" t="s">
        <v>5</v>
      </c>
      <c r="F530" s="3">
        <v>6.8416666666666677</v>
      </c>
    </row>
    <row r="531" spans="1:7">
      <c r="A531" t="s">
        <v>7</v>
      </c>
      <c r="B531" t="s">
        <v>540</v>
      </c>
      <c r="C531" t="s">
        <v>1342</v>
      </c>
      <c r="D531" t="s">
        <v>811</v>
      </c>
      <c r="E531" t="s">
        <v>5</v>
      </c>
      <c r="F531" s="3">
        <v>14.508333333333335</v>
      </c>
    </row>
    <row r="532" spans="1:7">
      <c r="A532" t="s">
        <v>7</v>
      </c>
      <c r="B532" t="s">
        <v>541</v>
      </c>
      <c r="C532" t="s">
        <v>1343</v>
      </c>
      <c r="D532" t="s">
        <v>811</v>
      </c>
      <c r="E532" t="s">
        <v>5</v>
      </c>
      <c r="F532" s="3">
        <v>14.3</v>
      </c>
    </row>
    <row r="533" spans="1:7">
      <c r="A533" t="s">
        <v>7</v>
      </c>
      <c r="B533" t="s">
        <v>542</v>
      </c>
      <c r="C533" t="s">
        <v>1344</v>
      </c>
      <c r="D533" t="s">
        <v>811</v>
      </c>
      <c r="E533" t="s">
        <v>5</v>
      </c>
      <c r="F533" s="3">
        <v>30.983333333333334</v>
      </c>
    </row>
    <row r="534" spans="1:7">
      <c r="A534" t="s">
        <v>6</v>
      </c>
      <c r="B534" t="s">
        <v>543</v>
      </c>
      <c r="C534" t="s">
        <v>1345</v>
      </c>
      <c r="D534" t="s">
        <v>811</v>
      </c>
      <c r="E534" t="s">
        <v>5</v>
      </c>
      <c r="F534" s="3">
        <v>9.1583333333333332</v>
      </c>
    </row>
    <row r="535" spans="1:7">
      <c r="A535" t="s">
        <v>9</v>
      </c>
      <c r="B535" t="s">
        <v>544</v>
      </c>
      <c r="C535" t="s">
        <v>1346</v>
      </c>
      <c r="D535" t="s">
        <v>811</v>
      </c>
      <c r="E535" t="s">
        <v>5</v>
      </c>
      <c r="F535" s="3">
        <v>13.483333333333334</v>
      </c>
    </row>
    <row r="536" spans="1:7">
      <c r="A536" t="s">
        <v>6</v>
      </c>
      <c r="B536" t="s">
        <v>545</v>
      </c>
      <c r="C536" t="s">
        <v>1347</v>
      </c>
      <c r="D536" t="s">
        <v>811</v>
      </c>
      <c r="E536" t="s">
        <v>5</v>
      </c>
      <c r="F536" s="3">
        <v>20.791666666666668</v>
      </c>
    </row>
    <row r="537" spans="1:7">
      <c r="A537" t="s">
        <v>9</v>
      </c>
      <c r="B537" t="s">
        <v>546</v>
      </c>
      <c r="C537" t="s">
        <v>1348</v>
      </c>
      <c r="D537" t="s">
        <v>811</v>
      </c>
      <c r="E537" t="s">
        <v>5</v>
      </c>
      <c r="F537" s="3">
        <v>16.375</v>
      </c>
    </row>
    <row r="538" spans="1:7">
      <c r="A538" t="s">
        <v>9</v>
      </c>
      <c r="B538" t="s">
        <v>547</v>
      </c>
      <c r="C538" t="s">
        <v>1349</v>
      </c>
      <c r="D538" t="s">
        <v>811</v>
      </c>
      <c r="E538" t="s">
        <v>5</v>
      </c>
      <c r="F538" s="3">
        <v>22.324999999999999</v>
      </c>
    </row>
    <row r="539" spans="1:7">
      <c r="A539" t="s">
        <v>9</v>
      </c>
      <c r="B539" t="s">
        <v>548</v>
      </c>
      <c r="C539" t="s">
        <v>1350</v>
      </c>
      <c r="D539" t="s">
        <v>811</v>
      </c>
      <c r="E539" t="s">
        <v>5</v>
      </c>
      <c r="F539" s="3">
        <v>24.475000000000001</v>
      </c>
    </row>
    <row r="540" spans="1:7">
      <c r="A540" t="s">
        <v>9</v>
      </c>
      <c r="B540" t="s">
        <v>549</v>
      </c>
      <c r="C540" t="s">
        <v>1351</v>
      </c>
      <c r="D540" t="s">
        <v>811</v>
      </c>
      <c r="E540" t="s">
        <v>5</v>
      </c>
      <c r="F540" s="3">
        <v>31.483333333333334</v>
      </c>
      <c r="G540" s="1"/>
    </row>
    <row r="541" spans="1:7">
      <c r="A541" t="s">
        <v>6</v>
      </c>
      <c r="B541" t="s">
        <v>550</v>
      </c>
      <c r="C541" t="s">
        <v>1352</v>
      </c>
      <c r="D541" t="s">
        <v>811</v>
      </c>
      <c r="E541" t="s">
        <v>5</v>
      </c>
      <c r="F541" s="3">
        <v>63.19166666666667</v>
      </c>
      <c r="G541" s="1"/>
    </row>
    <row r="542" spans="1:7">
      <c r="A542" t="s">
        <v>6</v>
      </c>
      <c r="B542" t="s">
        <v>551</v>
      </c>
      <c r="C542" t="s">
        <v>1353</v>
      </c>
      <c r="D542" t="s">
        <v>811</v>
      </c>
      <c r="E542" t="s">
        <v>5</v>
      </c>
      <c r="F542" s="3">
        <v>2.3666666666666667</v>
      </c>
    </row>
    <row r="543" spans="1:7">
      <c r="A543" t="s">
        <v>6</v>
      </c>
      <c r="B543" t="s">
        <v>552</v>
      </c>
      <c r="C543" t="s">
        <v>1354</v>
      </c>
      <c r="D543" t="s">
        <v>811</v>
      </c>
      <c r="E543" t="s">
        <v>5</v>
      </c>
      <c r="F543" s="3">
        <v>2.8416666666666668</v>
      </c>
    </row>
    <row r="544" spans="1:7">
      <c r="A544" t="s">
        <v>6</v>
      </c>
      <c r="B544" t="s">
        <v>553</v>
      </c>
      <c r="C544" t="s">
        <v>1355</v>
      </c>
      <c r="D544" t="s">
        <v>811</v>
      </c>
      <c r="E544" t="s">
        <v>5</v>
      </c>
      <c r="F544" s="3">
        <v>4.0750000000000011</v>
      </c>
    </row>
    <row r="545" spans="1:6">
      <c r="A545" t="s">
        <v>9</v>
      </c>
      <c r="B545" t="s">
        <v>554</v>
      </c>
      <c r="C545" t="s">
        <v>1356</v>
      </c>
      <c r="D545" t="s">
        <v>811</v>
      </c>
      <c r="E545" t="s">
        <v>5</v>
      </c>
      <c r="F545" s="3">
        <v>4.1333333333333337</v>
      </c>
    </row>
    <row r="546" spans="1:6">
      <c r="A546" t="s">
        <v>9</v>
      </c>
      <c r="B546" t="s">
        <v>555</v>
      </c>
      <c r="C546" t="s">
        <v>1357</v>
      </c>
      <c r="D546" t="s">
        <v>811</v>
      </c>
      <c r="E546" t="s">
        <v>5</v>
      </c>
      <c r="F546" s="3">
        <v>4.5083333333333337</v>
      </c>
    </row>
    <row r="547" spans="1:6">
      <c r="A547" t="s">
        <v>6</v>
      </c>
      <c r="B547" t="s">
        <v>556</v>
      </c>
      <c r="C547" t="s">
        <v>1358</v>
      </c>
      <c r="D547" t="s">
        <v>811</v>
      </c>
      <c r="E547" t="s">
        <v>5</v>
      </c>
      <c r="F547" s="3">
        <v>4.1166666666666663</v>
      </c>
    </row>
    <row r="548" spans="1:6">
      <c r="A548" t="s">
        <v>6</v>
      </c>
      <c r="B548" t="s">
        <v>557</v>
      </c>
      <c r="C548" t="s">
        <v>1359</v>
      </c>
      <c r="D548" t="s">
        <v>811</v>
      </c>
      <c r="E548" t="s">
        <v>5</v>
      </c>
      <c r="F548" s="3">
        <v>3.8666666666666671</v>
      </c>
    </row>
    <row r="549" spans="1:6">
      <c r="A549" t="s">
        <v>6</v>
      </c>
      <c r="B549" t="s">
        <v>558</v>
      </c>
      <c r="C549" t="s">
        <v>1360</v>
      </c>
      <c r="D549" t="s">
        <v>811</v>
      </c>
      <c r="E549" t="s">
        <v>5</v>
      </c>
      <c r="F549" s="3">
        <v>5.9750000000000005</v>
      </c>
    </row>
    <row r="550" spans="1:6">
      <c r="A550" t="s">
        <v>6</v>
      </c>
      <c r="B550" t="s">
        <v>559</v>
      </c>
      <c r="C550" t="s">
        <v>1361</v>
      </c>
      <c r="D550" t="s">
        <v>811</v>
      </c>
      <c r="E550" t="s">
        <v>5</v>
      </c>
      <c r="F550" s="3">
        <v>7.4083333333333341</v>
      </c>
    </row>
    <row r="551" spans="1:6">
      <c r="A551" t="s">
        <v>6</v>
      </c>
      <c r="B551" t="s">
        <v>560</v>
      </c>
      <c r="C551" t="s">
        <v>1362</v>
      </c>
      <c r="D551" t="s">
        <v>811</v>
      </c>
      <c r="E551" t="s">
        <v>5</v>
      </c>
      <c r="F551" s="3">
        <v>2.5583333333333336</v>
      </c>
    </row>
    <row r="552" spans="1:6">
      <c r="A552" t="s">
        <v>9</v>
      </c>
      <c r="B552" t="s">
        <v>561</v>
      </c>
      <c r="C552" t="s">
        <v>1363</v>
      </c>
      <c r="D552" t="s">
        <v>811</v>
      </c>
      <c r="E552" t="s">
        <v>5</v>
      </c>
      <c r="F552" s="3">
        <v>6.5750000000000002</v>
      </c>
    </row>
    <row r="553" spans="1:6">
      <c r="A553" t="s">
        <v>9</v>
      </c>
      <c r="B553" t="s">
        <v>562</v>
      </c>
      <c r="C553" t="s">
        <v>1364</v>
      </c>
      <c r="D553" t="s">
        <v>811</v>
      </c>
      <c r="E553" t="s">
        <v>5</v>
      </c>
      <c r="F553" s="3">
        <v>6.416666666666667</v>
      </c>
    </row>
    <row r="554" spans="1:6">
      <c r="A554" t="s">
        <v>9</v>
      </c>
      <c r="B554" t="s">
        <v>563</v>
      </c>
      <c r="C554" t="s">
        <v>1365</v>
      </c>
      <c r="D554" t="s">
        <v>811</v>
      </c>
      <c r="E554" t="s">
        <v>5</v>
      </c>
      <c r="F554" s="3">
        <v>5.7833333333333341</v>
      </c>
    </row>
    <row r="555" spans="1:6">
      <c r="A555" t="s">
        <v>9</v>
      </c>
      <c r="B555" t="s">
        <v>564</v>
      </c>
      <c r="C555" t="s">
        <v>1366</v>
      </c>
      <c r="D555" t="s">
        <v>811</v>
      </c>
      <c r="E555" t="s">
        <v>5</v>
      </c>
      <c r="F555" s="3">
        <v>8.2916666666666661</v>
      </c>
    </row>
    <row r="556" spans="1:6">
      <c r="A556" t="s">
        <v>6</v>
      </c>
      <c r="B556" t="s">
        <v>565</v>
      </c>
      <c r="C556" t="s">
        <v>1367</v>
      </c>
      <c r="D556" t="s">
        <v>811</v>
      </c>
      <c r="E556" t="s">
        <v>5</v>
      </c>
      <c r="F556" s="3">
        <v>9.5416666666666661</v>
      </c>
    </row>
    <row r="557" spans="1:6">
      <c r="A557" t="s">
        <v>6</v>
      </c>
      <c r="B557" t="s">
        <v>566</v>
      </c>
      <c r="C557" t="s">
        <v>1368</v>
      </c>
      <c r="D557" t="s">
        <v>811</v>
      </c>
      <c r="E557" t="s">
        <v>5</v>
      </c>
      <c r="F557" s="3">
        <v>24.091666666666669</v>
      </c>
    </row>
    <row r="558" spans="1:6">
      <c r="A558" t="s">
        <v>9</v>
      </c>
      <c r="B558" t="s">
        <v>567</v>
      </c>
      <c r="C558" t="s">
        <v>1369</v>
      </c>
      <c r="D558" t="s">
        <v>811</v>
      </c>
      <c r="E558" t="s">
        <v>5</v>
      </c>
      <c r="F558" s="3">
        <v>7.2250000000000005</v>
      </c>
    </row>
    <row r="559" spans="1:6">
      <c r="A559" t="s">
        <v>9</v>
      </c>
      <c r="B559" t="s">
        <v>568</v>
      </c>
      <c r="C559" t="s">
        <v>1370</v>
      </c>
      <c r="D559" t="s">
        <v>811</v>
      </c>
      <c r="E559" t="s">
        <v>5</v>
      </c>
      <c r="F559" s="3">
        <v>7.2583333333333346</v>
      </c>
    </row>
    <row r="560" spans="1:6">
      <c r="A560" t="s">
        <v>9</v>
      </c>
      <c r="B560" t="s">
        <v>569</v>
      </c>
      <c r="C560" t="s">
        <v>1371</v>
      </c>
      <c r="D560" t="s">
        <v>811</v>
      </c>
      <c r="E560" t="s">
        <v>5</v>
      </c>
      <c r="F560" s="3">
        <v>9.7083333333333339</v>
      </c>
    </row>
    <row r="561" spans="1:7">
      <c r="A561" t="s">
        <v>9</v>
      </c>
      <c r="B561" t="s">
        <v>570</v>
      </c>
      <c r="C561" t="s">
        <v>1372</v>
      </c>
      <c r="D561" t="s">
        <v>811</v>
      </c>
      <c r="E561" t="s">
        <v>5</v>
      </c>
      <c r="F561" s="3">
        <v>11.941666666666666</v>
      </c>
    </row>
    <row r="562" spans="1:7">
      <c r="A562" t="s">
        <v>6</v>
      </c>
      <c r="B562" t="s">
        <v>571</v>
      </c>
      <c r="C562" t="s">
        <v>1373</v>
      </c>
      <c r="D562" t="s">
        <v>811</v>
      </c>
      <c r="E562" t="s">
        <v>5</v>
      </c>
      <c r="F562" s="3">
        <v>13.549999999999999</v>
      </c>
    </row>
    <row r="563" spans="1:7">
      <c r="A563" t="s">
        <v>9</v>
      </c>
      <c r="B563" t="s">
        <v>572</v>
      </c>
      <c r="C563" t="s">
        <v>1374</v>
      </c>
      <c r="D563" t="s">
        <v>811</v>
      </c>
      <c r="E563" t="s">
        <v>5</v>
      </c>
      <c r="F563" s="3">
        <v>17.966666666666665</v>
      </c>
    </row>
    <row r="564" spans="1:7">
      <c r="A564" t="s">
        <v>9</v>
      </c>
      <c r="B564" t="s">
        <v>573</v>
      </c>
      <c r="C564" t="s">
        <v>1375</v>
      </c>
      <c r="D564" t="s">
        <v>811</v>
      </c>
      <c r="E564" t="s">
        <v>5</v>
      </c>
      <c r="F564" s="3">
        <v>9.0750000000000011</v>
      </c>
    </row>
    <row r="565" spans="1:7">
      <c r="A565" t="s">
        <v>6</v>
      </c>
      <c r="B565" t="s">
        <v>574</v>
      </c>
      <c r="C565" t="s">
        <v>1376</v>
      </c>
      <c r="D565" t="s">
        <v>811</v>
      </c>
      <c r="E565" t="s">
        <v>5</v>
      </c>
      <c r="F565" s="3">
        <v>9.0083333333333346</v>
      </c>
    </row>
    <row r="566" spans="1:7">
      <c r="A566" t="s">
        <v>9</v>
      </c>
      <c r="B566" t="s">
        <v>575</v>
      </c>
      <c r="C566" t="s">
        <v>1377</v>
      </c>
      <c r="D566" t="s">
        <v>811</v>
      </c>
      <c r="E566" t="s">
        <v>5</v>
      </c>
      <c r="F566" s="3">
        <v>10.375</v>
      </c>
    </row>
    <row r="567" spans="1:7">
      <c r="A567" t="s">
        <v>9</v>
      </c>
      <c r="B567" t="s">
        <v>576</v>
      </c>
      <c r="C567" t="s">
        <v>1378</v>
      </c>
      <c r="D567" t="s">
        <v>811</v>
      </c>
      <c r="E567" t="s">
        <v>5</v>
      </c>
      <c r="F567" s="3">
        <v>10.933333333333334</v>
      </c>
    </row>
    <row r="568" spans="1:7">
      <c r="A568" t="s">
        <v>6</v>
      </c>
      <c r="B568" t="s">
        <v>577</v>
      </c>
      <c r="C568" t="s">
        <v>1379</v>
      </c>
      <c r="D568" t="s">
        <v>811</v>
      </c>
      <c r="E568" t="s">
        <v>5</v>
      </c>
      <c r="F568" s="3">
        <v>13.841666666666667</v>
      </c>
    </row>
    <row r="569" spans="1:7">
      <c r="A569" t="s">
        <v>6</v>
      </c>
      <c r="B569" t="s">
        <v>578</v>
      </c>
      <c r="C569" t="s">
        <v>1380</v>
      </c>
      <c r="D569" t="s">
        <v>811</v>
      </c>
      <c r="E569" t="s">
        <v>5</v>
      </c>
      <c r="F569" s="3">
        <v>16.033333333333331</v>
      </c>
    </row>
    <row r="570" spans="1:7">
      <c r="A570" t="s">
        <v>9</v>
      </c>
      <c r="B570" t="s">
        <v>579</v>
      </c>
      <c r="C570" t="s">
        <v>1381</v>
      </c>
      <c r="D570" t="s">
        <v>811</v>
      </c>
      <c r="E570" t="s">
        <v>5</v>
      </c>
      <c r="F570" s="3">
        <v>17.816666666666666</v>
      </c>
    </row>
    <row r="571" spans="1:7">
      <c r="A571" t="s">
        <v>6</v>
      </c>
      <c r="B571" t="s">
        <v>580</v>
      </c>
      <c r="C571" t="s">
        <v>1382</v>
      </c>
      <c r="D571" t="s">
        <v>811</v>
      </c>
      <c r="E571" t="s">
        <v>5</v>
      </c>
      <c r="F571" s="3">
        <v>11.508333333333335</v>
      </c>
    </row>
    <row r="572" spans="1:7">
      <c r="A572" t="s">
        <v>6</v>
      </c>
      <c r="B572" t="s">
        <v>581</v>
      </c>
      <c r="C572" t="s">
        <v>1383</v>
      </c>
      <c r="D572" t="s">
        <v>811</v>
      </c>
      <c r="E572" t="s">
        <v>5</v>
      </c>
      <c r="F572" s="3">
        <v>12.191666666666668</v>
      </c>
    </row>
    <row r="573" spans="1:7">
      <c r="A573" t="s">
        <v>9</v>
      </c>
      <c r="B573" t="s">
        <v>582</v>
      </c>
      <c r="C573" t="s">
        <v>1384</v>
      </c>
      <c r="D573" t="s">
        <v>811</v>
      </c>
      <c r="E573" t="s">
        <v>5</v>
      </c>
      <c r="F573" s="3">
        <v>16.600000000000001</v>
      </c>
    </row>
    <row r="574" spans="1:7">
      <c r="A574" t="s">
        <v>9</v>
      </c>
      <c r="B574" t="s">
        <v>583</v>
      </c>
      <c r="C574" t="s">
        <v>1385</v>
      </c>
      <c r="D574" t="s">
        <v>811</v>
      </c>
      <c r="E574" t="s">
        <v>5</v>
      </c>
      <c r="F574" s="3">
        <v>26.25</v>
      </c>
      <c r="G574" s="1"/>
    </row>
    <row r="575" spans="1:7">
      <c r="A575" t="s">
        <v>7</v>
      </c>
      <c r="B575" t="s">
        <v>584</v>
      </c>
      <c r="C575" t="s">
        <v>1386</v>
      </c>
      <c r="D575" t="s">
        <v>811</v>
      </c>
      <c r="E575" t="s">
        <v>5</v>
      </c>
      <c r="F575" s="3">
        <v>9.6750000000000007</v>
      </c>
    </row>
    <row r="576" spans="1:7">
      <c r="A576" t="s">
        <v>9</v>
      </c>
      <c r="B576" t="s">
        <v>585</v>
      </c>
      <c r="C576" t="s">
        <v>1387</v>
      </c>
      <c r="D576" t="s">
        <v>811</v>
      </c>
      <c r="E576" t="s">
        <v>5</v>
      </c>
      <c r="F576" s="3">
        <v>12.733333333333333</v>
      </c>
    </row>
    <row r="577" spans="1:7">
      <c r="A577" t="s">
        <v>6</v>
      </c>
      <c r="B577" t="s">
        <v>586</v>
      </c>
      <c r="C577" t="s">
        <v>1388</v>
      </c>
      <c r="D577" t="s">
        <v>811</v>
      </c>
      <c r="E577" t="s">
        <v>5</v>
      </c>
      <c r="F577" s="3">
        <v>7.9416666666666682</v>
      </c>
    </row>
    <row r="578" spans="1:7">
      <c r="A578" t="s">
        <v>6</v>
      </c>
      <c r="B578" t="s">
        <v>587</v>
      </c>
      <c r="C578" t="s">
        <v>1389</v>
      </c>
      <c r="D578" t="s">
        <v>811</v>
      </c>
      <c r="E578" t="s">
        <v>5</v>
      </c>
      <c r="F578" s="3">
        <v>4.1333333333333337</v>
      </c>
    </row>
    <row r="579" spans="1:7">
      <c r="A579" t="s">
        <v>6</v>
      </c>
      <c r="B579" t="s">
        <v>588</v>
      </c>
      <c r="C579" t="s">
        <v>1390</v>
      </c>
      <c r="D579" t="s">
        <v>811</v>
      </c>
      <c r="E579" t="s">
        <v>5</v>
      </c>
      <c r="F579" s="3">
        <v>23.233333333333334</v>
      </c>
      <c r="G579" s="1"/>
    </row>
    <row r="580" spans="1:7">
      <c r="A580" t="s">
        <v>6</v>
      </c>
      <c r="B580" t="s">
        <v>589</v>
      </c>
      <c r="C580" t="s">
        <v>1391</v>
      </c>
      <c r="D580" t="s">
        <v>811</v>
      </c>
      <c r="E580" t="s">
        <v>5</v>
      </c>
      <c r="F580" s="3">
        <v>4.5250000000000004</v>
      </c>
    </row>
    <row r="581" spans="1:7">
      <c r="A581" t="s">
        <v>7</v>
      </c>
      <c r="B581" t="s">
        <v>590</v>
      </c>
      <c r="C581" t="s">
        <v>1392</v>
      </c>
      <c r="D581" t="s">
        <v>811</v>
      </c>
      <c r="E581" t="s">
        <v>5</v>
      </c>
      <c r="F581" s="3">
        <v>17.466666666666669</v>
      </c>
    </row>
    <row r="582" spans="1:7">
      <c r="A582" t="s">
        <v>6</v>
      </c>
      <c r="B582" t="s">
        <v>591</v>
      </c>
      <c r="C582" t="s">
        <v>1393</v>
      </c>
      <c r="D582" t="s">
        <v>811</v>
      </c>
      <c r="E582" t="s">
        <v>5</v>
      </c>
      <c r="F582" s="3">
        <v>5.7416666666666663</v>
      </c>
    </row>
    <row r="583" spans="1:7">
      <c r="A583" t="s">
        <v>6</v>
      </c>
      <c r="B583" t="s">
        <v>592</v>
      </c>
      <c r="C583" t="s">
        <v>1394</v>
      </c>
      <c r="D583" t="s">
        <v>811</v>
      </c>
      <c r="E583" t="s">
        <v>5</v>
      </c>
      <c r="F583" s="3">
        <v>5.7416666666666663</v>
      </c>
    </row>
    <row r="584" spans="1:7">
      <c r="A584" t="s">
        <v>6</v>
      </c>
      <c r="B584" t="s">
        <v>593</v>
      </c>
      <c r="C584" t="s">
        <v>1395</v>
      </c>
      <c r="D584" t="s">
        <v>811</v>
      </c>
      <c r="E584" t="s">
        <v>5</v>
      </c>
      <c r="F584" s="3">
        <v>5.7416666666666663</v>
      </c>
    </row>
    <row r="585" spans="1:7">
      <c r="A585" t="s">
        <v>6</v>
      </c>
      <c r="B585" t="s">
        <v>594</v>
      </c>
      <c r="C585" t="s">
        <v>1396</v>
      </c>
      <c r="D585" t="s">
        <v>811</v>
      </c>
      <c r="E585" t="s">
        <v>8</v>
      </c>
      <c r="F585" s="3">
        <v>5.7416666666666663</v>
      </c>
    </row>
    <row r="586" spans="1:7">
      <c r="A586" t="s">
        <v>7</v>
      </c>
      <c r="B586" t="s">
        <v>595</v>
      </c>
      <c r="C586" t="s">
        <v>1397</v>
      </c>
      <c r="D586" t="s">
        <v>811</v>
      </c>
      <c r="E586" t="s">
        <v>5</v>
      </c>
      <c r="F586" s="3">
        <v>4.875</v>
      </c>
    </row>
    <row r="587" spans="1:7">
      <c r="A587" t="s">
        <v>9</v>
      </c>
      <c r="B587" t="s">
        <v>596</v>
      </c>
      <c r="C587" t="s">
        <v>1398</v>
      </c>
      <c r="D587" t="s">
        <v>811</v>
      </c>
      <c r="E587" t="s">
        <v>5</v>
      </c>
      <c r="F587" s="3">
        <v>5.0166666666666666</v>
      </c>
    </row>
    <row r="588" spans="1:7">
      <c r="A588" t="s">
        <v>7</v>
      </c>
      <c r="B588" t="s">
        <v>597</v>
      </c>
      <c r="C588" t="s">
        <v>1399</v>
      </c>
      <c r="D588" t="s">
        <v>811</v>
      </c>
      <c r="E588" t="s">
        <v>5</v>
      </c>
      <c r="F588" s="3">
        <v>6.0750000000000002</v>
      </c>
    </row>
    <row r="589" spans="1:7">
      <c r="A589" t="s">
        <v>6</v>
      </c>
      <c r="B589" t="s">
        <v>598</v>
      </c>
      <c r="C589" t="s">
        <v>1400</v>
      </c>
      <c r="D589" t="s">
        <v>811</v>
      </c>
      <c r="E589" t="s">
        <v>5</v>
      </c>
      <c r="F589" s="3">
        <v>9.3416666666666686</v>
      </c>
    </row>
    <row r="590" spans="1:7">
      <c r="A590" t="s">
        <v>6</v>
      </c>
      <c r="B590" t="s">
        <v>599</v>
      </c>
      <c r="C590" t="s">
        <v>1401</v>
      </c>
      <c r="D590" t="s">
        <v>811</v>
      </c>
      <c r="E590" t="s">
        <v>5</v>
      </c>
      <c r="F590" s="3">
        <v>18.425000000000001</v>
      </c>
    </row>
    <row r="591" spans="1:7">
      <c r="A591" t="s">
        <v>9</v>
      </c>
      <c r="B591" t="s">
        <v>600</v>
      </c>
      <c r="C591" t="s">
        <v>1402</v>
      </c>
      <c r="D591" t="s">
        <v>811</v>
      </c>
      <c r="E591" t="s">
        <v>5</v>
      </c>
      <c r="F591" s="3">
        <v>21.783333333333335</v>
      </c>
    </row>
    <row r="592" spans="1:7">
      <c r="A592" t="s">
        <v>9</v>
      </c>
      <c r="B592" t="s">
        <v>601</v>
      </c>
      <c r="C592" t="s">
        <v>1403</v>
      </c>
      <c r="D592" t="s">
        <v>811</v>
      </c>
      <c r="E592" t="s">
        <v>5</v>
      </c>
      <c r="F592" s="3">
        <v>22.05</v>
      </c>
    </row>
    <row r="593" spans="1:7">
      <c r="A593" t="s">
        <v>6</v>
      </c>
      <c r="B593" t="s">
        <v>602</v>
      </c>
      <c r="C593" t="s">
        <v>1404</v>
      </c>
      <c r="D593" t="s">
        <v>811</v>
      </c>
      <c r="E593" t="s">
        <v>5</v>
      </c>
      <c r="F593" s="3">
        <v>5.1916666666666673</v>
      </c>
    </row>
    <row r="594" spans="1:7">
      <c r="A594" t="s">
        <v>9</v>
      </c>
      <c r="B594" t="s">
        <v>603</v>
      </c>
      <c r="C594" t="s">
        <v>1405</v>
      </c>
      <c r="D594" t="s">
        <v>811</v>
      </c>
      <c r="E594" t="s">
        <v>5</v>
      </c>
      <c r="F594" s="3">
        <v>7.1083333333333343</v>
      </c>
    </row>
    <row r="595" spans="1:7">
      <c r="A595" t="s">
        <v>9</v>
      </c>
      <c r="B595" t="s">
        <v>604</v>
      </c>
      <c r="C595" t="s">
        <v>1406</v>
      </c>
      <c r="D595" t="s">
        <v>811</v>
      </c>
      <c r="E595" t="s">
        <v>5</v>
      </c>
      <c r="F595" s="3">
        <v>12.45</v>
      </c>
    </row>
    <row r="596" spans="1:7">
      <c r="A596" t="s">
        <v>9</v>
      </c>
      <c r="B596" t="s">
        <v>605</v>
      </c>
      <c r="C596" t="s">
        <v>1407</v>
      </c>
      <c r="D596" t="s">
        <v>811</v>
      </c>
      <c r="E596" t="s">
        <v>5</v>
      </c>
      <c r="F596" s="3">
        <v>14.516666666666669</v>
      </c>
    </row>
    <row r="597" spans="1:7">
      <c r="A597" t="s">
        <v>6</v>
      </c>
      <c r="B597" t="s">
        <v>606</v>
      </c>
      <c r="C597" t="s">
        <v>1408</v>
      </c>
      <c r="D597" t="s">
        <v>811</v>
      </c>
      <c r="E597" t="s">
        <v>5</v>
      </c>
      <c r="F597" s="3">
        <v>9.4749999999999996</v>
      </c>
    </row>
    <row r="598" spans="1:7">
      <c r="A598" t="s">
        <v>6</v>
      </c>
      <c r="B598" t="s">
        <v>607</v>
      </c>
      <c r="C598" t="s">
        <v>1409</v>
      </c>
      <c r="D598" t="s">
        <v>811</v>
      </c>
      <c r="E598" t="s">
        <v>5</v>
      </c>
      <c r="F598" s="3">
        <v>29.600000000000005</v>
      </c>
      <c r="G598" s="1"/>
    </row>
    <row r="599" spans="1:7">
      <c r="A599" t="s">
        <v>6</v>
      </c>
      <c r="B599" t="s">
        <v>608</v>
      </c>
      <c r="C599" t="s">
        <v>1410</v>
      </c>
      <c r="D599" t="s">
        <v>811</v>
      </c>
      <c r="E599" t="s">
        <v>5</v>
      </c>
      <c r="F599" s="3">
        <v>31.5</v>
      </c>
    </row>
    <row r="600" spans="1:7">
      <c r="A600" t="s">
        <v>9</v>
      </c>
      <c r="B600" t="s">
        <v>609</v>
      </c>
      <c r="C600" t="s">
        <v>1411</v>
      </c>
      <c r="D600" t="s">
        <v>811</v>
      </c>
      <c r="E600" t="s">
        <v>5</v>
      </c>
      <c r="F600" s="3">
        <v>33.483333333333334</v>
      </c>
      <c r="G600" s="1"/>
    </row>
    <row r="601" spans="1:7">
      <c r="A601" t="s">
        <v>9</v>
      </c>
      <c r="B601" t="s">
        <v>610</v>
      </c>
      <c r="C601" t="s">
        <v>1412</v>
      </c>
      <c r="D601" t="s">
        <v>811</v>
      </c>
      <c r="E601" t="s">
        <v>5</v>
      </c>
      <c r="F601" s="3">
        <v>38.941666666666663</v>
      </c>
      <c r="G601" s="1"/>
    </row>
    <row r="602" spans="1:7">
      <c r="A602" t="s">
        <v>6</v>
      </c>
      <c r="B602" t="s">
        <v>611</v>
      </c>
      <c r="C602" t="s">
        <v>1413</v>
      </c>
      <c r="D602" t="s">
        <v>811</v>
      </c>
      <c r="E602" t="s">
        <v>5</v>
      </c>
      <c r="F602" s="3">
        <v>3.85</v>
      </c>
    </row>
    <row r="603" spans="1:7">
      <c r="A603" t="s">
        <v>6</v>
      </c>
      <c r="B603" t="s">
        <v>612</v>
      </c>
      <c r="C603" t="s">
        <v>1414</v>
      </c>
      <c r="D603" t="s">
        <v>811</v>
      </c>
      <c r="E603" t="s">
        <v>5</v>
      </c>
      <c r="F603" s="3">
        <v>3.0333333333333332</v>
      </c>
    </row>
    <row r="604" spans="1:7">
      <c r="A604" t="s">
        <v>6</v>
      </c>
      <c r="B604" t="s">
        <v>613</v>
      </c>
      <c r="C604" t="s">
        <v>1415</v>
      </c>
      <c r="D604" t="s">
        <v>811</v>
      </c>
      <c r="E604" t="s">
        <v>5</v>
      </c>
      <c r="F604" s="3">
        <v>3.25</v>
      </c>
    </row>
    <row r="605" spans="1:7">
      <c r="A605" t="s">
        <v>6</v>
      </c>
      <c r="B605" t="s">
        <v>614</v>
      </c>
      <c r="C605" t="s">
        <v>1416</v>
      </c>
      <c r="D605" t="s">
        <v>811</v>
      </c>
      <c r="E605" t="s">
        <v>5</v>
      </c>
      <c r="F605" s="3">
        <v>5.3000000000000007</v>
      </c>
    </row>
    <row r="606" spans="1:7">
      <c r="A606" t="s">
        <v>6</v>
      </c>
      <c r="B606" t="s">
        <v>615</v>
      </c>
      <c r="C606" t="s">
        <v>1417</v>
      </c>
      <c r="D606" t="s">
        <v>811</v>
      </c>
      <c r="E606" t="s">
        <v>5</v>
      </c>
      <c r="F606" s="3">
        <v>5.2416666666666671</v>
      </c>
    </row>
    <row r="607" spans="1:7">
      <c r="A607" t="s">
        <v>6</v>
      </c>
      <c r="B607" t="s">
        <v>616</v>
      </c>
      <c r="C607" t="s">
        <v>1418</v>
      </c>
      <c r="D607" t="s">
        <v>811</v>
      </c>
      <c r="E607" t="s">
        <v>5</v>
      </c>
      <c r="F607" s="3">
        <v>4.75</v>
      </c>
    </row>
    <row r="608" spans="1:7">
      <c r="A608" t="s">
        <v>9</v>
      </c>
      <c r="B608" t="s">
        <v>617</v>
      </c>
      <c r="C608" t="s">
        <v>1419</v>
      </c>
      <c r="D608" t="s">
        <v>811</v>
      </c>
      <c r="E608" t="s">
        <v>5</v>
      </c>
      <c r="F608" s="3">
        <v>14.958333333333334</v>
      </c>
    </row>
    <row r="609" spans="1:7">
      <c r="A609" t="s">
        <v>7</v>
      </c>
      <c r="B609" t="s">
        <v>618</v>
      </c>
      <c r="C609" t="s">
        <v>1420</v>
      </c>
      <c r="D609" t="s">
        <v>811</v>
      </c>
      <c r="E609" t="s">
        <v>5</v>
      </c>
      <c r="F609" s="3">
        <v>5.541666666666667</v>
      </c>
    </row>
    <row r="610" spans="1:7">
      <c r="A610" t="s">
        <v>6</v>
      </c>
      <c r="B610" t="s">
        <v>619</v>
      </c>
      <c r="C610" t="s">
        <v>1421</v>
      </c>
      <c r="D610" t="s">
        <v>811</v>
      </c>
      <c r="E610" t="s">
        <v>5</v>
      </c>
      <c r="F610" s="3">
        <v>4.541666666666667</v>
      </c>
    </row>
    <row r="611" spans="1:7">
      <c r="A611" t="s">
        <v>7</v>
      </c>
      <c r="B611" t="s">
        <v>620</v>
      </c>
      <c r="C611" t="s">
        <v>1422</v>
      </c>
      <c r="D611" t="s">
        <v>811</v>
      </c>
      <c r="E611" t="s">
        <v>5</v>
      </c>
      <c r="F611" s="3">
        <v>5.8166666666666673</v>
      </c>
    </row>
    <row r="612" spans="1:7">
      <c r="A612" t="s">
        <v>9</v>
      </c>
      <c r="B612" t="s">
        <v>621</v>
      </c>
      <c r="C612" t="s">
        <v>1423</v>
      </c>
      <c r="D612" t="s">
        <v>811</v>
      </c>
      <c r="E612" t="s">
        <v>5</v>
      </c>
      <c r="F612" s="3">
        <v>5.8833333333333329</v>
      </c>
    </row>
    <row r="613" spans="1:7">
      <c r="A613" t="s">
        <v>7</v>
      </c>
      <c r="B613" t="s">
        <v>622</v>
      </c>
      <c r="C613" t="s">
        <v>1424</v>
      </c>
      <c r="D613" t="s">
        <v>811</v>
      </c>
      <c r="E613" t="s">
        <v>5</v>
      </c>
      <c r="F613" s="3">
        <v>5.9250000000000007</v>
      </c>
    </row>
    <row r="614" spans="1:7">
      <c r="A614" t="s">
        <v>9</v>
      </c>
      <c r="B614" t="s">
        <v>623</v>
      </c>
      <c r="C614" t="s">
        <v>1425</v>
      </c>
      <c r="D614" t="s">
        <v>811</v>
      </c>
      <c r="E614" t="s">
        <v>5</v>
      </c>
      <c r="F614" s="3">
        <v>12.166666666666666</v>
      </c>
    </row>
    <row r="615" spans="1:7">
      <c r="A615" t="s">
        <v>7</v>
      </c>
      <c r="B615" t="s">
        <v>624</v>
      </c>
      <c r="C615" t="s">
        <v>1426</v>
      </c>
      <c r="D615" t="s">
        <v>811</v>
      </c>
      <c r="E615" t="s">
        <v>5</v>
      </c>
      <c r="F615" s="3">
        <v>5.7750000000000004</v>
      </c>
    </row>
    <row r="616" spans="1:7">
      <c r="A616" t="s">
        <v>6</v>
      </c>
      <c r="B616" t="s">
        <v>625</v>
      </c>
      <c r="C616" t="s">
        <v>1427</v>
      </c>
      <c r="D616" t="s">
        <v>811</v>
      </c>
      <c r="E616" t="s">
        <v>5</v>
      </c>
      <c r="F616" s="3">
        <v>6.95</v>
      </c>
    </row>
    <row r="617" spans="1:7">
      <c r="A617" t="s">
        <v>6</v>
      </c>
      <c r="B617" t="s">
        <v>626</v>
      </c>
      <c r="C617" t="s">
        <v>1428</v>
      </c>
      <c r="D617" t="s">
        <v>811</v>
      </c>
      <c r="E617" t="s">
        <v>5</v>
      </c>
      <c r="F617" s="3">
        <v>7.6750000000000007</v>
      </c>
    </row>
    <row r="618" spans="1:7">
      <c r="A618" t="s">
        <v>6</v>
      </c>
      <c r="B618" t="s">
        <v>627</v>
      </c>
      <c r="C618" t="s">
        <v>1429</v>
      </c>
      <c r="D618" t="s">
        <v>811</v>
      </c>
      <c r="E618" t="s">
        <v>5</v>
      </c>
      <c r="F618" s="3">
        <v>9.6833333333333336</v>
      </c>
    </row>
    <row r="619" spans="1:7">
      <c r="A619" t="s">
        <v>6</v>
      </c>
      <c r="B619" t="s">
        <v>628</v>
      </c>
      <c r="C619" t="s">
        <v>1430</v>
      </c>
      <c r="D619" t="s">
        <v>811</v>
      </c>
      <c r="E619" t="s">
        <v>5</v>
      </c>
      <c r="F619" s="3">
        <v>11.866666666666667</v>
      </c>
    </row>
    <row r="620" spans="1:7">
      <c r="A620" t="s">
        <v>6</v>
      </c>
      <c r="B620" t="s">
        <v>629</v>
      </c>
      <c r="C620" t="s">
        <v>1431</v>
      </c>
      <c r="D620" t="s">
        <v>811</v>
      </c>
      <c r="E620" t="s">
        <v>5</v>
      </c>
      <c r="F620" s="3">
        <v>10.541666666666668</v>
      </c>
    </row>
    <row r="621" spans="1:7">
      <c r="A621" t="s">
        <v>6</v>
      </c>
      <c r="B621" t="s">
        <v>630</v>
      </c>
      <c r="C621" t="s">
        <v>1432</v>
      </c>
      <c r="D621" t="s">
        <v>811</v>
      </c>
      <c r="E621" t="s">
        <v>5</v>
      </c>
      <c r="F621" s="3">
        <v>17.391666666666669</v>
      </c>
    </row>
    <row r="622" spans="1:7">
      <c r="A622" t="s">
        <v>9</v>
      </c>
      <c r="B622" t="s">
        <v>631</v>
      </c>
      <c r="C622" t="s">
        <v>1433</v>
      </c>
      <c r="D622" t="s">
        <v>811</v>
      </c>
      <c r="E622" t="s">
        <v>5</v>
      </c>
      <c r="F622" s="3">
        <v>27.15</v>
      </c>
      <c r="G622" s="1"/>
    </row>
    <row r="623" spans="1:7">
      <c r="A623" t="s">
        <v>9</v>
      </c>
      <c r="B623" t="s">
        <v>632</v>
      </c>
      <c r="C623" t="s">
        <v>1434</v>
      </c>
      <c r="D623" t="s">
        <v>811</v>
      </c>
      <c r="E623" t="s">
        <v>5</v>
      </c>
      <c r="F623" s="3">
        <v>40.491666666666674</v>
      </c>
      <c r="G623" s="1"/>
    </row>
    <row r="624" spans="1:7">
      <c r="A624" t="s">
        <v>7</v>
      </c>
      <c r="B624" t="s">
        <v>633</v>
      </c>
      <c r="C624" t="s">
        <v>1435</v>
      </c>
      <c r="D624" t="s">
        <v>811</v>
      </c>
      <c r="E624" t="s">
        <v>5</v>
      </c>
      <c r="F624" s="3">
        <v>2.4916666666666671</v>
      </c>
    </row>
    <row r="625" spans="1:7">
      <c r="A625" t="s">
        <v>7</v>
      </c>
      <c r="B625" t="s">
        <v>634</v>
      </c>
      <c r="C625" t="s">
        <v>1436</v>
      </c>
      <c r="D625" t="s">
        <v>811</v>
      </c>
      <c r="E625" t="s">
        <v>5</v>
      </c>
      <c r="F625" s="3">
        <v>2.7250000000000001</v>
      </c>
    </row>
    <row r="626" spans="1:7">
      <c r="A626" t="s">
        <v>9</v>
      </c>
      <c r="B626" t="s">
        <v>635</v>
      </c>
      <c r="C626" t="s">
        <v>1437</v>
      </c>
      <c r="D626" t="s">
        <v>811</v>
      </c>
      <c r="E626" t="s">
        <v>5</v>
      </c>
      <c r="F626" s="3">
        <v>9.9499999999999993</v>
      </c>
    </row>
    <row r="627" spans="1:7">
      <c r="A627" t="s">
        <v>7</v>
      </c>
      <c r="B627" t="s">
        <v>636</v>
      </c>
      <c r="C627" t="s">
        <v>1438</v>
      </c>
      <c r="D627" t="s">
        <v>811</v>
      </c>
      <c r="E627" t="s">
        <v>5</v>
      </c>
      <c r="F627" s="3">
        <v>10.408333333333333</v>
      </c>
    </row>
    <row r="628" spans="1:7">
      <c r="A628" t="s">
        <v>7</v>
      </c>
      <c r="B628" t="s">
        <v>637</v>
      </c>
      <c r="C628" t="s">
        <v>1439</v>
      </c>
      <c r="D628" t="s">
        <v>811</v>
      </c>
      <c r="E628" t="s">
        <v>5</v>
      </c>
      <c r="F628" s="3">
        <v>12.658333333333333</v>
      </c>
    </row>
    <row r="629" spans="1:7">
      <c r="A629" t="s">
        <v>6</v>
      </c>
      <c r="B629" t="s">
        <v>638</v>
      </c>
      <c r="C629" t="s">
        <v>1440</v>
      </c>
      <c r="D629" t="s">
        <v>811</v>
      </c>
      <c r="E629" t="s">
        <v>5</v>
      </c>
      <c r="F629" s="3">
        <v>15.075000000000001</v>
      </c>
    </row>
    <row r="630" spans="1:7">
      <c r="A630" t="s">
        <v>9</v>
      </c>
      <c r="B630" t="s">
        <v>639</v>
      </c>
      <c r="C630" t="s">
        <v>1441</v>
      </c>
      <c r="D630" t="s">
        <v>811</v>
      </c>
      <c r="E630" t="s">
        <v>5</v>
      </c>
      <c r="F630" s="3">
        <v>18.399999999999999</v>
      </c>
    </row>
    <row r="631" spans="1:7">
      <c r="A631" t="s">
        <v>7</v>
      </c>
      <c r="B631" t="s">
        <v>640</v>
      </c>
      <c r="C631" t="s">
        <v>1442</v>
      </c>
      <c r="D631" t="s">
        <v>811</v>
      </c>
      <c r="E631" t="s">
        <v>5</v>
      </c>
      <c r="F631" s="3">
        <v>3.1416666666666666</v>
      </c>
    </row>
    <row r="632" spans="1:7">
      <c r="A632" t="s">
        <v>6</v>
      </c>
      <c r="B632" t="s">
        <v>641</v>
      </c>
      <c r="C632" t="s">
        <v>1443</v>
      </c>
      <c r="D632" t="s">
        <v>811</v>
      </c>
      <c r="E632" t="s">
        <v>5</v>
      </c>
      <c r="F632" s="3">
        <v>2.3833333333333333</v>
      </c>
    </row>
    <row r="633" spans="1:7">
      <c r="A633" t="s">
        <v>6</v>
      </c>
      <c r="B633" t="s">
        <v>642</v>
      </c>
      <c r="C633" t="s">
        <v>1444</v>
      </c>
      <c r="D633" t="s">
        <v>811</v>
      </c>
      <c r="E633" t="s">
        <v>5</v>
      </c>
      <c r="F633" s="3">
        <v>2.5916666666666672</v>
      </c>
    </row>
    <row r="634" spans="1:7">
      <c r="A634" t="s">
        <v>6</v>
      </c>
      <c r="B634" t="s">
        <v>643</v>
      </c>
      <c r="C634" t="s">
        <v>1445</v>
      </c>
      <c r="D634" t="s">
        <v>811</v>
      </c>
      <c r="E634" t="s">
        <v>5</v>
      </c>
      <c r="F634" s="3">
        <v>5.0583333333333336</v>
      </c>
    </row>
    <row r="635" spans="1:7">
      <c r="A635" t="s">
        <v>6</v>
      </c>
      <c r="B635" t="s">
        <v>644</v>
      </c>
      <c r="C635" t="s">
        <v>1446</v>
      </c>
      <c r="D635" t="s">
        <v>811</v>
      </c>
      <c r="E635" t="s">
        <v>5</v>
      </c>
      <c r="F635" s="3">
        <v>6.9833333333333325</v>
      </c>
    </row>
    <row r="636" spans="1:7">
      <c r="A636" t="s">
        <v>6</v>
      </c>
      <c r="B636" t="s">
        <v>645</v>
      </c>
      <c r="C636" t="s">
        <v>1447</v>
      </c>
      <c r="D636" t="s">
        <v>811</v>
      </c>
      <c r="E636" t="s">
        <v>5</v>
      </c>
      <c r="F636" s="3">
        <v>8.2416666666666671</v>
      </c>
    </row>
    <row r="637" spans="1:7">
      <c r="A637" t="s">
        <v>9</v>
      </c>
      <c r="B637" t="s">
        <v>646</v>
      </c>
      <c r="C637" t="s">
        <v>1448</v>
      </c>
      <c r="D637" t="s">
        <v>811</v>
      </c>
      <c r="E637" t="s">
        <v>5</v>
      </c>
      <c r="F637" s="3">
        <v>15.049999999999999</v>
      </c>
    </row>
    <row r="638" spans="1:7">
      <c r="A638" t="s">
        <v>9</v>
      </c>
      <c r="B638" t="s">
        <v>647</v>
      </c>
      <c r="C638" t="s">
        <v>1449</v>
      </c>
      <c r="D638" t="s">
        <v>811</v>
      </c>
      <c r="E638" t="s">
        <v>5</v>
      </c>
      <c r="F638" s="3">
        <v>18.55</v>
      </c>
    </row>
    <row r="639" spans="1:7">
      <c r="A639" t="s">
        <v>9</v>
      </c>
      <c r="B639" t="s">
        <v>648</v>
      </c>
      <c r="C639" t="s">
        <v>1450</v>
      </c>
      <c r="D639" t="s">
        <v>811</v>
      </c>
      <c r="E639" t="s">
        <v>5</v>
      </c>
      <c r="F639" s="3">
        <v>25.55</v>
      </c>
    </row>
    <row r="640" spans="1:7">
      <c r="A640" t="s">
        <v>7</v>
      </c>
      <c r="B640" t="s">
        <v>649</v>
      </c>
      <c r="C640" t="s">
        <v>1451</v>
      </c>
      <c r="D640" t="s">
        <v>811</v>
      </c>
      <c r="E640" t="s">
        <v>5</v>
      </c>
      <c r="F640" s="3">
        <v>23.133333333333336</v>
      </c>
      <c r="G640" s="1"/>
    </row>
    <row r="641" spans="1:7">
      <c r="A641" t="s">
        <v>9</v>
      </c>
      <c r="B641" t="s">
        <v>650</v>
      </c>
      <c r="C641" t="s">
        <v>1452</v>
      </c>
      <c r="D641" t="s">
        <v>811</v>
      </c>
      <c r="E641" t="s">
        <v>5</v>
      </c>
      <c r="F641" s="3">
        <v>16.308333333333334</v>
      </c>
    </row>
    <row r="642" spans="1:7">
      <c r="A642" t="s">
        <v>9</v>
      </c>
      <c r="B642" t="s">
        <v>651</v>
      </c>
      <c r="C642" t="s">
        <v>1453</v>
      </c>
      <c r="D642" t="s">
        <v>811</v>
      </c>
      <c r="E642" t="s">
        <v>5</v>
      </c>
      <c r="F642" s="3">
        <v>21.566666666666666</v>
      </c>
    </row>
    <row r="643" spans="1:7">
      <c r="A643" t="s">
        <v>9</v>
      </c>
      <c r="B643" t="s">
        <v>652</v>
      </c>
      <c r="C643" t="s">
        <v>1454</v>
      </c>
      <c r="D643" t="s">
        <v>811</v>
      </c>
      <c r="E643" t="s">
        <v>5</v>
      </c>
      <c r="F643" s="3">
        <v>19.425000000000001</v>
      </c>
    </row>
    <row r="644" spans="1:7">
      <c r="A644" t="s">
        <v>7</v>
      </c>
      <c r="B644" t="s">
        <v>653</v>
      </c>
      <c r="C644" t="s">
        <v>1455</v>
      </c>
      <c r="D644" t="s">
        <v>811</v>
      </c>
      <c r="E644" t="s">
        <v>5</v>
      </c>
      <c r="F644" s="3">
        <v>24.383333333333336</v>
      </c>
    </row>
    <row r="645" spans="1:7">
      <c r="A645" t="s">
        <v>7</v>
      </c>
      <c r="B645" t="s">
        <v>654</v>
      </c>
      <c r="C645" t="s">
        <v>1456</v>
      </c>
      <c r="D645" t="s">
        <v>811</v>
      </c>
      <c r="E645" t="s">
        <v>5</v>
      </c>
      <c r="F645" s="3">
        <v>29.8</v>
      </c>
      <c r="G645" s="1"/>
    </row>
    <row r="646" spans="1:7">
      <c r="A646" t="s">
        <v>9</v>
      </c>
      <c r="B646" t="s">
        <v>655</v>
      </c>
      <c r="C646" t="s">
        <v>1457</v>
      </c>
      <c r="D646" t="s">
        <v>811</v>
      </c>
      <c r="E646" t="s">
        <v>5</v>
      </c>
      <c r="F646" s="3">
        <v>44.241666666666674</v>
      </c>
      <c r="G646" s="1"/>
    </row>
    <row r="647" spans="1:7">
      <c r="A647" t="s">
        <v>9</v>
      </c>
      <c r="B647" t="s">
        <v>656</v>
      </c>
      <c r="C647" t="s">
        <v>1458</v>
      </c>
      <c r="D647" t="s">
        <v>811</v>
      </c>
      <c r="E647" t="s">
        <v>5</v>
      </c>
      <c r="F647" s="3">
        <v>5.2416666666666671</v>
      </c>
    </row>
    <row r="648" spans="1:7">
      <c r="A648" t="s">
        <v>7</v>
      </c>
      <c r="B648" t="s">
        <v>657</v>
      </c>
      <c r="C648" t="s">
        <v>1459</v>
      </c>
      <c r="D648" t="s">
        <v>811</v>
      </c>
      <c r="E648" t="s">
        <v>5</v>
      </c>
      <c r="F648" s="3">
        <v>10.091666666666667</v>
      </c>
    </row>
    <row r="649" spans="1:7">
      <c r="A649" t="s">
        <v>9</v>
      </c>
      <c r="B649" t="s">
        <v>658</v>
      </c>
      <c r="C649" t="s">
        <v>1460</v>
      </c>
      <c r="D649" t="s">
        <v>811</v>
      </c>
      <c r="E649" t="s">
        <v>5</v>
      </c>
      <c r="F649" s="3">
        <v>10.4</v>
      </c>
    </row>
    <row r="650" spans="1:7">
      <c r="A650" t="s">
        <v>9</v>
      </c>
      <c r="B650" t="s">
        <v>659</v>
      </c>
      <c r="C650" t="s">
        <v>1461</v>
      </c>
      <c r="D650" t="s">
        <v>811</v>
      </c>
      <c r="E650" t="s">
        <v>5</v>
      </c>
      <c r="F650" s="3">
        <v>36.000000000000007</v>
      </c>
      <c r="G650" s="1"/>
    </row>
    <row r="651" spans="1:7">
      <c r="A651" t="s">
        <v>6</v>
      </c>
      <c r="B651" t="s">
        <v>660</v>
      </c>
      <c r="C651" t="s">
        <v>1462</v>
      </c>
      <c r="D651" t="s">
        <v>811</v>
      </c>
      <c r="E651" t="s">
        <v>5</v>
      </c>
      <c r="F651" s="3">
        <v>22.425000000000001</v>
      </c>
    </row>
    <row r="652" spans="1:7">
      <c r="A652" t="s">
        <v>7</v>
      </c>
      <c r="B652" t="s">
        <v>661</v>
      </c>
      <c r="C652" t="s">
        <v>1463</v>
      </c>
      <c r="D652" t="s">
        <v>811</v>
      </c>
      <c r="E652" t="s">
        <v>5</v>
      </c>
      <c r="F652" s="3">
        <v>3.916666666666667</v>
      </c>
    </row>
    <row r="653" spans="1:7">
      <c r="A653" t="s">
        <v>7</v>
      </c>
      <c r="B653" t="s">
        <v>662</v>
      </c>
      <c r="C653" t="s">
        <v>1464</v>
      </c>
      <c r="D653" t="s">
        <v>811</v>
      </c>
      <c r="E653" t="s">
        <v>5</v>
      </c>
      <c r="F653" s="3">
        <v>14.15</v>
      </c>
    </row>
    <row r="654" spans="1:7">
      <c r="A654" t="s">
        <v>6</v>
      </c>
      <c r="B654" t="s">
        <v>663</v>
      </c>
      <c r="C654" t="s">
        <v>1465</v>
      </c>
      <c r="D654" t="s">
        <v>811</v>
      </c>
      <c r="E654" t="s">
        <v>5</v>
      </c>
      <c r="F654" s="3">
        <v>5.7416666666666663</v>
      </c>
    </row>
    <row r="655" spans="1:7">
      <c r="A655" t="s">
        <v>9</v>
      </c>
      <c r="B655" t="s">
        <v>664</v>
      </c>
      <c r="C655" t="s">
        <v>1466</v>
      </c>
      <c r="D655" t="s">
        <v>811</v>
      </c>
      <c r="E655" t="s">
        <v>5</v>
      </c>
      <c r="F655" s="3">
        <v>24.85</v>
      </c>
    </row>
    <row r="656" spans="1:7">
      <c r="A656" t="s">
        <v>9</v>
      </c>
      <c r="B656" t="s">
        <v>665</v>
      </c>
      <c r="C656" t="s">
        <v>1467</v>
      </c>
      <c r="D656" t="s">
        <v>811</v>
      </c>
      <c r="E656" t="s">
        <v>5</v>
      </c>
      <c r="F656" s="3">
        <v>8.8000000000000007</v>
      </c>
    </row>
    <row r="657" spans="1:7">
      <c r="A657" t="s">
        <v>7</v>
      </c>
      <c r="B657" t="s">
        <v>666</v>
      </c>
      <c r="C657" t="s">
        <v>1468</v>
      </c>
      <c r="D657" t="s">
        <v>811</v>
      </c>
      <c r="E657" t="s">
        <v>5</v>
      </c>
      <c r="F657" s="3">
        <v>78.025000000000006</v>
      </c>
      <c r="G657" s="1"/>
    </row>
    <row r="658" spans="1:7">
      <c r="A658" t="s">
        <v>9</v>
      </c>
      <c r="B658" t="s">
        <v>667</v>
      </c>
      <c r="C658" t="s">
        <v>1469</v>
      </c>
      <c r="D658" t="s">
        <v>811</v>
      </c>
      <c r="E658" t="s">
        <v>5</v>
      </c>
      <c r="F658" s="3">
        <v>3.4583333333333339</v>
      </c>
    </row>
    <row r="659" spans="1:7">
      <c r="A659" t="s">
        <v>7</v>
      </c>
      <c r="B659" t="s">
        <v>668</v>
      </c>
      <c r="C659" t="s">
        <v>1470</v>
      </c>
      <c r="D659" t="s">
        <v>811</v>
      </c>
      <c r="E659" t="s">
        <v>5</v>
      </c>
      <c r="F659" s="3">
        <v>9.6416666666666675</v>
      </c>
    </row>
    <row r="660" spans="1:7">
      <c r="A660" t="s">
        <v>7</v>
      </c>
      <c r="B660" t="s">
        <v>669</v>
      </c>
      <c r="C660" t="s">
        <v>1471</v>
      </c>
      <c r="D660" t="s">
        <v>811</v>
      </c>
      <c r="E660" t="s">
        <v>5</v>
      </c>
      <c r="F660" s="3">
        <v>5.0666666666666673</v>
      </c>
    </row>
    <row r="661" spans="1:7">
      <c r="A661" t="s">
        <v>7</v>
      </c>
      <c r="B661" t="s">
        <v>670</v>
      </c>
      <c r="C661" t="s">
        <v>1472</v>
      </c>
      <c r="D661" t="s">
        <v>811</v>
      </c>
      <c r="E661" t="s">
        <v>5</v>
      </c>
      <c r="F661" s="3">
        <v>21.750000000000004</v>
      </c>
    </row>
    <row r="662" spans="1:7">
      <c r="A662" t="s">
        <v>6</v>
      </c>
      <c r="B662" t="s">
        <v>671</v>
      </c>
      <c r="C662" t="s">
        <v>1473</v>
      </c>
      <c r="D662" t="s">
        <v>811</v>
      </c>
      <c r="E662" t="s">
        <v>5</v>
      </c>
      <c r="F662" s="3">
        <v>17.074999999999999</v>
      </c>
    </row>
    <row r="663" spans="1:7">
      <c r="A663" t="s">
        <v>6</v>
      </c>
      <c r="B663" t="s">
        <v>672</v>
      </c>
      <c r="C663" t="s">
        <v>1474</v>
      </c>
      <c r="D663" t="s">
        <v>811</v>
      </c>
      <c r="E663" t="s">
        <v>5</v>
      </c>
      <c r="F663" s="3">
        <v>45.366666666666667</v>
      </c>
      <c r="G663" s="1"/>
    </row>
    <row r="664" spans="1:7">
      <c r="A664" t="s">
        <v>9</v>
      </c>
      <c r="B664" t="s">
        <v>673</v>
      </c>
      <c r="C664" t="s">
        <v>1475</v>
      </c>
      <c r="D664" t="s">
        <v>811</v>
      </c>
      <c r="E664" t="s">
        <v>5</v>
      </c>
      <c r="F664" s="3">
        <v>8.6666666666666679</v>
      </c>
    </row>
    <row r="665" spans="1:7">
      <c r="A665" t="s">
        <v>9</v>
      </c>
      <c r="B665" t="s">
        <v>674</v>
      </c>
      <c r="C665" t="s">
        <v>1476</v>
      </c>
      <c r="D665" t="s">
        <v>811</v>
      </c>
      <c r="E665" t="s">
        <v>5</v>
      </c>
      <c r="F665" s="3">
        <v>15.208333333333334</v>
      </c>
    </row>
    <row r="666" spans="1:7">
      <c r="A666" t="s">
        <v>9</v>
      </c>
      <c r="B666" t="s">
        <v>675</v>
      </c>
      <c r="C666" t="s">
        <v>1477</v>
      </c>
      <c r="D666" t="s">
        <v>811</v>
      </c>
      <c r="E666" t="s">
        <v>5</v>
      </c>
      <c r="F666" s="3">
        <v>10.116666666666667</v>
      </c>
    </row>
    <row r="667" spans="1:7">
      <c r="A667" t="s">
        <v>9</v>
      </c>
      <c r="B667" t="s">
        <v>676</v>
      </c>
      <c r="C667" t="s">
        <v>1478</v>
      </c>
      <c r="D667" t="s">
        <v>811</v>
      </c>
      <c r="E667" t="s">
        <v>5</v>
      </c>
      <c r="F667" s="3">
        <v>5.166666666666667</v>
      </c>
    </row>
    <row r="668" spans="1:7">
      <c r="A668" t="s">
        <v>9</v>
      </c>
      <c r="B668" t="s">
        <v>677</v>
      </c>
      <c r="C668" t="s">
        <v>1479</v>
      </c>
      <c r="D668" t="s">
        <v>811</v>
      </c>
      <c r="E668" t="s">
        <v>5</v>
      </c>
      <c r="F668" s="3">
        <v>7.2583333333333346</v>
      </c>
    </row>
    <row r="669" spans="1:7">
      <c r="A669" t="s">
        <v>9</v>
      </c>
      <c r="B669" t="s">
        <v>678</v>
      </c>
      <c r="C669" t="s">
        <v>1480</v>
      </c>
      <c r="D669" t="s">
        <v>811</v>
      </c>
      <c r="E669" t="s">
        <v>5</v>
      </c>
      <c r="F669" s="3">
        <v>8.2083333333333339</v>
      </c>
    </row>
    <row r="670" spans="1:7">
      <c r="A670" t="s">
        <v>9</v>
      </c>
      <c r="B670" t="s">
        <v>679</v>
      </c>
      <c r="C670" t="s">
        <v>1481</v>
      </c>
      <c r="D670" t="s">
        <v>811</v>
      </c>
      <c r="E670" t="s">
        <v>5</v>
      </c>
      <c r="F670" s="3">
        <v>8.7166666666666686</v>
      </c>
    </row>
    <row r="671" spans="1:7">
      <c r="A671" t="s">
        <v>9</v>
      </c>
      <c r="B671" t="s">
        <v>680</v>
      </c>
      <c r="C671" t="s">
        <v>1482</v>
      </c>
      <c r="D671" t="s">
        <v>811</v>
      </c>
      <c r="E671" t="s">
        <v>5</v>
      </c>
      <c r="F671" s="3">
        <v>9.8416666666666668</v>
      </c>
    </row>
    <row r="672" spans="1:7">
      <c r="A672" t="s">
        <v>6</v>
      </c>
      <c r="B672" t="s">
        <v>681</v>
      </c>
      <c r="C672" t="s">
        <v>1483</v>
      </c>
      <c r="D672" t="s">
        <v>811</v>
      </c>
      <c r="E672" t="s">
        <v>5</v>
      </c>
      <c r="F672" s="3">
        <v>16.641666666666666</v>
      </c>
    </row>
    <row r="673" spans="1:6">
      <c r="A673" t="s">
        <v>9</v>
      </c>
      <c r="B673" t="s">
        <v>682</v>
      </c>
      <c r="C673" t="s">
        <v>1484</v>
      </c>
      <c r="D673" t="s">
        <v>811</v>
      </c>
      <c r="E673" t="s">
        <v>5</v>
      </c>
      <c r="F673" s="3">
        <v>5.7416666666666663</v>
      </c>
    </row>
    <row r="674" spans="1:6">
      <c r="A674" t="s">
        <v>9</v>
      </c>
      <c r="B674" t="s">
        <v>683</v>
      </c>
      <c r="C674" t="s">
        <v>1485</v>
      </c>
      <c r="D674" t="s">
        <v>811</v>
      </c>
      <c r="E674" t="s">
        <v>5</v>
      </c>
      <c r="F674" s="3">
        <v>10.483333333333334</v>
      </c>
    </row>
    <row r="675" spans="1:6">
      <c r="A675" t="s">
        <v>9</v>
      </c>
      <c r="B675" t="s">
        <v>684</v>
      </c>
      <c r="C675" t="s">
        <v>1486</v>
      </c>
      <c r="D675" t="s">
        <v>811</v>
      </c>
      <c r="E675" t="s">
        <v>5</v>
      </c>
      <c r="F675" s="3">
        <v>14.391666666666667</v>
      </c>
    </row>
    <row r="676" spans="1:6">
      <c r="A676" t="s">
        <v>9</v>
      </c>
      <c r="B676" t="s">
        <v>685</v>
      </c>
      <c r="C676" t="s">
        <v>1487</v>
      </c>
      <c r="D676" t="s">
        <v>811</v>
      </c>
      <c r="E676" t="s">
        <v>5</v>
      </c>
      <c r="F676" s="3">
        <v>13.074999999999999</v>
      </c>
    </row>
    <row r="677" spans="1:6">
      <c r="A677" t="s">
        <v>9</v>
      </c>
      <c r="B677" t="s">
        <v>686</v>
      </c>
      <c r="C677" t="s">
        <v>1488</v>
      </c>
      <c r="D677" t="s">
        <v>811</v>
      </c>
      <c r="E677" t="s">
        <v>5</v>
      </c>
      <c r="F677" s="3">
        <v>22.808333333333334</v>
      </c>
    </row>
    <row r="678" spans="1:6">
      <c r="A678" t="s">
        <v>9</v>
      </c>
      <c r="B678" t="s">
        <v>687</v>
      </c>
      <c r="C678" t="s">
        <v>1489</v>
      </c>
      <c r="D678" t="s">
        <v>811</v>
      </c>
      <c r="E678" t="s">
        <v>5</v>
      </c>
      <c r="F678" s="3">
        <v>8.2166666666666668</v>
      </c>
    </row>
    <row r="679" spans="1:6">
      <c r="A679" t="s">
        <v>9</v>
      </c>
      <c r="B679" t="s">
        <v>688</v>
      </c>
      <c r="C679" t="s">
        <v>1490</v>
      </c>
      <c r="D679" t="s">
        <v>811</v>
      </c>
      <c r="E679" t="s">
        <v>5</v>
      </c>
      <c r="F679" s="3">
        <v>18.058333333333337</v>
      </c>
    </row>
    <row r="680" spans="1:6">
      <c r="A680" t="s">
        <v>6</v>
      </c>
      <c r="B680" t="s">
        <v>689</v>
      </c>
      <c r="C680" t="s">
        <v>1491</v>
      </c>
      <c r="D680" t="s">
        <v>811</v>
      </c>
      <c r="E680" t="s">
        <v>5</v>
      </c>
      <c r="F680" s="3">
        <v>19.708333333333332</v>
      </c>
    </row>
    <row r="681" spans="1:6">
      <c r="A681" t="s">
        <v>9</v>
      </c>
      <c r="B681" t="s">
        <v>690</v>
      </c>
      <c r="C681" t="s">
        <v>1492</v>
      </c>
      <c r="D681" t="s">
        <v>811</v>
      </c>
      <c r="E681" t="s">
        <v>5</v>
      </c>
      <c r="F681" s="3">
        <v>11.091666666666667</v>
      </c>
    </row>
    <row r="682" spans="1:6">
      <c r="A682" t="s">
        <v>9</v>
      </c>
      <c r="B682" t="s">
        <v>691</v>
      </c>
      <c r="C682" t="s">
        <v>1493</v>
      </c>
      <c r="D682" t="s">
        <v>811</v>
      </c>
      <c r="E682" t="s">
        <v>5</v>
      </c>
      <c r="F682" s="3">
        <v>2.4166666666666665</v>
      </c>
    </row>
    <row r="683" spans="1:6">
      <c r="A683" t="s">
        <v>9</v>
      </c>
      <c r="B683" t="s">
        <v>692</v>
      </c>
      <c r="C683" t="s">
        <v>1494</v>
      </c>
      <c r="D683" t="s">
        <v>811</v>
      </c>
      <c r="E683" t="s">
        <v>5</v>
      </c>
      <c r="F683" s="3">
        <v>15.766666666666669</v>
      </c>
    </row>
    <row r="684" spans="1:6">
      <c r="A684" t="s">
        <v>9</v>
      </c>
      <c r="B684" t="s">
        <v>693</v>
      </c>
      <c r="C684" t="s">
        <v>1495</v>
      </c>
      <c r="D684" t="s">
        <v>811</v>
      </c>
      <c r="E684" t="s">
        <v>5</v>
      </c>
      <c r="F684" s="3">
        <v>8.9500000000000011</v>
      </c>
    </row>
    <row r="685" spans="1:6">
      <c r="A685" t="s">
        <v>9</v>
      </c>
      <c r="B685" t="s">
        <v>694</v>
      </c>
      <c r="C685" t="s">
        <v>1496</v>
      </c>
      <c r="D685" t="s">
        <v>811</v>
      </c>
      <c r="E685" t="s">
        <v>5</v>
      </c>
      <c r="F685" s="3">
        <v>10.5</v>
      </c>
    </row>
    <row r="686" spans="1:6">
      <c r="A686" t="s">
        <v>7</v>
      </c>
      <c r="B686" t="s">
        <v>695</v>
      </c>
      <c r="C686" t="s">
        <v>1497</v>
      </c>
      <c r="D686" t="s">
        <v>811</v>
      </c>
      <c r="E686" t="s">
        <v>5</v>
      </c>
      <c r="F686" s="3">
        <v>7.5666666666666673</v>
      </c>
    </row>
    <row r="687" spans="1:6">
      <c r="A687" t="s">
        <v>7</v>
      </c>
      <c r="B687" t="s">
        <v>696</v>
      </c>
      <c r="C687" t="s">
        <v>1498</v>
      </c>
      <c r="D687" t="s">
        <v>811</v>
      </c>
      <c r="E687" t="s">
        <v>5</v>
      </c>
      <c r="F687" s="3">
        <v>10.825000000000001</v>
      </c>
    </row>
    <row r="688" spans="1:6">
      <c r="A688" t="s">
        <v>6</v>
      </c>
      <c r="B688" t="s">
        <v>697</v>
      </c>
      <c r="C688" t="s">
        <v>1499</v>
      </c>
      <c r="D688" t="s">
        <v>811</v>
      </c>
      <c r="E688" t="s">
        <v>5</v>
      </c>
      <c r="F688" s="3">
        <v>2.6833333333333331</v>
      </c>
    </row>
    <row r="689" spans="1:7">
      <c r="A689" t="s">
        <v>6</v>
      </c>
      <c r="B689" t="s">
        <v>698</v>
      </c>
      <c r="C689" t="s">
        <v>1500</v>
      </c>
      <c r="D689" t="s">
        <v>811</v>
      </c>
      <c r="E689" t="s">
        <v>5</v>
      </c>
      <c r="F689" s="3">
        <v>2.3666666666666667</v>
      </c>
    </row>
    <row r="690" spans="1:7">
      <c r="A690" t="s">
        <v>9</v>
      </c>
      <c r="B690" t="s">
        <v>699</v>
      </c>
      <c r="C690" t="s">
        <v>1501</v>
      </c>
      <c r="D690" t="s">
        <v>811</v>
      </c>
      <c r="E690" t="s">
        <v>5</v>
      </c>
      <c r="F690" s="3">
        <v>5.083333333333333</v>
      </c>
    </row>
    <row r="691" spans="1:7">
      <c r="A691" t="s">
        <v>6</v>
      </c>
      <c r="B691" t="s">
        <v>700</v>
      </c>
      <c r="C691" t="s">
        <v>1502</v>
      </c>
      <c r="D691" t="s">
        <v>811</v>
      </c>
      <c r="E691" t="s">
        <v>5</v>
      </c>
      <c r="F691" s="3">
        <v>13.108333333333334</v>
      </c>
    </row>
    <row r="692" spans="1:7">
      <c r="A692" t="s">
        <v>9</v>
      </c>
      <c r="B692" t="s">
        <v>701</v>
      </c>
      <c r="C692" t="s">
        <v>1503</v>
      </c>
      <c r="D692" t="s">
        <v>811</v>
      </c>
      <c r="E692" t="s">
        <v>5</v>
      </c>
      <c r="F692" s="3">
        <v>18.766666666666666</v>
      </c>
    </row>
    <row r="693" spans="1:7">
      <c r="A693" t="s">
        <v>9</v>
      </c>
      <c r="B693" t="s">
        <v>702</v>
      </c>
      <c r="C693" t="s">
        <v>1504</v>
      </c>
      <c r="D693" t="s">
        <v>811</v>
      </c>
      <c r="E693" t="s">
        <v>5</v>
      </c>
      <c r="F693" s="3">
        <v>33.075000000000003</v>
      </c>
      <c r="G693" s="1"/>
    </row>
    <row r="694" spans="1:7">
      <c r="A694" t="s">
        <v>6</v>
      </c>
      <c r="B694" t="s">
        <v>703</v>
      </c>
      <c r="C694" t="s">
        <v>1505</v>
      </c>
      <c r="D694" t="s">
        <v>811</v>
      </c>
      <c r="E694" t="s">
        <v>5</v>
      </c>
      <c r="F694" s="3">
        <v>9.1416666666666675</v>
      </c>
    </row>
    <row r="695" spans="1:7">
      <c r="A695" t="s">
        <v>9</v>
      </c>
      <c r="B695" t="s">
        <v>704</v>
      </c>
      <c r="C695" t="s">
        <v>1506</v>
      </c>
      <c r="D695" t="s">
        <v>811</v>
      </c>
      <c r="E695" t="s">
        <v>5</v>
      </c>
      <c r="F695" s="3">
        <v>13.216666666666667</v>
      </c>
    </row>
    <row r="696" spans="1:7">
      <c r="A696" t="s">
        <v>9</v>
      </c>
      <c r="B696" t="s">
        <v>705</v>
      </c>
      <c r="C696" t="s">
        <v>1507</v>
      </c>
      <c r="D696" t="s">
        <v>811</v>
      </c>
      <c r="E696" t="s">
        <v>5</v>
      </c>
      <c r="F696" s="3">
        <v>23.475000000000001</v>
      </c>
    </row>
    <row r="697" spans="1:7">
      <c r="A697" t="s">
        <v>6</v>
      </c>
      <c r="B697" t="s">
        <v>706</v>
      </c>
      <c r="C697" t="s">
        <v>1508</v>
      </c>
      <c r="D697" t="s">
        <v>811</v>
      </c>
      <c r="E697" t="s">
        <v>5</v>
      </c>
      <c r="F697" s="3">
        <v>63.166666666666664</v>
      </c>
      <c r="G697" s="1"/>
    </row>
    <row r="698" spans="1:7">
      <c r="A698" t="s">
        <v>6</v>
      </c>
      <c r="B698" t="s">
        <v>707</v>
      </c>
      <c r="C698" t="s">
        <v>1509</v>
      </c>
      <c r="D698" t="s">
        <v>811</v>
      </c>
      <c r="E698" t="s">
        <v>5</v>
      </c>
      <c r="F698" s="3">
        <v>6.1000000000000005</v>
      </c>
    </row>
    <row r="699" spans="1:7">
      <c r="A699" t="s">
        <v>6</v>
      </c>
      <c r="B699" t="s">
        <v>708</v>
      </c>
      <c r="C699" t="s">
        <v>1510</v>
      </c>
      <c r="D699" t="s">
        <v>811</v>
      </c>
      <c r="E699" t="s">
        <v>5</v>
      </c>
      <c r="F699" s="3">
        <v>7.2000000000000011</v>
      </c>
    </row>
    <row r="700" spans="1:7">
      <c r="A700" t="s">
        <v>9</v>
      </c>
      <c r="B700" t="s">
        <v>709</v>
      </c>
      <c r="C700" t="s">
        <v>1511</v>
      </c>
      <c r="D700" t="s">
        <v>811</v>
      </c>
      <c r="E700" t="s">
        <v>5</v>
      </c>
      <c r="F700" s="3">
        <v>10.658333333333333</v>
      </c>
    </row>
    <row r="701" spans="1:7">
      <c r="A701" t="s">
        <v>9</v>
      </c>
      <c r="B701" t="s">
        <v>710</v>
      </c>
      <c r="C701" t="s">
        <v>1512</v>
      </c>
      <c r="D701" t="s">
        <v>811</v>
      </c>
      <c r="E701" t="s">
        <v>5</v>
      </c>
      <c r="F701" s="3">
        <v>13.291666666666666</v>
      </c>
    </row>
    <row r="702" spans="1:7">
      <c r="A702" t="s">
        <v>9</v>
      </c>
      <c r="B702" t="s">
        <v>711</v>
      </c>
      <c r="C702" t="s">
        <v>1513</v>
      </c>
      <c r="D702" t="s">
        <v>811</v>
      </c>
      <c r="E702" t="s">
        <v>5</v>
      </c>
      <c r="F702" s="3">
        <v>58.75833333333334</v>
      </c>
      <c r="G702" s="1"/>
    </row>
    <row r="703" spans="1:7">
      <c r="A703" t="s">
        <v>7</v>
      </c>
      <c r="B703" t="s">
        <v>712</v>
      </c>
      <c r="C703" t="s">
        <v>1514</v>
      </c>
      <c r="D703" t="s">
        <v>811</v>
      </c>
      <c r="E703" t="s">
        <v>5</v>
      </c>
      <c r="F703" s="3">
        <v>5.0666666666666673</v>
      </c>
    </row>
    <row r="704" spans="1:7">
      <c r="A704" t="s">
        <v>9</v>
      </c>
      <c r="B704" t="s">
        <v>713</v>
      </c>
      <c r="C704" t="s">
        <v>1515</v>
      </c>
      <c r="D704" t="s">
        <v>811</v>
      </c>
      <c r="E704" t="s">
        <v>5</v>
      </c>
      <c r="F704" s="3">
        <v>9.5416666666666661</v>
      </c>
    </row>
    <row r="705" spans="1:7">
      <c r="A705" t="s">
        <v>9</v>
      </c>
      <c r="B705" t="s">
        <v>714</v>
      </c>
      <c r="C705" t="s">
        <v>1516</v>
      </c>
      <c r="D705" t="s">
        <v>811</v>
      </c>
      <c r="E705" t="s">
        <v>5</v>
      </c>
      <c r="F705" s="3">
        <v>9.7083333333333339</v>
      </c>
    </row>
    <row r="706" spans="1:7">
      <c r="A706" t="s">
        <v>7</v>
      </c>
      <c r="B706" t="s">
        <v>715</v>
      </c>
      <c r="C706" t="s">
        <v>1517</v>
      </c>
      <c r="D706" t="s">
        <v>811</v>
      </c>
      <c r="E706" t="s">
        <v>5</v>
      </c>
      <c r="F706" s="3">
        <v>22.8</v>
      </c>
    </row>
    <row r="707" spans="1:7">
      <c r="A707" t="s">
        <v>9</v>
      </c>
      <c r="B707" t="s">
        <v>716</v>
      </c>
      <c r="C707" t="s">
        <v>1518</v>
      </c>
      <c r="D707" t="s">
        <v>811</v>
      </c>
      <c r="E707" t="s">
        <v>5</v>
      </c>
      <c r="F707" s="3">
        <v>35.650000000000006</v>
      </c>
      <c r="G707" s="1"/>
    </row>
    <row r="708" spans="1:7">
      <c r="A708" t="s">
        <v>6</v>
      </c>
      <c r="B708" t="s">
        <v>717</v>
      </c>
      <c r="C708" t="s">
        <v>1519</v>
      </c>
      <c r="D708" t="s">
        <v>811</v>
      </c>
      <c r="E708" t="s">
        <v>5</v>
      </c>
      <c r="F708" s="3">
        <v>37.091666666666669</v>
      </c>
      <c r="G708" s="1"/>
    </row>
    <row r="709" spans="1:7">
      <c r="A709" t="s">
        <v>6</v>
      </c>
      <c r="B709" t="s">
        <v>718</v>
      </c>
      <c r="C709" t="s">
        <v>1520</v>
      </c>
      <c r="D709" t="s">
        <v>811</v>
      </c>
      <c r="E709" t="s">
        <v>5</v>
      </c>
      <c r="F709" s="3">
        <v>51.7</v>
      </c>
      <c r="G709" s="1"/>
    </row>
    <row r="710" spans="1:7">
      <c r="A710" t="s">
        <v>9</v>
      </c>
      <c r="B710" t="s">
        <v>719</v>
      </c>
      <c r="C710" t="s">
        <v>1521</v>
      </c>
      <c r="D710" t="s">
        <v>811</v>
      </c>
      <c r="E710" t="s">
        <v>5</v>
      </c>
      <c r="F710" s="3">
        <v>23.616666666666667</v>
      </c>
    </row>
    <row r="711" spans="1:7">
      <c r="A711" t="s">
        <v>9</v>
      </c>
      <c r="B711" t="s">
        <v>720</v>
      </c>
      <c r="C711" t="s">
        <v>1522</v>
      </c>
      <c r="D711" t="s">
        <v>811</v>
      </c>
      <c r="E711" t="s">
        <v>5</v>
      </c>
      <c r="F711" s="3">
        <v>26.941666666666666</v>
      </c>
    </row>
    <row r="712" spans="1:7">
      <c r="A712" t="s">
        <v>9</v>
      </c>
      <c r="B712" t="s">
        <v>721</v>
      </c>
      <c r="C712" t="s">
        <v>1523</v>
      </c>
      <c r="D712" t="s">
        <v>811</v>
      </c>
      <c r="E712" t="s">
        <v>5</v>
      </c>
      <c r="F712" s="3">
        <v>23.708333333333332</v>
      </c>
    </row>
    <row r="713" spans="1:7">
      <c r="A713" t="s">
        <v>9</v>
      </c>
      <c r="B713" t="s">
        <v>722</v>
      </c>
      <c r="C713" t="s">
        <v>1524</v>
      </c>
      <c r="D713" t="s">
        <v>811</v>
      </c>
      <c r="E713" t="s">
        <v>5</v>
      </c>
      <c r="F713" s="3">
        <v>31.125000000000004</v>
      </c>
      <c r="G713" s="1"/>
    </row>
    <row r="714" spans="1:7">
      <c r="A714" t="s">
        <v>9</v>
      </c>
      <c r="B714" t="s">
        <v>723</v>
      </c>
      <c r="C714" t="s">
        <v>1525</v>
      </c>
      <c r="D714" t="s">
        <v>811</v>
      </c>
      <c r="E714" t="s">
        <v>5</v>
      </c>
      <c r="F714" s="3">
        <v>30.45</v>
      </c>
    </row>
    <row r="715" spans="1:7">
      <c r="A715" t="s">
        <v>9</v>
      </c>
      <c r="B715" t="s">
        <v>724</v>
      </c>
      <c r="C715" t="s">
        <v>1526</v>
      </c>
      <c r="D715" t="s">
        <v>811</v>
      </c>
      <c r="E715" t="s">
        <v>5</v>
      </c>
      <c r="F715" s="3">
        <v>34.158333333333339</v>
      </c>
      <c r="G715" s="1"/>
    </row>
    <row r="716" spans="1:7">
      <c r="A716" t="s">
        <v>9</v>
      </c>
      <c r="B716" t="s">
        <v>725</v>
      </c>
      <c r="C716" t="s">
        <v>1527</v>
      </c>
      <c r="D716" t="s">
        <v>811</v>
      </c>
      <c r="E716" t="s">
        <v>5</v>
      </c>
      <c r="F716" s="3">
        <v>35.625</v>
      </c>
      <c r="G716" s="1"/>
    </row>
    <row r="717" spans="1:7">
      <c r="A717" t="s">
        <v>9</v>
      </c>
      <c r="B717" t="s">
        <v>726</v>
      </c>
      <c r="C717" t="s">
        <v>1528</v>
      </c>
      <c r="D717" t="s">
        <v>811</v>
      </c>
      <c r="E717" t="s">
        <v>5</v>
      </c>
      <c r="F717" s="3">
        <v>35.625</v>
      </c>
      <c r="G717" s="1"/>
    </row>
    <row r="718" spans="1:7">
      <c r="A718" t="s">
        <v>6</v>
      </c>
      <c r="B718" t="s">
        <v>727</v>
      </c>
      <c r="C718" t="s">
        <v>1529</v>
      </c>
      <c r="D718" t="s">
        <v>811</v>
      </c>
      <c r="E718" t="s">
        <v>5</v>
      </c>
      <c r="F718" s="3">
        <v>43.524999999999999</v>
      </c>
      <c r="G718" s="1"/>
    </row>
    <row r="719" spans="1:7">
      <c r="A719" t="s">
        <v>9</v>
      </c>
      <c r="B719" t="s">
        <v>728</v>
      </c>
      <c r="C719" t="s">
        <v>1530</v>
      </c>
      <c r="D719" t="s">
        <v>811</v>
      </c>
      <c r="E719" t="s">
        <v>5</v>
      </c>
      <c r="F719" s="3">
        <v>43.524999999999999</v>
      </c>
      <c r="G719" s="1"/>
    </row>
    <row r="720" spans="1:7">
      <c r="A720" t="s">
        <v>7</v>
      </c>
      <c r="B720" t="s">
        <v>729</v>
      </c>
      <c r="C720" t="s">
        <v>1531</v>
      </c>
      <c r="D720" t="s">
        <v>811</v>
      </c>
      <c r="E720" t="s">
        <v>5</v>
      </c>
      <c r="F720" s="3">
        <v>48.933333333333337</v>
      </c>
      <c r="G720" s="1"/>
    </row>
    <row r="721" spans="1:7">
      <c r="A721" t="s">
        <v>9</v>
      </c>
      <c r="B721" t="s">
        <v>730</v>
      </c>
      <c r="C721" t="s">
        <v>1532</v>
      </c>
      <c r="D721" t="s">
        <v>811</v>
      </c>
      <c r="E721" t="s">
        <v>5</v>
      </c>
      <c r="F721" s="3">
        <v>49.550000000000004</v>
      </c>
      <c r="G721" s="1"/>
    </row>
    <row r="722" spans="1:7">
      <c r="A722" t="s">
        <v>9</v>
      </c>
      <c r="B722" t="s">
        <v>731</v>
      </c>
      <c r="C722" t="s">
        <v>1533</v>
      </c>
      <c r="D722" t="s">
        <v>811</v>
      </c>
      <c r="E722" t="s">
        <v>5</v>
      </c>
      <c r="F722" s="3">
        <v>65.63333333333334</v>
      </c>
      <c r="G722" s="1"/>
    </row>
    <row r="723" spans="1:7">
      <c r="A723" t="s">
        <v>9</v>
      </c>
      <c r="B723" t="s">
        <v>732</v>
      </c>
      <c r="C723" t="s">
        <v>1534</v>
      </c>
      <c r="D723" t="s">
        <v>811</v>
      </c>
      <c r="E723" t="s">
        <v>5</v>
      </c>
      <c r="F723" s="3">
        <v>8.4166666666666661</v>
      </c>
    </row>
    <row r="724" spans="1:7">
      <c r="A724" t="s">
        <v>6</v>
      </c>
      <c r="B724" t="s">
        <v>733</v>
      </c>
      <c r="C724" t="s">
        <v>1535</v>
      </c>
      <c r="D724" t="s">
        <v>811</v>
      </c>
      <c r="E724" t="s">
        <v>5</v>
      </c>
      <c r="F724" s="3">
        <v>9.15</v>
      </c>
    </row>
    <row r="725" spans="1:7">
      <c r="A725" t="s">
        <v>6</v>
      </c>
      <c r="B725" t="s">
        <v>734</v>
      </c>
      <c r="C725" t="s">
        <v>1536</v>
      </c>
      <c r="D725" t="s">
        <v>811</v>
      </c>
      <c r="E725" t="s">
        <v>5</v>
      </c>
      <c r="F725" s="3">
        <v>8.9166666666666661</v>
      </c>
    </row>
    <row r="726" spans="1:7">
      <c r="A726" t="s">
        <v>9</v>
      </c>
      <c r="B726" t="s">
        <v>735</v>
      </c>
      <c r="C726" t="s">
        <v>1537</v>
      </c>
      <c r="D726" t="s">
        <v>811</v>
      </c>
      <c r="E726" t="s">
        <v>5</v>
      </c>
      <c r="F726" s="3">
        <v>9.1583333333333332</v>
      </c>
    </row>
    <row r="727" spans="1:7">
      <c r="A727" t="s">
        <v>9</v>
      </c>
      <c r="B727" t="s">
        <v>736</v>
      </c>
      <c r="C727" t="s">
        <v>1538</v>
      </c>
      <c r="D727" t="s">
        <v>811</v>
      </c>
      <c r="E727" t="s">
        <v>5</v>
      </c>
      <c r="F727" s="3">
        <v>11.041666666666668</v>
      </c>
    </row>
    <row r="728" spans="1:7">
      <c r="A728" t="s">
        <v>6</v>
      </c>
      <c r="B728" t="s">
        <v>737</v>
      </c>
      <c r="C728" t="s">
        <v>1539</v>
      </c>
      <c r="D728" t="s">
        <v>811</v>
      </c>
      <c r="E728" t="s">
        <v>5</v>
      </c>
      <c r="F728" s="3">
        <v>14.241666666666667</v>
      </c>
    </row>
    <row r="729" spans="1:7">
      <c r="A729" t="s">
        <v>6</v>
      </c>
      <c r="B729" t="s">
        <v>738</v>
      </c>
      <c r="C729" t="s">
        <v>1540</v>
      </c>
      <c r="D729" t="s">
        <v>811</v>
      </c>
      <c r="E729" t="s">
        <v>5</v>
      </c>
      <c r="F729" s="3">
        <v>29.183333333333337</v>
      </c>
      <c r="G729" s="1"/>
    </row>
    <row r="730" spans="1:7">
      <c r="A730" t="s">
        <v>6</v>
      </c>
      <c r="B730" t="s">
        <v>739</v>
      </c>
      <c r="C730" t="s">
        <v>1541</v>
      </c>
      <c r="D730" t="s">
        <v>811</v>
      </c>
      <c r="E730" t="s">
        <v>5</v>
      </c>
      <c r="F730" s="3">
        <v>19.733333333333334</v>
      </c>
    </row>
    <row r="731" spans="1:7">
      <c r="A731" t="s">
        <v>6</v>
      </c>
      <c r="B731" t="s">
        <v>740</v>
      </c>
      <c r="C731" t="s">
        <v>1542</v>
      </c>
      <c r="D731" t="s">
        <v>811</v>
      </c>
      <c r="E731" t="s">
        <v>5</v>
      </c>
      <c r="F731" s="3">
        <v>26</v>
      </c>
    </row>
    <row r="732" spans="1:7">
      <c r="A732" t="s">
        <v>6</v>
      </c>
      <c r="B732" t="s">
        <v>741</v>
      </c>
      <c r="C732" t="s">
        <v>1543</v>
      </c>
      <c r="D732" t="s">
        <v>811</v>
      </c>
      <c r="E732" t="s">
        <v>5</v>
      </c>
      <c r="F732" s="3">
        <v>26.575000000000003</v>
      </c>
      <c r="G732" s="1"/>
    </row>
    <row r="733" spans="1:7">
      <c r="A733" t="s">
        <v>9</v>
      </c>
      <c r="B733" t="s">
        <v>742</v>
      </c>
      <c r="C733" t="s">
        <v>1544</v>
      </c>
      <c r="D733" t="s">
        <v>811</v>
      </c>
      <c r="E733" t="s">
        <v>5</v>
      </c>
      <c r="F733" s="3">
        <v>48.591666666666669</v>
      </c>
      <c r="G733" s="1"/>
    </row>
    <row r="734" spans="1:7">
      <c r="A734" t="s">
        <v>9</v>
      </c>
      <c r="B734" t="s">
        <v>743</v>
      </c>
      <c r="C734" t="s">
        <v>1545</v>
      </c>
      <c r="D734" t="s">
        <v>811</v>
      </c>
      <c r="E734" t="s">
        <v>5</v>
      </c>
      <c r="F734" s="3">
        <v>37.258333333333333</v>
      </c>
    </row>
    <row r="735" spans="1:7">
      <c r="A735" t="s">
        <v>6</v>
      </c>
      <c r="B735" t="s">
        <v>744</v>
      </c>
      <c r="C735" t="s">
        <v>1546</v>
      </c>
      <c r="D735" t="s">
        <v>811</v>
      </c>
      <c r="E735" t="s">
        <v>5</v>
      </c>
      <c r="F735" s="3">
        <v>32.016666666666666</v>
      </c>
      <c r="G735" s="1"/>
    </row>
    <row r="736" spans="1:7">
      <c r="A736" t="s">
        <v>9</v>
      </c>
      <c r="B736" t="s">
        <v>745</v>
      </c>
      <c r="C736" t="s">
        <v>1547</v>
      </c>
      <c r="D736" t="s">
        <v>811</v>
      </c>
      <c r="E736" t="s">
        <v>5</v>
      </c>
      <c r="F736" s="3">
        <v>36.683333333333337</v>
      </c>
      <c r="G736" s="1"/>
    </row>
    <row r="737" spans="1:7">
      <c r="A737" t="s">
        <v>9</v>
      </c>
      <c r="B737" t="s">
        <v>746</v>
      </c>
      <c r="C737" t="s">
        <v>1548</v>
      </c>
      <c r="D737" t="s">
        <v>811</v>
      </c>
      <c r="E737" t="s">
        <v>5</v>
      </c>
      <c r="F737" s="3">
        <v>36.683333333333337</v>
      </c>
      <c r="G737" s="1"/>
    </row>
    <row r="738" spans="1:7">
      <c r="A738" t="s">
        <v>6</v>
      </c>
      <c r="B738" t="s">
        <v>747</v>
      </c>
      <c r="C738" t="s">
        <v>1549</v>
      </c>
      <c r="D738" t="s">
        <v>811</v>
      </c>
      <c r="E738" t="s">
        <v>5</v>
      </c>
      <c r="F738" s="3">
        <v>51.475000000000001</v>
      </c>
      <c r="G738" s="1"/>
    </row>
    <row r="739" spans="1:7">
      <c r="A739" t="s">
        <v>6</v>
      </c>
      <c r="B739" t="s">
        <v>748</v>
      </c>
      <c r="C739" t="s">
        <v>1550</v>
      </c>
      <c r="D739" t="s">
        <v>811</v>
      </c>
      <c r="E739" t="s">
        <v>5</v>
      </c>
      <c r="F739" s="3">
        <v>44.716666666666669</v>
      </c>
      <c r="G739" s="1"/>
    </row>
    <row r="740" spans="1:7">
      <c r="A740" t="s">
        <v>9</v>
      </c>
      <c r="B740" t="s">
        <v>749</v>
      </c>
      <c r="C740" t="s">
        <v>1551</v>
      </c>
      <c r="D740" t="s">
        <v>811</v>
      </c>
      <c r="E740" t="s">
        <v>5</v>
      </c>
      <c r="F740" s="3">
        <v>44.716666666666669</v>
      </c>
      <c r="G740" s="1"/>
    </row>
    <row r="741" spans="1:7">
      <c r="A741" t="s">
        <v>6</v>
      </c>
      <c r="B741" t="s">
        <v>750</v>
      </c>
      <c r="C741" t="s">
        <v>1552</v>
      </c>
      <c r="D741" t="s">
        <v>811</v>
      </c>
      <c r="E741" t="s">
        <v>5</v>
      </c>
      <c r="F741" s="3">
        <v>46.966666666666669</v>
      </c>
      <c r="G741" s="1"/>
    </row>
    <row r="742" spans="1:7">
      <c r="A742" t="s">
        <v>7</v>
      </c>
      <c r="B742" t="s">
        <v>751</v>
      </c>
      <c r="C742" t="s">
        <v>1553</v>
      </c>
      <c r="D742" t="s">
        <v>811</v>
      </c>
      <c r="E742" t="s">
        <v>5</v>
      </c>
      <c r="F742" s="3">
        <v>46.966666666666669</v>
      </c>
      <c r="G742" s="1"/>
    </row>
    <row r="743" spans="1:7">
      <c r="A743" t="s">
        <v>6</v>
      </c>
      <c r="B743" t="s">
        <v>752</v>
      </c>
      <c r="C743" t="s">
        <v>1554</v>
      </c>
      <c r="D743" t="s">
        <v>811</v>
      </c>
      <c r="E743" t="s">
        <v>5</v>
      </c>
      <c r="F743" s="3">
        <v>60.458333333333336</v>
      </c>
      <c r="G743" s="1"/>
    </row>
    <row r="744" spans="1:7">
      <c r="A744" t="s">
        <v>6</v>
      </c>
      <c r="B744" t="s">
        <v>753</v>
      </c>
      <c r="C744" t="s">
        <v>1555</v>
      </c>
      <c r="D744" t="s">
        <v>811</v>
      </c>
      <c r="E744" t="s">
        <v>5</v>
      </c>
      <c r="F744" s="3">
        <v>60.458333333333336</v>
      </c>
      <c r="G744" s="1"/>
    </row>
    <row r="745" spans="1:7">
      <c r="A745" t="s">
        <v>9</v>
      </c>
      <c r="B745" t="s">
        <v>754</v>
      </c>
      <c r="C745" t="s">
        <v>1556</v>
      </c>
      <c r="D745" t="s">
        <v>811</v>
      </c>
      <c r="E745" t="s">
        <v>5</v>
      </c>
      <c r="F745" s="3">
        <v>8.3750000000000018</v>
      </c>
    </row>
    <row r="746" spans="1:7">
      <c r="A746" t="s">
        <v>9</v>
      </c>
      <c r="B746" t="s">
        <v>755</v>
      </c>
      <c r="C746" t="s">
        <v>1557</v>
      </c>
      <c r="D746" t="s">
        <v>811</v>
      </c>
      <c r="E746" t="s">
        <v>5</v>
      </c>
      <c r="F746" s="3">
        <v>10.291666666666666</v>
      </c>
    </row>
    <row r="747" spans="1:7">
      <c r="A747" t="s">
        <v>9</v>
      </c>
      <c r="B747" t="s">
        <v>756</v>
      </c>
      <c r="C747" t="s">
        <v>1558</v>
      </c>
      <c r="D747" t="s">
        <v>811</v>
      </c>
      <c r="E747" t="s">
        <v>5</v>
      </c>
      <c r="F747" s="3">
        <v>10.5</v>
      </c>
    </row>
    <row r="748" spans="1:7">
      <c r="A748" t="s">
        <v>9</v>
      </c>
      <c r="B748" t="s">
        <v>757</v>
      </c>
      <c r="C748" t="s">
        <v>1559</v>
      </c>
      <c r="D748" t="s">
        <v>811</v>
      </c>
      <c r="E748" t="s">
        <v>5</v>
      </c>
      <c r="F748" s="3">
        <v>13.633333333333333</v>
      </c>
    </row>
    <row r="749" spans="1:7">
      <c r="A749" t="s">
        <v>6</v>
      </c>
      <c r="B749" t="s">
        <v>758</v>
      </c>
      <c r="C749" t="s">
        <v>1560</v>
      </c>
      <c r="D749" t="s">
        <v>811</v>
      </c>
      <c r="E749" t="s">
        <v>5</v>
      </c>
      <c r="F749" s="3">
        <v>73.166666666666671</v>
      </c>
      <c r="G749" s="1"/>
    </row>
    <row r="750" spans="1:7">
      <c r="A750" t="s">
        <v>6</v>
      </c>
      <c r="B750" t="s">
        <v>759</v>
      </c>
      <c r="C750" t="s">
        <v>1561</v>
      </c>
      <c r="D750" t="s">
        <v>811</v>
      </c>
      <c r="E750" t="s">
        <v>5</v>
      </c>
      <c r="F750" s="3">
        <v>10.45</v>
      </c>
    </row>
    <row r="751" spans="1:7">
      <c r="A751" t="s">
        <v>6</v>
      </c>
      <c r="B751" t="s">
        <v>760</v>
      </c>
      <c r="C751" t="s">
        <v>1562</v>
      </c>
      <c r="D751" t="s">
        <v>811</v>
      </c>
      <c r="E751" t="s">
        <v>5</v>
      </c>
      <c r="F751" s="3">
        <v>14.341666666666669</v>
      </c>
    </row>
    <row r="752" spans="1:7">
      <c r="A752" t="s">
        <v>6</v>
      </c>
      <c r="B752" t="s">
        <v>761</v>
      </c>
      <c r="C752" t="s">
        <v>1563</v>
      </c>
      <c r="D752" t="s">
        <v>811</v>
      </c>
      <c r="E752" t="s">
        <v>5</v>
      </c>
      <c r="F752" s="3">
        <v>80.25</v>
      </c>
      <c r="G752" s="1"/>
    </row>
    <row r="753" spans="1:7">
      <c r="A753" t="s">
        <v>6</v>
      </c>
      <c r="B753" t="s">
        <v>762</v>
      </c>
      <c r="C753" t="s">
        <v>1564</v>
      </c>
      <c r="D753" t="s">
        <v>811</v>
      </c>
      <c r="E753" t="s">
        <v>5</v>
      </c>
      <c r="F753" s="3">
        <v>80.291666666666671</v>
      </c>
      <c r="G753" s="1"/>
    </row>
    <row r="754" spans="1:7">
      <c r="A754" t="s">
        <v>6</v>
      </c>
      <c r="B754" t="s">
        <v>763</v>
      </c>
      <c r="C754" t="s">
        <v>1565</v>
      </c>
      <c r="D754" t="s">
        <v>811</v>
      </c>
      <c r="E754" t="s">
        <v>5</v>
      </c>
      <c r="F754" s="3">
        <v>37.916666666666671</v>
      </c>
      <c r="G754" s="1"/>
    </row>
    <row r="755" spans="1:7">
      <c r="A755" t="s">
        <v>9</v>
      </c>
      <c r="B755" t="s">
        <v>764</v>
      </c>
      <c r="C755" t="s">
        <v>1566</v>
      </c>
      <c r="D755" t="s">
        <v>811</v>
      </c>
      <c r="E755" t="s">
        <v>5</v>
      </c>
      <c r="F755" s="3">
        <v>11.708333333333334</v>
      </c>
    </row>
    <row r="756" spans="1:7">
      <c r="A756" t="s">
        <v>9</v>
      </c>
      <c r="B756" t="s">
        <v>765</v>
      </c>
      <c r="C756" t="s">
        <v>1567</v>
      </c>
      <c r="D756" t="s">
        <v>811</v>
      </c>
      <c r="E756" t="s">
        <v>5</v>
      </c>
      <c r="F756" s="3">
        <v>17.208333333333332</v>
      </c>
    </row>
    <row r="757" spans="1:7">
      <c r="A757" t="s">
        <v>6</v>
      </c>
      <c r="B757" t="s">
        <v>766</v>
      </c>
      <c r="C757" t="s">
        <v>1568</v>
      </c>
      <c r="D757" t="s">
        <v>811</v>
      </c>
      <c r="E757" t="s">
        <v>5</v>
      </c>
      <c r="F757" s="3">
        <v>11.333333333333334</v>
      </c>
    </row>
    <row r="758" spans="1:7">
      <c r="A758" t="s">
        <v>6</v>
      </c>
      <c r="B758" t="s">
        <v>767</v>
      </c>
      <c r="C758" t="s">
        <v>1569</v>
      </c>
      <c r="D758" t="s">
        <v>811</v>
      </c>
      <c r="E758" t="s">
        <v>5</v>
      </c>
      <c r="F758" s="3">
        <v>23.833333333333336</v>
      </c>
    </row>
    <row r="759" spans="1:7">
      <c r="A759" t="s">
        <v>6</v>
      </c>
      <c r="B759" t="s">
        <v>768</v>
      </c>
      <c r="C759" t="s">
        <v>1570</v>
      </c>
      <c r="D759" t="s">
        <v>811</v>
      </c>
      <c r="E759" t="s">
        <v>5</v>
      </c>
      <c r="F759" s="3">
        <v>24.075000000000003</v>
      </c>
      <c r="G759" s="1"/>
    </row>
    <row r="760" spans="1:7">
      <c r="A760" t="s">
        <v>6</v>
      </c>
      <c r="B760" t="s">
        <v>769</v>
      </c>
      <c r="C760" t="s">
        <v>1571</v>
      </c>
      <c r="D760" t="s">
        <v>811</v>
      </c>
      <c r="E760" t="s">
        <v>5</v>
      </c>
      <c r="F760" s="3">
        <v>64.475000000000009</v>
      </c>
      <c r="G760" s="1"/>
    </row>
    <row r="761" spans="1:7">
      <c r="A761" t="s">
        <v>9</v>
      </c>
      <c r="B761" t="s">
        <v>770</v>
      </c>
      <c r="C761" t="s">
        <v>1572</v>
      </c>
      <c r="D761" t="s">
        <v>811</v>
      </c>
      <c r="E761" t="s">
        <v>5</v>
      </c>
      <c r="F761" s="3">
        <v>24.81666666666667</v>
      </c>
      <c r="G761" s="1"/>
    </row>
    <row r="762" spans="1:7">
      <c r="A762" t="s">
        <v>6</v>
      </c>
      <c r="B762" t="s">
        <v>771</v>
      </c>
      <c r="C762" t="s">
        <v>1573</v>
      </c>
      <c r="D762" t="s">
        <v>811</v>
      </c>
      <c r="E762" t="s">
        <v>5</v>
      </c>
      <c r="F762" s="3">
        <v>17.025000000000002</v>
      </c>
    </row>
    <row r="763" spans="1:7">
      <c r="A763" t="s">
        <v>6</v>
      </c>
      <c r="B763" t="s">
        <v>772</v>
      </c>
      <c r="C763" t="s">
        <v>1574</v>
      </c>
      <c r="D763" t="s">
        <v>811</v>
      </c>
      <c r="E763" t="s">
        <v>5</v>
      </c>
      <c r="F763" s="3">
        <v>24.708333333333332</v>
      </c>
      <c r="G763" s="1"/>
    </row>
    <row r="764" spans="1:7">
      <c r="A764" t="s">
        <v>6</v>
      </c>
      <c r="B764" t="s">
        <v>773</v>
      </c>
      <c r="C764" t="s">
        <v>1575</v>
      </c>
      <c r="D764" t="s">
        <v>811</v>
      </c>
      <c r="E764" t="s">
        <v>5</v>
      </c>
      <c r="F764" s="3">
        <v>37.583333333333336</v>
      </c>
      <c r="G764" s="1"/>
    </row>
    <row r="765" spans="1:7">
      <c r="A765" t="s">
        <v>6</v>
      </c>
      <c r="B765" t="s">
        <v>774</v>
      </c>
      <c r="C765" t="s">
        <v>1576</v>
      </c>
      <c r="D765" t="s">
        <v>811</v>
      </c>
      <c r="E765" t="s">
        <v>5</v>
      </c>
      <c r="F765" s="3">
        <v>14.6</v>
      </c>
    </row>
    <row r="766" spans="1:7">
      <c r="A766" t="s">
        <v>6</v>
      </c>
      <c r="B766" t="s">
        <v>775</v>
      </c>
      <c r="C766" t="s">
        <v>1577</v>
      </c>
      <c r="D766" t="s">
        <v>811</v>
      </c>
      <c r="E766" t="s">
        <v>5</v>
      </c>
      <c r="F766" s="3">
        <v>26.933333333333334</v>
      </c>
      <c r="G766" s="1"/>
    </row>
    <row r="767" spans="1:7">
      <c r="A767" t="s">
        <v>6</v>
      </c>
      <c r="B767" t="s">
        <v>776</v>
      </c>
      <c r="C767" t="s">
        <v>1578</v>
      </c>
      <c r="D767" t="s">
        <v>811</v>
      </c>
      <c r="E767" t="s">
        <v>5</v>
      </c>
      <c r="F767" s="3">
        <v>22.208333333333332</v>
      </c>
    </row>
    <row r="768" spans="1:7">
      <c r="A768" t="s">
        <v>6</v>
      </c>
      <c r="B768" t="s">
        <v>777</v>
      </c>
      <c r="C768" t="s">
        <v>1579</v>
      </c>
      <c r="D768" t="s">
        <v>811</v>
      </c>
      <c r="E768" t="s">
        <v>5</v>
      </c>
      <c r="F768" s="3">
        <v>33.4</v>
      </c>
      <c r="G768" s="1"/>
    </row>
    <row r="769" spans="1:7">
      <c r="A769" t="s">
        <v>6</v>
      </c>
      <c r="B769" t="s">
        <v>778</v>
      </c>
      <c r="C769" t="s">
        <v>1580</v>
      </c>
      <c r="D769" t="s">
        <v>811</v>
      </c>
      <c r="E769" t="s">
        <v>5</v>
      </c>
      <c r="F769" s="3">
        <v>36.875</v>
      </c>
    </row>
    <row r="770" spans="1:7">
      <c r="A770" t="s">
        <v>6</v>
      </c>
      <c r="B770" t="s">
        <v>779</v>
      </c>
      <c r="C770" t="s">
        <v>1581</v>
      </c>
      <c r="D770" t="s">
        <v>811</v>
      </c>
      <c r="E770" t="s">
        <v>5</v>
      </c>
      <c r="F770" s="3">
        <v>19.433333333333334</v>
      </c>
    </row>
    <row r="771" spans="1:7">
      <c r="A771" t="s">
        <v>6</v>
      </c>
      <c r="B771" t="s">
        <v>780</v>
      </c>
      <c r="C771" t="s">
        <v>1582</v>
      </c>
      <c r="D771" t="s">
        <v>811</v>
      </c>
      <c r="E771" t="s">
        <v>5</v>
      </c>
      <c r="F771" s="3">
        <v>17.708333333333336</v>
      </c>
    </row>
    <row r="772" spans="1:7">
      <c r="A772" t="s">
        <v>6</v>
      </c>
      <c r="B772" t="s">
        <v>781</v>
      </c>
      <c r="C772" t="s">
        <v>1583</v>
      </c>
      <c r="D772" t="s">
        <v>811</v>
      </c>
      <c r="E772" t="s">
        <v>5</v>
      </c>
      <c r="F772" s="3">
        <v>22.483333333333334</v>
      </c>
    </row>
    <row r="773" spans="1:7">
      <c r="A773" t="s">
        <v>6</v>
      </c>
      <c r="B773" t="s">
        <v>782</v>
      </c>
      <c r="C773" t="s">
        <v>1584</v>
      </c>
      <c r="D773" t="s">
        <v>811</v>
      </c>
      <c r="E773" t="s">
        <v>5</v>
      </c>
      <c r="F773" s="3">
        <v>66.308333333333337</v>
      </c>
      <c r="G773" s="1"/>
    </row>
    <row r="774" spans="1:7">
      <c r="A774" t="s">
        <v>9</v>
      </c>
      <c r="B774" t="s">
        <v>783</v>
      </c>
      <c r="C774" t="s">
        <v>1585</v>
      </c>
      <c r="D774" t="s">
        <v>811</v>
      </c>
      <c r="E774" t="s">
        <v>5</v>
      </c>
      <c r="F774" s="3">
        <v>70.341666666666669</v>
      </c>
      <c r="G774" s="1"/>
    </row>
    <row r="775" spans="1:7">
      <c r="A775" t="s">
        <v>6</v>
      </c>
      <c r="B775" t="s">
        <v>784</v>
      </c>
      <c r="C775" t="s">
        <v>1586</v>
      </c>
      <c r="D775" t="s">
        <v>811</v>
      </c>
      <c r="E775" t="s">
        <v>5</v>
      </c>
      <c r="F775" s="3">
        <v>14.775</v>
      </c>
    </row>
    <row r="776" spans="1:7">
      <c r="A776" t="s">
        <v>9</v>
      </c>
      <c r="B776" t="s">
        <v>785</v>
      </c>
      <c r="C776" t="s">
        <v>1587</v>
      </c>
      <c r="D776" t="s">
        <v>811</v>
      </c>
      <c r="E776" t="s">
        <v>5</v>
      </c>
      <c r="F776" s="3">
        <v>8.4416666666666682</v>
      </c>
    </row>
    <row r="777" spans="1:7">
      <c r="A777" t="s">
        <v>7</v>
      </c>
      <c r="B777" t="s">
        <v>786</v>
      </c>
      <c r="C777" t="s">
        <v>1588</v>
      </c>
      <c r="D777" t="s">
        <v>811</v>
      </c>
      <c r="E777" t="s">
        <v>5</v>
      </c>
      <c r="F777" s="3">
        <v>3.85</v>
      </c>
    </row>
    <row r="778" spans="1:7">
      <c r="A778" t="s">
        <v>6</v>
      </c>
      <c r="B778" t="s">
        <v>787</v>
      </c>
      <c r="C778" t="s">
        <v>1589</v>
      </c>
      <c r="D778" t="s">
        <v>811</v>
      </c>
      <c r="E778" t="s">
        <v>5</v>
      </c>
      <c r="F778" s="3">
        <v>33.85</v>
      </c>
      <c r="G778" s="1"/>
    </row>
    <row r="779" spans="1:7">
      <c r="A779" t="s">
        <v>6</v>
      </c>
      <c r="B779" t="s">
        <v>788</v>
      </c>
      <c r="C779" t="s">
        <v>1590</v>
      </c>
      <c r="D779" t="s">
        <v>811</v>
      </c>
      <c r="E779" t="s">
        <v>5</v>
      </c>
      <c r="F779" s="3">
        <v>8.3916666666666675</v>
      </c>
    </row>
    <row r="780" spans="1:7">
      <c r="A780" t="s">
        <v>7</v>
      </c>
      <c r="B780" t="s">
        <v>789</v>
      </c>
      <c r="C780" t="s">
        <v>1591</v>
      </c>
      <c r="D780" t="s">
        <v>811</v>
      </c>
      <c r="E780" t="s">
        <v>5</v>
      </c>
      <c r="F780" s="3">
        <v>47.158333333333339</v>
      </c>
      <c r="G780" s="1"/>
    </row>
    <row r="781" spans="1:7">
      <c r="A781" t="s">
        <v>6</v>
      </c>
      <c r="B781" t="s">
        <v>790</v>
      </c>
      <c r="C781" t="s">
        <v>1592</v>
      </c>
      <c r="D781" t="s">
        <v>811</v>
      </c>
      <c r="E781" t="s">
        <v>5</v>
      </c>
      <c r="F781" s="3">
        <v>12.575000000000001</v>
      </c>
    </row>
    <row r="782" spans="1:7">
      <c r="A782" t="s">
        <v>6</v>
      </c>
      <c r="B782" t="s">
        <v>791</v>
      </c>
      <c r="C782" t="s">
        <v>1593</v>
      </c>
      <c r="D782" t="s">
        <v>811</v>
      </c>
      <c r="E782" t="s">
        <v>5</v>
      </c>
      <c r="F782" s="3">
        <v>29.541666666666671</v>
      </c>
    </row>
    <row r="783" spans="1:7">
      <c r="A783" t="s">
        <v>6</v>
      </c>
      <c r="B783" t="s">
        <v>792</v>
      </c>
      <c r="C783" t="s">
        <v>1594</v>
      </c>
      <c r="D783" t="s">
        <v>811</v>
      </c>
      <c r="E783" t="s">
        <v>5</v>
      </c>
      <c r="F783" s="3">
        <v>37.541666666666664</v>
      </c>
      <c r="G783" s="1"/>
    </row>
    <row r="784" spans="1:7">
      <c r="A784" t="s">
        <v>6</v>
      </c>
      <c r="B784" t="s">
        <v>793</v>
      </c>
      <c r="C784" t="s">
        <v>1595</v>
      </c>
      <c r="D784" t="s">
        <v>811</v>
      </c>
      <c r="E784" t="s">
        <v>5</v>
      </c>
      <c r="F784" s="3">
        <v>5.7416666666666663</v>
      </c>
    </row>
    <row r="785" spans="1:6">
      <c r="A785" t="s">
        <v>9</v>
      </c>
      <c r="B785" t="s">
        <v>794</v>
      </c>
      <c r="C785" t="s">
        <v>1596</v>
      </c>
      <c r="D785" t="s">
        <v>811</v>
      </c>
      <c r="E785" t="s">
        <v>5</v>
      </c>
      <c r="F785" s="3">
        <v>2.4083333333333337</v>
      </c>
    </row>
    <row r="786" spans="1:6">
      <c r="A786" t="s">
        <v>6</v>
      </c>
      <c r="B786" t="s">
        <v>795</v>
      </c>
      <c r="C786" t="s">
        <v>1597</v>
      </c>
      <c r="D786" t="s">
        <v>811</v>
      </c>
      <c r="E786" t="s">
        <v>5</v>
      </c>
      <c r="F786" s="3">
        <v>3.916666666666667</v>
      </c>
    </row>
    <row r="787" spans="1:6">
      <c r="A787" t="s">
        <v>6</v>
      </c>
      <c r="B787" t="s">
        <v>796</v>
      </c>
      <c r="C787" t="s">
        <v>1598</v>
      </c>
      <c r="D787" t="s">
        <v>811</v>
      </c>
      <c r="E787" t="s">
        <v>5</v>
      </c>
      <c r="F787" s="3">
        <v>4.9916666666666671</v>
      </c>
    </row>
    <row r="788" spans="1:6">
      <c r="A788" t="s">
        <v>6</v>
      </c>
      <c r="B788" t="s">
        <v>797</v>
      </c>
      <c r="C788" t="s">
        <v>1599</v>
      </c>
      <c r="D788" t="s">
        <v>811</v>
      </c>
      <c r="E788" t="s">
        <v>5</v>
      </c>
      <c r="F788" s="3">
        <v>5.8416666666666668</v>
      </c>
    </row>
    <row r="789" spans="1:6">
      <c r="A789" t="s">
        <v>6</v>
      </c>
      <c r="B789" t="s">
        <v>798</v>
      </c>
      <c r="C789" t="s">
        <v>1600</v>
      </c>
      <c r="D789" t="s">
        <v>811</v>
      </c>
      <c r="E789" t="s">
        <v>5</v>
      </c>
      <c r="F789" s="3">
        <v>11.091666666666667</v>
      </c>
    </row>
    <row r="790" spans="1:6">
      <c r="A790" t="s">
        <v>6</v>
      </c>
      <c r="B790" t="s">
        <v>799</v>
      </c>
      <c r="C790" t="s">
        <v>1601</v>
      </c>
      <c r="D790" t="s">
        <v>811</v>
      </c>
      <c r="E790" t="s">
        <v>5</v>
      </c>
      <c r="F790" s="3">
        <v>5.7416666666666663</v>
      </c>
    </row>
    <row r="791" spans="1:6">
      <c r="A791" t="s">
        <v>6</v>
      </c>
      <c r="B791" t="s">
        <v>800</v>
      </c>
      <c r="C791" t="s">
        <v>1602</v>
      </c>
      <c r="D791" t="s">
        <v>811</v>
      </c>
      <c r="E791" t="s">
        <v>5</v>
      </c>
      <c r="F791" s="3">
        <v>5.7416666666666663</v>
      </c>
    </row>
    <row r="792" spans="1:6">
      <c r="A792" t="s">
        <v>6</v>
      </c>
      <c r="B792" t="s">
        <v>801</v>
      </c>
      <c r="C792" t="s">
        <v>1603</v>
      </c>
      <c r="D792" t="s">
        <v>811</v>
      </c>
      <c r="E792" t="s">
        <v>5</v>
      </c>
      <c r="F792" s="3">
        <v>5.7416666666666663</v>
      </c>
    </row>
    <row r="793" spans="1:6">
      <c r="A793" t="s">
        <v>6</v>
      </c>
      <c r="B793" t="s">
        <v>802</v>
      </c>
      <c r="C793" t="s">
        <v>1604</v>
      </c>
      <c r="D793" t="s">
        <v>811</v>
      </c>
      <c r="E793" t="s">
        <v>5</v>
      </c>
      <c r="F793" s="3">
        <v>5.7416666666666663</v>
      </c>
    </row>
    <row r="794" spans="1:6">
      <c r="A794" t="s">
        <v>6</v>
      </c>
      <c r="B794" t="s">
        <v>803</v>
      </c>
      <c r="C794" t="s">
        <v>1612</v>
      </c>
      <c r="D794" t="s">
        <v>811</v>
      </c>
      <c r="E794" t="s">
        <v>5</v>
      </c>
      <c r="F794" s="3">
        <v>5.7416666666666663</v>
      </c>
    </row>
    <row r="795" spans="1:6">
      <c r="A795" t="s">
        <v>6</v>
      </c>
      <c r="B795" t="s">
        <v>804</v>
      </c>
      <c r="C795" t="s">
        <v>1605</v>
      </c>
      <c r="D795" t="s">
        <v>811</v>
      </c>
      <c r="E795" t="s">
        <v>5</v>
      </c>
      <c r="F795" s="3">
        <v>5.7416666666666663</v>
      </c>
    </row>
    <row r="796" spans="1:6">
      <c r="A796" t="s">
        <v>6</v>
      </c>
      <c r="B796" t="s">
        <v>805</v>
      </c>
      <c r="C796" t="s">
        <v>1606</v>
      </c>
      <c r="D796" t="s">
        <v>811</v>
      </c>
      <c r="E796" t="s">
        <v>5</v>
      </c>
      <c r="F796" s="3">
        <v>5.7416666666666663</v>
      </c>
    </row>
    <row r="797" spans="1:6">
      <c r="A797" t="s">
        <v>6</v>
      </c>
      <c r="B797" t="s">
        <v>806</v>
      </c>
      <c r="C797" t="s">
        <v>1607</v>
      </c>
      <c r="D797" t="s">
        <v>811</v>
      </c>
      <c r="E797" t="s">
        <v>5</v>
      </c>
      <c r="F797" s="3">
        <v>5.7416666666666663</v>
      </c>
    </row>
    <row r="798" spans="1:6">
      <c r="A798" t="s">
        <v>6</v>
      </c>
      <c r="B798" t="s">
        <v>807</v>
      </c>
      <c r="C798" t="s">
        <v>1608</v>
      </c>
      <c r="D798" t="s">
        <v>811</v>
      </c>
      <c r="E798" t="s">
        <v>5</v>
      </c>
      <c r="F798" s="3">
        <v>5.7416666666666663</v>
      </c>
    </row>
    <row r="799" spans="1:6">
      <c r="A799" t="s">
        <v>6</v>
      </c>
      <c r="B799" t="s">
        <v>808</v>
      </c>
      <c r="C799" t="s">
        <v>1613</v>
      </c>
      <c r="D799" t="s">
        <v>811</v>
      </c>
      <c r="E799" t="s">
        <v>5</v>
      </c>
      <c r="F799" s="3">
        <v>5.7416666666666663</v>
      </c>
    </row>
    <row r="800" spans="1:6">
      <c r="A800" t="s">
        <v>6</v>
      </c>
      <c r="B800" t="s">
        <v>809</v>
      </c>
      <c r="C800" t="s">
        <v>1609</v>
      </c>
      <c r="D800" t="s">
        <v>811</v>
      </c>
      <c r="E800" t="s">
        <v>5</v>
      </c>
      <c r="F800" s="3">
        <v>5.7416666666666663</v>
      </c>
    </row>
    <row r="801" spans="1:6">
      <c r="A801" t="s">
        <v>6</v>
      </c>
      <c r="B801" t="s">
        <v>810</v>
      </c>
      <c r="C801" t="s">
        <v>1610</v>
      </c>
      <c r="D801" t="s">
        <v>811</v>
      </c>
      <c r="E801" t="s">
        <v>5</v>
      </c>
      <c r="F801" s="3">
        <v>5.7416666666666663</v>
      </c>
    </row>
  </sheetData>
  <autoFilter ref="A1:F801"/>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01"/>
  <sheetViews>
    <sheetView workbookViewId="0">
      <selection activeCell="C34" sqref="C34"/>
    </sheetView>
  </sheetViews>
  <sheetFormatPr baseColWidth="10" defaultRowHeight="13.8"/>
  <cols>
    <col min="1" max="1" width="19.8984375" customWidth="1"/>
    <col min="2" max="2" width="20.69921875" customWidth="1"/>
    <col min="3" max="3" width="22.59765625" customWidth="1"/>
    <col min="4" max="4" width="15.3984375" style="4" bestFit="1" customWidth="1"/>
  </cols>
  <sheetData>
    <row r="1" spans="1:4">
      <c r="A1" s="6" t="s">
        <v>1</v>
      </c>
      <c r="B1" s="6" t="s">
        <v>2</v>
      </c>
      <c r="C1" s="6" t="s">
        <v>3</v>
      </c>
      <c r="D1" s="8" t="s">
        <v>812</v>
      </c>
    </row>
    <row r="2" spans="1:4">
      <c r="A2" t="s">
        <v>2329</v>
      </c>
      <c r="B2" t="s">
        <v>978</v>
      </c>
      <c r="C2" t="s">
        <v>2414</v>
      </c>
      <c r="D2" s="5">
        <v>18.351033333333334</v>
      </c>
    </row>
    <row r="3" spans="1:4">
      <c r="A3" t="s">
        <v>2330</v>
      </c>
      <c r="B3" t="s">
        <v>979</v>
      </c>
      <c r="C3" t="s">
        <v>2414</v>
      </c>
      <c r="D3" s="5">
        <v>17.136900000000001</v>
      </c>
    </row>
    <row r="4" spans="1:4">
      <c r="A4" t="s">
        <v>2331</v>
      </c>
      <c r="B4" t="s">
        <v>980</v>
      </c>
      <c r="C4" t="s">
        <v>2414</v>
      </c>
      <c r="D4" s="5">
        <v>17.567550000000001</v>
      </c>
    </row>
    <row r="5" spans="1:4">
      <c r="A5" t="s">
        <v>2332</v>
      </c>
      <c r="B5" t="s">
        <v>981</v>
      </c>
      <c r="C5" t="s">
        <v>2414</v>
      </c>
      <c r="D5" s="5">
        <v>16.981750000000002</v>
      </c>
    </row>
    <row r="6" spans="1:4">
      <c r="A6" t="s">
        <v>2333</v>
      </c>
      <c r="B6" t="s">
        <v>982</v>
      </c>
      <c r="C6" t="s">
        <v>2414</v>
      </c>
      <c r="D6" s="5">
        <v>17.151400000000002</v>
      </c>
    </row>
    <row r="7" spans="1:4">
      <c r="A7" t="s">
        <v>2334</v>
      </c>
      <c r="B7" t="s">
        <v>983</v>
      </c>
      <c r="C7" t="s">
        <v>2414</v>
      </c>
      <c r="D7" s="5">
        <v>19.600933333333334</v>
      </c>
    </row>
    <row r="8" spans="1:4">
      <c r="A8" t="s">
        <v>2335</v>
      </c>
      <c r="B8" t="s">
        <v>984</v>
      </c>
      <c r="C8" t="s">
        <v>2414</v>
      </c>
      <c r="D8" s="5">
        <v>18.351033333333334</v>
      </c>
    </row>
    <row r="9" spans="1:4">
      <c r="A9" t="s">
        <v>2336</v>
      </c>
      <c r="B9" t="s">
        <v>985</v>
      </c>
      <c r="C9" t="s">
        <v>2414</v>
      </c>
      <c r="D9" s="5">
        <v>17.386300000000002</v>
      </c>
    </row>
    <row r="10" spans="1:4">
      <c r="A10" t="s">
        <v>2337</v>
      </c>
      <c r="B10" t="s">
        <v>986</v>
      </c>
      <c r="C10" t="s">
        <v>2414</v>
      </c>
      <c r="D10" s="5">
        <v>18.84355</v>
      </c>
    </row>
    <row r="11" spans="1:4">
      <c r="A11" t="s">
        <v>2338</v>
      </c>
      <c r="B11" t="s">
        <v>987</v>
      </c>
      <c r="C11" t="s">
        <v>2414</v>
      </c>
      <c r="D11" s="5">
        <v>21.410533333333337</v>
      </c>
    </row>
    <row r="12" spans="1:4">
      <c r="A12" t="s">
        <v>2339</v>
      </c>
      <c r="B12" t="s">
        <v>988</v>
      </c>
      <c r="C12" t="s">
        <v>2414</v>
      </c>
      <c r="D12" s="5">
        <v>21.425274999999999</v>
      </c>
    </row>
    <row r="13" spans="1:4">
      <c r="A13" t="s">
        <v>2340</v>
      </c>
      <c r="B13" t="s">
        <v>989</v>
      </c>
      <c r="C13" t="s">
        <v>2414</v>
      </c>
      <c r="D13" s="5">
        <v>17.741066666666669</v>
      </c>
    </row>
    <row r="14" spans="1:4">
      <c r="A14" t="s">
        <v>2341</v>
      </c>
      <c r="B14" t="s">
        <v>990</v>
      </c>
      <c r="C14" t="s">
        <v>2414</v>
      </c>
      <c r="D14" s="5">
        <v>21.708750000000002</v>
      </c>
    </row>
    <row r="15" spans="1:4">
      <c r="A15" t="s">
        <v>2342</v>
      </c>
      <c r="B15" t="s">
        <v>991</v>
      </c>
      <c r="C15" t="s">
        <v>2414</v>
      </c>
      <c r="D15" s="5">
        <v>18.83775</v>
      </c>
    </row>
    <row r="16" spans="1:4">
      <c r="A16" t="s">
        <v>2343</v>
      </c>
      <c r="B16" t="s">
        <v>992</v>
      </c>
      <c r="C16" t="s">
        <v>2414</v>
      </c>
      <c r="D16" s="5">
        <v>18.551375</v>
      </c>
    </row>
    <row r="17" spans="1:4">
      <c r="A17" t="s">
        <v>2344</v>
      </c>
      <c r="B17" t="s">
        <v>993</v>
      </c>
      <c r="C17" t="s">
        <v>2414</v>
      </c>
      <c r="D17" s="5">
        <v>19.243749999999999</v>
      </c>
    </row>
    <row r="18" spans="1:4">
      <c r="A18" t="s">
        <v>2345</v>
      </c>
      <c r="B18" t="s">
        <v>994</v>
      </c>
      <c r="C18" t="s">
        <v>2414</v>
      </c>
      <c r="D18" s="5">
        <v>20.7532</v>
      </c>
    </row>
    <row r="19" spans="1:4">
      <c r="A19" t="s">
        <v>2346</v>
      </c>
      <c r="B19" t="s">
        <v>995</v>
      </c>
      <c r="C19" t="s">
        <v>2414</v>
      </c>
      <c r="D19" s="5">
        <v>20.374749999999999</v>
      </c>
    </row>
    <row r="20" spans="1:4">
      <c r="A20" t="s">
        <v>2347</v>
      </c>
      <c r="B20" t="s">
        <v>996</v>
      </c>
      <c r="C20" t="s">
        <v>2414</v>
      </c>
      <c r="D20" s="5">
        <v>21.946550000000002</v>
      </c>
    </row>
    <row r="21" spans="1:4">
      <c r="A21" t="s">
        <v>2348</v>
      </c>
      <c r="B21" t="s">
        <v>997</v>
      </c>
      <c r="C21" t="s">
        <v>2414</v>
      </c>
      <c r="D21" s="5">
        <v>19.095849999999999</v>
      </c>
    </row>
    <row r="22" spans="1:4">
      <c r="A22" t="s">
        <v>2349</v>
      </c>
      <c r="B22" t="s">
        <v>998</v>
      </c>
      <c r="C22" t="s">
        <v>2414</v>
      </c>
      <c r="D22" s="5">
        <v>21.455241666666666</v>
      </c>
    </row>
    <row r="23" spans="1:4">
      <c r="A23" t="s">
        <v>2350</v>
      </c>
      <c r="B23" t="s">
        <v>999</v>
      </c>
      <c r="C23" t="s">
        <v>2414</v>
      </c>
      <c r="D23" s="5">
        <v>26.236133333333335</v>
      </c>
    </row>
    <row r="24" spans="1:4">
      <c r="A24" t="s">
        <v>2351</v>
      </c>
      <c r="B24" t="s">
        <v>1000</v>
      </c>
      <c r="C24" t="s">
        <v>2414</v>
      </c>
      <c r="D24" s="5">
        <v>23.981625000000001</v>
      </c>
    </row>
    <row r="25" spans="1:4">
      <c r="A25" t="s">
        <v>2352</v>
      </c>
      <c r="B25" t="s">
        <v>1001</v>
      </c>
      <c r="C25" t="s">
        <v>2414</v>
      </c>
      <c r="D25" s="5">
        <v>21.400383333333334</v>
      </c>
    </row>
    <row r="26" spans="1:4">
      <c r="A26" t="s">
        <v>2353</v>
      </c>
      <c r="B26" t="s">
        <v>1002</v>
      </c>
      <c r="C26" t="s">
        <v>2414</v>
      </c>
      <c r="D26" s="5">
        <v>29.327533333333335</v>
      </c>
    </row>
    <row r="27" spans="1:4">
      <c r="A27" t="s">
        <v>2354</v>
      </c>
      <c r="B27" t="s">
        <v>1003</v>
      </c>
      <c r="C27" t="s">
        <v>2414</v>
      </c>
      <c r="D27" s="5">
        <v>29.116800000000001</v>
      </c>
    </row>
    <row r="28" spans="1:4">
      <c r="A28" t="s">
        <v>2355</v>
      </c>
      <c r="B28" t="s">
        <v>1004</v>
      </c>
      <c r="C28" t="s">
        <v>2414</v>
      </c>
      <c r="D28" s="5">
        <v>28.751400000000004</v>
      </c>
    </row>
    <row r="29" spans="1:4">
      <c r="A29" t="s">
        <v>2356</v>
      </c>
      <c r="B29" t="s">
        <v>1005</v>
      </c>
      <c r="C29" t="s">
        <v>2414</v>
      </c>
      <c r="D29" s="5">
        <v>35.414391666666674</v>
      </c>
    </row>
    <row r="30" spans="1:4">
      <c r="A30" t="s">
        <v>2357</v>
      </c>
      <c r="B30" t="s">
        <v>1006</v>
      </c>
      <c r="C30" t="s">
        <v>2414</v>
      </c>
      <c r="D30" s="5">
        <v>40.442508333333336</v>
      </c>
    </row>
    <row r="31" spans="1:4">
      <c r="A31" t="s">
        <v>2358</v>
      </c>
      <c r="B31" t="s">
        <v>1007</v>
      </c>
      <c r="C31" t="s">
        <v>2414</v>
      </c>
      <c r="D31" s="5">
        <v>45.626500000000007</v>
      </c>
    </row>
    <row r="32" spans="1:4">
      <c r="A32" t="s">
        <v>2359</v>
      </c>
      <c r="B32" t="s">
        <v>1008</v>
      </c>
      <c r="C32" t="s">
        <v>2414</v>
      </c>
      <c r="D32" s="5">
        <v>13.53</v>
      </c>
    </row>
    <row r="33" spans="1:4">
      <c r="A33" t="s">
        <v>2360</v>
      </c>
      <c r="B33" t="s">
        <v>1009</v>
      </c>
      <c r="C33" t="s">
        <v>2414</v>
      </c>
      <c r="D33" s="5">
        <v>19.626066666666667</v>
      </c>
    </row>
    <row r="34" spans="1:4">
      <c r="A34" t="s">
        <v>2361</v>
      </c>
      <c r="B34" t="s">
        <v>1010</v>
      </c>
      <c r="C34" t="s">
        <v>2414</v>
      </c>
      <c r="D34" s="5">
        <v>20.4023</v>
      </c>
    </row>
    <row r="35" spans="1:4">
      <c r="A35" t="s">
        <v>2362</v>
      </c>
      <c r="B35" t="s">
        <v>1011</v>
      </c>
      <c r="C35" t="s">
        <v>2414</v>
      </c>
      <c r="D35" s="5">
        <v>23.245266666666666</v>
      </c>
    </row>
    <row r="36" spans="1:4">
      <c r="A36" t="s">
        <v>2363</v>
      </c>
      <c r="B36" t="s">
        <v>1012</v>
      </c>
      <c r="C36" t="s">
        <v>2414</v>
      </c>
      <c r="D36" s="5">
        <v>23.039850000000001</v>
      </c>
    </row>
    <row r="37" spans="1:4">
      <c r="A37" t="s">
        <v>2364</v>
      </c>
      <c r="B37" t="s">
        <v>1013</v>
      </c>
      <c r="C37" t="s">
        <v>2414</v>
      </c>
      <c r="D37" s="5">
        <v>27.920550000000002</v>
      </c>
    </row>
    <row r="38" spans="1:4">
      <c r="A38" t="s">
        <v>2365</v>
      </c>
      <c r="B38" t="s">
        <v>1014</v>
      </c>
      <c r="C38" t="s">
        <v>2414</v>
      </c>
      <c r="D38" s="5">
        <v>47.339433333333339</v>
      </c>
    </row>
    <row r="39" spans="1:4">
      <c r="A39" t="s">
        <v>2366</v>
      </c>
      <c r="B39" t="s">
        <v>1015</v>
      </c>
      <c r="C39" t="s">
        <v>2414</v>
      </c>
      <c r="D39" s="5">
        <v>42.632975000000009</v>
      </c>
    </row>
    <row r="40" spans="1:4">
      <c r="A40" t="s">
        <v>2367</v>
      </c>
      <c r="B40" t="s">
        <v>1016</v>
      </c>
      <c r="C40" t="s">
        <v>2414</v>
      </c>
      <c r="D40" s="5">
        <v>45.362600000000008</v>
      </c>
    </row>
    <row r="41" spans="1:4">
      <c r="A41" t="s">
        <v>2368</v>
      </c>
      <c r="B41" t="s">
        <v>1017</v>
      </c>
      <c r="C41" t="s">
        <v>2414</v>
      </c>
      <c r="D41" s="5">
        <v>31.313066666666671</v>
      </c>
    </row>
    <row r="42" spans="1:4">
      <c r="A42" t="s">
        <v>2369</v>
      </c>
      <c r="B42" t="s">
        <v>1018</v>
      </c>
      <c r="C42" t="s">
        <v>2414</v>
      </c>
      <c r="D42" s="5">
        <v>29.695350000000005</v>
      </c>
    </row>
    <row r="43" spans="1:4">
      <c r="A43" t="s">
        <v>2370</v>
      </c>
      <c r="B43" t="s">
        <v>1019</v>
      </c>
      <c r="C43" t="s">
        <v>2414</v>
      </c>
      <c r="D43" s="5">
        <v>17.591958333333331</v>
      </c>
    </row>
    <row r="44" spans="1:4">
      <c r="A44" t="s">
        <v>2371</v>
      </c>
      <c r="B44" t="s">
        <v>1020</v>
      </c>
      <c r="C44" t="s">
        <v>2414</v>
      </c>
      <c r="D44" s="5">
        <v>17.886791666666667</v>
      </c>
    </row>
    <row r="45" spans="1:4">
      <c r="A45" t="s">
        <v>2372</v>
      </c>
      <c r="B45" t="s">
        <v>1021</v>
      </c>
      <c r="C45" t="s">
        <v>2414</v>
      </c>
      <c r="D45" s="5">
        <v>17.243475</v>
      </c>
    </row>
    <row r="46" spans="1:4">
      <c r="A46" t="s">
        <v>2373</v>
      </c>
      <c r="B46" t="s">
        <v>1022</v>
      </c>
      <c r="C46" t="s">
        <v>2414</v>
      </c>
      <c r="D46" s="5">
        <v>16.975950000000001</v>
      </c>
    </row>
    <row r="47" spans="1:4">
      <c r="A47" t="s">
        <v>2374</v>
      </c>
      <c r="B47" t="s">
        <v>1023</v>
      </c>
      <c r="C47" t="s">
        <v>2414</v>
      </c>
      <c r="D47" s="5">
        <v>17.257249999999999</v>
      </c>
    </row>
    <row r="48" spans="1:4">
      <c r="A48" t="s">
        <v>2375</v>
      </c>
      <c r="B48" t="s">
        <v>1024</v>
      </c>
      <c r="C48" t="s">
        <v>2414</v>
      </c>
      <c r="D48" s="5">
        <v>17.044341666666668</v>
      </c>
    </row>
    <row r="49" spans="1:4">
      <c r="A49" t="s">
        <v>2376</v>
      </c>
      <c r="B49" t="s">
        <v>1025</v>
      </c>
      <c r="C49" t="s">
        <v>2414</v>
      </c>
      <c r="D49" s="5">
        <v>17.249516666666668</v>
      </c>
    </row>
    <row r="50" spans="1:4">
      <c r="A50" t="s">
        <v>2377</v>
      </c>
      <c r="B50" t="s">
        <v>1026</v>
      </c>
      <c r="C50" t="s">
        <v>2414</v>
      </c>
      <c r="D50" s="5">
        <v>17.308</v>
      </c>
    </row>
    <row r="51" spans="1:4">
      <c r="A51" t="s">
        <v>2378</v>
      </c>
      <c r="B51" t="s">
        <v>1027</v>
      </c>
      <c r="C51" t="s">
        <v>2414</v>
      </c>
      <c r="D51" s="5">
        <v>18.117100000000001</v>
      </c>
    </row>
    <row r="52" spans="1:4">
      <c r="A52" t="s">
        <v>2379</v>
      </c>
      <c r="B52" t="s">
        <v>1028</v>
      </c>
      <c r="C52" t="s">
        <v>2414</v>
      </c>
      <c r="D52" s="5">
        <v>17.493600000000001</v>
      </c>
    </row>
    <row r="53" spans="1:4">
      <c r="A53" t="s">
        <v>2380</v>
      </c>
      <c r="B53" t="s">
        <v>1029</v>
      </c>
      <c r="C53" t="s">
        <v>2414</v>
      </c>
      <c r="D53" s="5">
        <v>17.647300000000001</v>
      </c>
    </row>
    <row r="54" spans="1:4">
      <c r="A54" t="s">
        <v>2381</v>
      </c>
      <c r="B54" t="s">
        <v>1030</v>
      </c>
      <c r="C54" t="s">
        <v>2414</v>
      </c>
      <c r="D54" s="5">
        <v>17.602350000000001</v>
      </c>
    </row>
    <row r="55" spans="1:4">
      <c r="A55" t="s">
        <v>2382</v>
      </c>
      <c r="B55" t="s">
        <v>1031</v>
      </c>
      <c r="C55" t="s">
        <v>2414</v>
      </c>
      <c r="D55" s="5">
        <v>17.967266666666667</v>
      </c>
    </row>
    <row r="56" spans="1:4">
      <c r="A56" t="s">
        <v>2383</v>
      </c>
      <c r="B56" t="s">
        <v>1032</v>
      </c>
      <c r="C56" t="s">
        <v>2414</v>
      </c>
      <c r="D56" s="5">
        <v>17.444299999999998</v>
      </c>
    </row>
    <row r="57" spans="1:4">
      <c r="A57" t="s">
        <v>2384</v>
      </c>
      <c r="B57" t="s">
        <v>1033</v>
      </c>
      <c r="C57" t="s">
        <v>2414</v>
      </c>
      <c r="D57" s="5">
        <v>17.542175</v>
      </c>
    </row>
    <row r="58" spans="1:4">
      <c r="A58" t="s">
        <v>2385</v>
      </c>
      <c r="B58" t="s">
        <v>1034</v>
      </c>
      <c r="C58" t="s">
        <v>2414</v>
      </c>
      <c r="D58" s="5">
        <v>28.444725000000002</v>
      </c>
    </row>
    <row r="59" spans="1:4">
      <c r="A59" t="s">
        <v>2386</v>
      </c>
      <c r="B59" t="s">
        <v>1035</v>
      </c>
      <c r="C59" t="s">
        <v>2414</v>
      </c>
      <c r="D59" s="5">
        <v>30.749500000000005</v>
      </c>
    </row>
    <row r="60" spans="1:4">
      <c r="A60" t="s">
        <v>2387</v>
      </c>
      <c r="B60" t="s">
        <v>1036</v>
      </c>
      <c r="C60" t="s">
        <v>2414</v>
      </c>
      <c r="D60" s="5">
        <v>31.53926666666667</v>
      </c>
    </row>
    <row r="61" spans="1:4">
      <c r="A61" t="s">
        <v>2388</v>
      </c>
      <c r="B61" t="s">
        <v>1037</v>
      </c>
      <c r="C61" t="s">
        <v>2414</v>
      </c>
      <c r="D61" s="5">
        <v>19.490008333333336</v>
      </c>
    </row>
    <row r="62" spans="1:4">
      <c r="A62" t="s">
        <v>2389</v>
      </c>
      <c r="B62" t="s">
        <v>1038</v>
      </c>
      <c r="C62" t="s">
        <v>2414</v>
      </c>
      <c r="D62" s="5">
        <v>19.236499999999999</v>
      </c>
    </row>
    <row r="63" spans="1:4">
      <c r="A63" t="s">
        <v>2390</v>
      </c>
      <c r="B63" t="s">
        <v>1039</v>
      </c>
      <c r="C63" t="s">
        <v>2414</v>
      </c>
      <c r="D63" s="5">
        <v>17.783358333333332</v>
      </c>
    </row>
    <row r="64" spans="1:4">
      <c r="A64" t="s">
        <v>2391</v>
      </c>
      <c r="B64" t="s">
        <v>1040</v>
      </c>
      <c r="C64" t="s">
        <v>2414</v>
      </c>
      <c r="D64" s="5">
        <v>17.710616666666667</v>
      </c>
    </row>
    <row r="65" spans="1:4">
      <c r="A65" t="s">
        <v>2392</v>
      </c>
      <c r="B65" t="s">
        <v>1041</v>
      </c>
      <c r="C65" t="s">
        <v>2414</v>
      </c>
      <c r="D65" s="5">
        <v>19.903741666666669</v>
      </c>
    </row>
    <row r="66" spans="1:4">
      <c r="A66" t="s">
        <v>2393</v>
      </c>
      <c r="B66" t="s">
        <v>1042</v>
      </c>
      <c r="C66" t="s">
        <v>2414</v>
      </c>
      <c r="D66" s="5">
        <v>18.469933333333334</v>
      </c>
    </row>
    <row r="67" spans="1:4">
      <c r="A67" t="s">
        <v>2394</v>
      </c>
      <c r="B67" t="s">
        <v>1043</v>
      </c>
      <c r="C67" t="s">
        <v>2414</v>
      </c>
      <c r="D67" s="5">
        <v>19.696874999999999</v>
      </c>
    </row>
    <row r="68" spans="1:4">
      <c r="A68" t="s">
        <v>2395</v>
      </c>
      <c r="B68" t="s">
        <v>1044</v>
      </c>
      <c r="C68" t="s">
        <v>2414</v>
      </c>
      <c r="D68" s="5">
        <v>20.403750000000002</v>
      </c>
    </row>
    <row r="69" spans="1:4">
      <c r="A69" t="s">
        <v>2396</v>
      </c>
      <c r="B69" t="s">
        <v>1045</v>
      </c>
      <c r="C69" t="s">
        <v>2414</v>
      </c>
      <c r="D69" s="5">
        <v>18.796666666666667</v>
      </c>
    </row>
    <row r="70" spans="1:4">
      <c r="A70" t="s">
        <v>2397</v>
      </c>
      <c r="B70" t="s">
        <v>1046</v>
      </c>
      <c r="C70" t="s">
        <v>2414</v>
      </c>
      <c r="D70" s="5">
        <v>21.1708</v>
      </c>
    </row>
    <row r="71" spans="1:4">
      <c r="A71" t="s">
        <v>2398</v>
      </c>
      <c r="B71" t="s">
        <v>1047</v>
      </c>
      <c r="C71" t="s">
        <v>2414</v>
      </c>
      <c r="D71" s="5">
        <v>21.266500000000001</v>
      </c>
    </row>
    <row r="72" spans="1:4">
      <c r="A72" t="s">
        <v>2399</v>
      </c>
      <c r="B72" t="s">
        <v>1048</v>
      </c>
      <c r="C72" t="s">
        <v>2414</v>
      </c>
      <c r="D72" s="5">
        <v>22.179275000000004</v>
      </c>
    </row>
    <row r="73" spans="1:4">
      <c r="A73" t="s">
        <v>2400</v>
      </c>
      <c r="B73" t="s">
        <v>1049</v>
      </c>
      <c r="C73" t="s">
        <v>2414</v>
      </c>
      <c r="D73" s="5">
        <v>20.927441666666667</v>
      </c>
    </row>
    <row r="74" spans="1:4">
      <c r="A74" t="s">
        <v>2401</v>
      </c>
      <c r="B74" t="s">
        <v>1050</v>
      </c>
      <c r="C74" t="s">
        <v>2414</v>
      </c>
      <c r="D74" s="5">
        <v>23.854750000000003</v>
      </c>
    </row>
    <row r="75" spans="1:4">
      <c r="A75" t="s">
        <v>2402</v>
      </c>
      <c r="B75" t="s">
        <v>1051</v>
      </c>
      <c r="C75" t="s">
        <v>2414</v>
      </c>
      <c r="D75" s="5">
        <v>21.823541666666671</v>
      </c>
    </row>
    <row r="76" spans="1:4">
      <c r="A76" t="s">
        <v>2403</v>
      </c>
      <c r="B76" t="s">
        <v>1052</v>
      </c>
      <c r="C76" t="s">
        <v>2414</v>
      </c>
      <c r="D76" s="5">
        <v>29.729908333333334</v>
      </c>
    </row>
    <row r="77" spans="1:4">
      <c r="A77" t="s">
        <v>2404</v>
      </c>
      <c r="B77" t="s">
        <v>1053</v>
      </c>
      <c r="C77" t="s">
        <v>2414</v>
      </c>
      <c r="D77" s="5">
        <v>26.010416666666671</v>
      </c>
    </row>
    <row r="78" spans="1:4">
      <c r="A78" t="s">
        <v>2405</v>
      </c>
      <c r="B78" t="s">
        <v>1054</v>
      </c>
      <c r="C78" t="s">
        <v>2414</v>
      </c>
      <c r="D78" s="5">
        <v>28.739800000000002</v>
      </c>
    </row>
    <row r="79" spans="1:4">
      <c r="A79" t="s">
        <v>2406</v>
      </c>
      <c r="B79" t="s">
        <v>1055</v>
      </c>
      <c r="C79" t="s">
        <v>2414</v>
      </c>
      <c r="D79" s="5">
        <v>43.693408333333338</v>
      </c>
    </row>
    <row r="80" spans="1:4">
      <c r="A80" t="s">
        <v>2407</v>
      </c>
      <c r="B80" t="s">
        <v>1056</v>
      </c>
      <c r="C80" t="s">
        <v>2414</v>
      </c>
      <c r="D80" s="5">
        <v>31.663</v>
      </c>
    </row>
    <row r="81" spans="1:4">
      <c r="A81" t="s">
        <v>2408</v>
      </c>
      <c r="B81" t="s">
        <v>1057</v>
      </c>
      <c r="C81" t="s">
        <v>2414</v>
      </c>
      <c r="D81" s="5">
        <v>27.81325</v>
      </c>
    </row>
    <row r="82" spans="1:4">
      <c r="A82" t="s">
        <v>2409</v>
      </c>
      <c r="B82" t="s">
        <v>1058</v>
      </c>
      <c r="C82" t="s">
        <v>2414</v>
      </c>
      <c r="D82" s="5">
        <v>35.527250000000009</v>
      </c>
    </row>
    <row r="83" spans="1:4">
      <c r="A83" t="s">
        <v>2410</v>
      </c>
      <c r="B83" t="s">
        <v>1059</v>
      </c>
      <c r="C83" t="s">
        <v>2414</v>
      </c>
      <c r="D83" s="5">
        <v>38.25204166666667</v>
      </c>
    </row>
    <row r="84" spans="1:4">
      <c r="A84" t="s">
        <v>2411</v>
      </c>
      <c r="B84" t="s">
        <v>1060</v>
      </c>
      <c r="C84" t="s">
        <v>2414</v>
      </c>
      <c r="D84" s="5">
        <v>33.505224999999996</v>
      </c>
    </row>
    <row r="85" spans="1:4">
      <c r="A85" t="s">
        <v>2412</v>
      </c>
      <c r="B85" t="s">
        <v>1061</v>
      </c>
      <c r="C85" t="s">
        <v>2414</v>
      </c>
      <c r="D85" s="5">
        <v>44.608600000000003</v>
      </c>
    </row>
    <row r="86" spans="1:4">
      <c r="A86" t="s">
        <v>2413</v>
      </c>
      <c r="B86" t="s">
        <v>1062</v>
      </c>
      <c r="C86" t="s">
        <v>2414</v>
      </c>
      <c r="D86" s="5">
        <v>46.740100000000005</v>
      </c>
    </row>
    <row r="87" spans="1:4">
      <c r="A87" t="s">
        <v>1614</v>
      </c>
      <c r="B87" t="s">
        <v>1063</v>
      </c>
      <c r="C87" t="s">
        <v>2414</v>
      </c>
      <c r="D87" s="5">
        <v>55.979500000000009</v>
      </c>
    </row>
    <row r="88" spans="1:4">
      <c r="A88" t="s">
        <v>1615</v>
      </c>
      <c r="B88" t="s">
        <v>1064</v>
      </c>
      <c r="C88" t="s">
        <v>2414</v>
      </c>
      <c r="D88" s="5">
        <v>87.121950000000012</v>
      </c>
    </row>
    <row r="89" spans="1:4">
      <c r="A89" t="s">
        <v>1616</v>
      </c>
      <c r="B89" t="s">
        <v>1065</v>
      </c>
      <c r="C89" t="s">
        <v>2414</v>
      </c>
      <c r="D89" s="5">
        <v>88.840125000000015</v>
      </c>
    </row>
    <row r="90" spans="1:4">
      <c r="A90" t="s">
        <v>1617</v>
      </c>
      <c r="B90" t="s">
        <v>1066</v>
      </c>
      <c r="C90" t="s">
        <v>2414</v>
      </c>
      <c r="D90" s="5">
        <v>256.34500000000003</v>
      </c>
    </row>
    <row r="91" spans="1:4">
      <c r="A91" t="s">
        <v>1618</v>
      </c>
      <c r="B91" t="s">
        <v>1067</v>
      </c>
      <c r="C91" t="s">
        <v>2414</v>
      </c>
      <c r="D91" s="5">
        <v>41.997875000000001</v>
      </c>
    </row>
    <row r="92" spans="1:4">
      <c r="A92" t="s">
        <v>1619</v>
      </c>
      <c r="B92" t="s">
        <v>1068</v>
      </c>
      <c r="C92" t="s">
        <v>2414</v>
      </c>
      <c r="D92" s="5">
        <v>18.581583333333334</v>
      </c>
    </row>
    <row r="93" spans="1:4">
      <c r="A93" t="s">
        <v>1620</v>
      </c>
      <c r="B93" t="s">
        <v>1069</v>
      </c>
      <c r="C93" t="s">
        <v>2414</v>
      </c>
      <c r="D93" s="5">
        <v>61.704100000000004</v>
      </c>
    </row>
    <row r="94" spans="1:4">
      <c r="A94" t="s">
        <v>1621</v>
      </c>
      <c r="B94" t="s">
        <v>1070</v>
      </c>
      <c r="C94" t="s">
        <v>2414</v>
      </c>
      <c r="D94" s="5">
        <v>18.117100000000001</v>
      </c>
    </row>
    <row r="95" spans="1:4">
      <c r="A95" t="s">
        <v>1622</v>
      </c>
      <c r="B95" t="s">
        <v>1071</v>
      </c>
      <c r="C95" t="s">
        <v>2414</v>
      </c>
      <c r="D95" s="5">
        <v>17.524775000000002</v>
      </c>
    </row>
    <row r="96" spans="1:4">
      <c r="A96" t="s">
        <v>1623</v>
      </c>
      <c r="B96" t="s">
        <v>1072</v>
      </c>
      <c r="C96" t="s">
        <v>2414</v>
      </c>
      <c r="D96" s="5">
        <v>18.855875000000001</v>
      </c>
    </row>
    <row r="97" spans="1:4">
      <c r="A97" t="s">
        <v>1624</v>
      </c>
      <c r="B97" t="s">
        <v>1073</v>
      </c>
      <c r="C97" t="s">
        <v>2414</v>
      </c>
      <c r="D97" s="5">
        <v>19.369900000000001</v>
      </c>
    </row>
    <row r="98" spans="1:4">
      <c r="A98" t="s">
        <v>1625</v>
      </c>
      <c r="B98" t="s">
        <v>1074</v>
      </c>
      <c r="C98" t="s">
        <v>2414</v>
      </c>
      <c r="D98" s="5">
        <v>18.430300000000003</v>
      </c>
    </row>
    <row r="99" spans="1:4">
      <c r="A99" t="s">
        <v>1626</v>
      </c>
      <c r="B99" t="s">
        <v>1075</v>
      </c>
      <c r="C99" t="s">
        <v>2414</v>
      </c>
      <c r="D99" s="5">
        <v>75.265950000000018</v>
      </c>
    </row>
    <row r="100" spans="1:4">
      <c r="A100" t="s">
        <v>1627</v>
      </c>
      <c r="B100" t="s">
        <v>1076</v>
      </c>
      <c r="C100" t="s">
        <v>2414</v>
      </c>
      <c r="D100" s="5">
        <v>72.054200000000009</v>
      </c>
    </row>
    <row r="101" spans="1:4">
      <c r="A101" t="s">
        <v>1628</v>
      </c>
      <c r="B101" t="s">
        <v>1077</v>
      </c>
      <c r="C101" t="s">
        <v>2414</v>
      </c>
      <c r="D101" s="5">
        <v>18.248808333333333</v>
      </c>
    </row>
    <row r="102" spans="1:4">
      <c r="A102" t="s">
        <v>1629</v>
      </c>
      <c r="B102" t="s">
        <v>1078</v>
      </c>
      <c r="C102" t="s">
        <v>2414</v>
      </c>
      <c r="D102" s="5">
        <v>18.726100000000002</v>
      </c>
    </row>
    <row r="103" spans="1:4">
      <c r="A103" t="s">
        <v>1630</v>
      </c>
      <c r="B103" t="s">
        <v>1079</v>
      </c>
      <c r="C103" t="s">
        <v>2414</v>
      </c>
      <c r="D103" s="5">
        <v>18.495066666666666</v>
      </c>
    </row>
    <row r="104" spans="1:4">
      <c r="A104" t="s">
        <v>1631</v>
      </c>
      <c r="B104" t="s">
        <v>1080</v>
      </c>
      <c r="C104" t="s">
        <v>2414</v>
      </c>
      <c r="D104" s="5">
        <v>18.55596666666667</v>
      </c>
    </row>
    <row r="105" spans="1:4">
      <c r="A105" t="s">
        <v>1632</v>
      </c>
      <c r="B105" t="s">
        <v>1081</v>
      </c>
      <c r="C105" t="s">
        <v>2414</v>
      </c>
      <c r="D105" s="5">
        <v>18.696133333333336</v>
      </c>
    </row>
    <row r="106" spans="1:4">
      <c r="A106" t="s">
        <v>1633</v>
      </c>
      <c r="B106" t="s">
        <v>1082</v>
      </c>
      <c r="C106" t="s">
        <v>2414</v>
      </c>
      <c r="D106" s="5">
        <v>19.169800000000002</v>
      </c>
    </row>
    <row r="107" spans="1:4">
      <c r="A107" t="s">
        <v>1634</v>
      </c>
      <c r="B107" t="s">
        <v>1083</v>
      </c>
      <c r="C107" t="s">
        <v>2414</v>
      </c>
      <c r="D107" s="5">
        <v>19.284591666666667</v>
      </c>
    </row>
    <row r="108" spans="1:4">
      <c r="A108" t="s">
        <v>1635</v>
      </c>
      <c r="B108" t="s">
        <v>1084</v>
      </c>
      <c r="C108" t="s">
        <v>2414</v>
      </c>
      <c r="D108" s="5">
        <v>20.630916666666668</v>
      </c>
    </row>
    <row r="109" spans="1:4">
      <c r="A109" t="s">
        <v>1636</v>
      </c>
      <c r="B109" t="s">
        <v>1085</v>
      </c>
      <c r="C109" t="s">
        <v>2414</v>
      </c>
      <c r="D109" s="5">
        <v>20.081849999999999</v>
      </c>
    </row>
    <row r="110" spans="1:4">
      <c r="A110" t="s">
        <v>1637</v>
      </c>
      <c r="B110" t="s">
        <v>1086</v>
      </c>
      <c r="C110" t="s">
        <v>2414</v>
      </c>
      <c r="D110" s="5">
        <v>20.155799999999999</v>
      </c>
    </row>
    <row r="111" spans="1:4">
      <c r="A111" t="s">
        <v>1638</v>
      </c>
      <c r="B111" t="s">
        <v>1087</v>
      </c>
      <c r="C111" t="s">
        <v>2414</v>
      </c>
      <c r="D111" s="5">
        <v>91.204833333333355</v>
      </c>
    </row>
    <row r="112" spans="1:4">
      <c r="A112" t="s">
        <v>1639</v>
      </c>
      <c r="B112" t="s">
        <v>1088</v>
      </c>
      <c r="C112" t="s">
        <v>2414</v>
      </c>
      <c r="D112" s="5">
        <v>124.96815833333336</v>
      </c>
    </row>
    <row r="113" spans="1:4">
      <c r="A113" t="s">
        <v>1640</v>
      </c>
      <c r="B113" t="s">
        <v>1089</v>
      </c>
      <c r="C113" t="s">
        <v>2414</v>
      </c>
      <c r="D113" s="5">
        <v>110.14570000000002</v>
      </c>
    </row>
    <row r="114" spans="1:4">
      <c r="A114" t="s">
        <v>1641</v>
      </c>
      <c r="B114" t="s">
        <v>1090</v>
      </c>
      <c r="C114" t="s">
        <v>2414</v>
      </c>
      <c r="D114" s="5">
        <v>83.596683333333331</v>
      </c>
    </row>
    <row r="115" spans="1:4">
      <c r="A115" t="s">
        <v>1642</v>
      </c>
      <c r="B115" t="s">
        <v>1091</v>
      </c>
      <c r="C115" t="s">
        <v>2414</v>
      </c>
      <c r="D115" s="5">
        <v>33.49</v>
      </c>
    </row>
    <row r="116" spans="1:4">
      <c r="A116" t="s">
        <v>1643</v>
      </c>
      <c r="B116" t="s">
        <v>1092</v>
      </c>
      <c r="C116" t="s">
        <v>2414</v>
      </c>
      <c r="D116" s="5">
        <v>33.771541666666671</v>
      </c>
    </row>
    <row r="117" spans="1:4">
      <c r="A117" t="s">
        <v>1644</v>
      </c>
      <c r="B117" t="s">
        <v>1093</v>
      </c>
      <c r="C117" t="s">
        <v>2414</v>
      </c>
      <c r="D117" s="5">
        <v>73.396900000000002</v>
      </c>
    </row>
    <row r="118" spans="1:4">
      <c r="A118" t="s">
        <v>1645</v>
      </c>
      <c r="B118" t="s">
        <v>1094</v>
      </c>
      <c r="C118" t="s">
        <v>2414</v>
      </c>
      <c r="D118" s="5">
        <v>21.773758333333333</v>
      </c>
    </row>
    <row r="119" spans="1:4">
      <c r="A119" t="s">
        <v>1646</v>
      </c>
      <c r="B119" t="s">
        <v>1095</v>
      </c>
      <c r="C119" t="s">
        <v>2414</v>
      </c>
      <c r="D119" s="5">
        <v>28.008516666666669</v>
      </c>
    </row>
    <row r="120" spans="1:4">
      <c r="A120" t="s">
        <v>1647</v>
      </c>
      <c r="B120" t="s">
        <v>1096</v>
      </c>
      <c r="C120" t="s">
        <v>2414</v>
      </c>
      <c r="D120" s="5">
        <v>22.992000000000001</v>
      </c>
    </row>
    <row r="121" spans="1:4">
      <c r="A121" t="s">
        <v>1648</v>
      </c>
      <c r="B121" t="s">
        <v>1097</v>
      </c>
      <c r="C121" t="s">
        <v>2414</v>
      </c>
      <c r="D121" s="5">
        <v>28.623316666666668</v>
      </c>
    </row>
    <row r="122" spans="1:4">
      <c r="A122" t="s">
        <v>1649</v>
      </c>
      <c r="B122" t="s">
        <v>1098</v>
      </c>
      <c r="C122" t="s">
        <v>2414</v>
      </c>
      <c r="D122" s="5">
        <v>29.7577</v>
      </c>
    </row>
    <row r="123" spans="1:4">
      <c r="A123" t="s">
        <v>1650</v>
      </c>
      <c r="B123" t="s">
        <v>1099</v>
      </c>
      <c r="C123" t="s">
        <v>2414</v>
      </c>
      <c r="D123" s="5">
        <v>22.397500000000001</v>
      </c>
    </row>
    <row r="124" spans="1:4">
      <c r="A124" t="s">
        <v>1651</v>
      </c>
      <c r="B124" t="s">
        <v>1100</v>
      </c>
      <c r="C124" t="s">
        <v>2414</v>
      </c>
      <c r="D124" s="5">
        <v>55.947600000000001</v>
      </c>
    </row>
    <row r="125" spans="1:4">
      <c r="A125" t="s">
        <v>1652</v>
      </c>
      <c r="B125" t="s">
        <v>1101</v>
      </c>
      <c r="C125" t="s">
        <v>2414</v>
      </c>
      <c r="D125" s="5">
        <v>26.394666666666669</v>
      </c>
    </row>
    <row r="126" spans="1:4">
      <c r="A126" t="s">
        <v>1653</v>
      </c>
      <c r="B126" t="s">
        <v>1102</v>
      </c>
      <c r="C126" t="s">
        <v>2414</v>
      </c>
      <c r="D126" s="5">
        <v>33.598750000000003</v>
      </c>
    </row>
    <row r="127" spans="1:4">
      <c r="A127" t="s">
        <v>1654</v>
      </c>
      <c r="B127" t="s">
        <v>1103</v>
      </c>
      <c r="C127" t="s">
        <v>2414</v>
      </c>
      <c r="D127" s="5">
        <v>43.596500000000006</v>
      </c>
    </row>
    <row r="128" spans="1:4">
      <c r="A128" t="s">
        <v>1655</v>
      </c>
      <c r="B128" t="s">
        <v>1104</v>
      </c>
      <c r="C128" t="s">
        <v>2414</v>
      </c>
      <c r="D128" s="5">
        <v>48.860483333333342</v>
      </c>
    </row>
    <row r="129" spans="1:4">
      <c r="A129" t="s">
        <v>1656</v>
      </c>
      <c r="B129" t="s">
        <v>1105</v>
      </c>
      <c r="C129" t="s">
        <v>2414</v>
      </c>
      <c r="D129" s="5">
        <v>30.331900000000005</v>
      </c>
    </row>
    <row r="130" spans="1:4">
      <c r="A130" t="s">
        <v>1657</v>
      </c>
      <c r="B130" t="s">
        <v>1106</v>
      </c>
      <c r="C130" t="s">
        <v>2414</v>
      </c>
      <c r="D130" s="5">
        <v>51.551200000000016</v>
      </c>
    </row>
    <row r="131" spans="1:4">
      <c r="A131" t="s">
        <v>1658</v>
      </c>
      <c r="B131" t="s">
        <v>1107</v>
      </c>
      <c r="C131" t="s">
        <v>2414</v>
      </c>
      <c r="D131" s="5">
        <v>108.44009166666667</v>
      </c>
    </row>
    <row r="132" spans="1:4">
      <c r="A132" t="s">
        <v>1659</v>
      </c>
      <c r="B132" t="s">
        <v>1108</v>
      </c>
      <c r="C132" t="s">
        <v>2414</v>
      </c>
      <c r="D132" s="5">
        <v>52.425066666666673</v>
      </c>
    </row>
    <row r="133" spans="1:4">
      <c r="A133" t="s">
        <v>1660</v>
      </c>
      <c r="B133" t="s">
        <v>1109</v>
      </c>
      <c r="C133" t="s">
        <v>2414</v>
      </c>
      <c r="D133" s="5">
        <v>25.859375000000004</v>
      </c>
    </row>
    <row r="134" spans="1:4">
      <c r="A134" t="s">
        <v>1661</v>
      </c>
      <c r="B134" t="s">
        <v>1110</v>
      </c>
      <c r="C134" t="s">
        <v>2414</v>
      </c>
      <c r="D134" s="5">
        <v>41.133433333333329</v>
      </c>
    </row>
    <row r="135" spans="1:4">
      <c r="A135" t="s">
        <v>1662</v>
      </c>
      <c r="B135" t="s">
        <v>1111</v>
      </c>
      <c r="C135" t="s">
        <v>2414</v>
      </c>
      <c r="D135" s="5">
        <v>63.860733333333336</v>
      </c>
    </row>
    <row r="136" spans="1:4">
      <c r="A136" t="s">
        <v>1663</v>
      </c>
      <c r="B136" t="s">
        <v>1112</v>
      </c>
      <c r="C136" t="s">
        <v>2414</v>
      </c>
      <c r="D136" s="5">
        <v>16.942116666666667</v>
      </c>
    </row>
    <row r="137" spans="1:4">
      <c r="A137" t="s">
        <v>1664</v>
      </c>
      <c r="B137" t="s">
        <v>1113</v>
      </c>
      <c r="C137" t="s">
        <v>2414</v>
      </c>
      <c r="D137" s="5">
        <v>29.539958333333335</v>
      </c>
    </row>
    <row r="138" spans="1:4">
      <c r="A138" t="s">
        <v>1665</v>
      </c>
      <c r="B138" t="s">
        <v>1114</v>
      </c>
      <c r="C138" t="s">
        <v>2414</v>
      </c>
      <c r="D138" s="5">
        <v>21.30081666666667</v>
      </c>
    </row>
    <row r="139" spans="1:4">
      <c r="A139" t="s">
        <v>1666</v>
      </c>
      <c r="B139" t="s">
        <v>1115</v>
      </c>
      <c r="C139" t="s">
        <v>2414</v>
      </c>
      <c r="D139" s="5">
        <v>20.2834</v>
      </c>
    </row>
    <row r="140" spans="1:4">
      <c r="A140" t="s">
        <v>1667</v>
      </c>
      <c r="B140" t="s">
        <v>1116</v>
      </c>
      <c r="C140" t="s">
        <v>2414</v>
      </c>
      <c r="D140" s="5">
        <v>15.7681</v>
      </c>
    </row>
    <row r="141" spans="1:4">
      <c r="A141" t="s">
        <v>1668</v>
      </c>
      <c r="B141" t="s">
        <v>1117</v>
      </c>
      <c r="C141" t="s">
        <v>2414</v>
      </c>
      <c r="D141" s="5">
        <v>17.941166666666668</v>
      </c>
    </row>
    <row r="142" spans="1:4">
      <c r="A142" t="s">
        <v>1669</v>
      </c>
      <c r="B142" t="s">
        <v>1118</v>
      </c>
      <c r="C142" t="s">
        <v>2414</v>
      </c>
      <c r="D142" s="5">
        <v>16.157666666666668</v>
      </c>
    </row>
    <row r="143" spans="1:4">
      <c r="A143" t="s">
        <v>1670</v>
      </c>
      <c r="B143" t="s">
        <v>1119</v>
      </c>
      <c r="C143" t="s">
        <v>2414</v>
      </c>
      <c r="D143" s="5">
        <v>16.322483333333334</v>
      </c>
    </row>
    <row r="144" spans="1:4">
      <c r="A144" t="s">
        <v>1671</v>
      </c>
      <c r="B144" t="s">
        <v>1120</v>
      </c>
      <c r="C144" t="s">
        <v>2414</v>
      </c>
      <c r="D144" s="5">
        <v>16.098458333333333</v>
      </c>
    </row>
    <row r="145" spans="1:4">
      <c r="A145" t="s">
        <v>1672</v>
      </c>
      <c r="B145" t="s">
        <v>1121</v>
      </c>
      <c r="C145" t="s">
        <v>2414</v>
      </c>
      <c r="D145" s="5">
        <v>18.246874999999999</v>
      </c>
    </row>
    <row r="146" spans="1:4">
      <c r="A146" t="s">
        <v>1673</v>
      </c>
      <c r="B146" t="s">
        <v>1122</v>
      </c>
      <c r="C146" t="s">
        <v>2414</v>
      </c>
      <c r="D146" s="5">
        <v>65.042000000000002</v>
      </c>
    </row>
    <row r="147" spans="1:4">
      <c r="A147" t="s">
        <v>1674</v>
      </c>
      <c r="B147" t="s">
        <v>1123</v>
      </c>
      <c r="C147" t="s">
        <v>2414</v>
      </c>
      <c r="D147" s="5">
        <v>25.70664166666667</v>
      </c>
    </row>
    <row r="148" spans="1:4">
      <c r="A148" t="s">
        <v>1675</v>
      </c>
      <c r="B148" t="s">
        <v>1124</v>
      </c>
      <c r="C148" t="s">
        <v>2414</v>
      </c>
      <c r="D148" s="5">
        <v>26.236133333333335</v>
      </c>
    </row>
    <row r="149" spans="1:4">
      <c r="A149" t="s">
        <v>1676</v>
      </c>
      <c r="B149" t="s">
        <v>1125</v>
      </c>
      <c r="C149" t="s">
        <v>2414</v>
      </c>
      <c r="D149" s="5">
        <v>29.437250000000002</v>
      </c>
    </row>
    <row r="150" spans="1:4">
      <c r="A150" t="s">
        <v>1677</v>
      </c>
      <c r="B150" t="s">
        <v>1126</v>
      </c>
      <c r="C150" t="s">
        <v>2414</v>
      </c>
      <c r="D150" s="5">
        <v>32.264025000000004</v>
      </c>
    </row>
    <row r="151" spans="1:4">
      <c r="A151" t="s">
        <v>1678</v>
      </c>
      <c r="B151" t="s">
        <v>1127</v>
      </c>
      <c r="C151" t="s">
        <v>2414</v>
      </c>
      <c r="D151" s="5">
        <v>26.601050000000004</v>
      </c>
    </row>
    <row r="152" spans="1:4">
      <c r="A152" t="s">
        <v>1679</v>
      </c>
      <c r="B152" t="s">
        <v>1128</v>
      </c>
      <c r="C152" t="s">
        <v>2414</v>
      </c>
      <c r="D152" s="5">
        <v>26.638750000000002</v>
      </c>
    </row>
    <row r="153" spans="1:4">
      <c r="A153" t="s">
        <v>1680</v>
      </c>
      <c r="B153" t="s">
        <v>1129</v>
      </c>
      <c r="C153" t="s">
        <v>2414</v>
      </c>
      <c r="D153" s="5">
        <v>24.321650000000005</v>
      </c>
    </row>
    <row r="154" spans="1:4">
      <c r="A154" t="s">
        <v>1681</v>
      </c>
      <c r="B154" t="s">
        <v>1130</v>
      </c>
      <c r="C154" t="s">
        <v>2414</v>
      </c>
      <c r="D154" s="5">
        <v>20.2</v>
      </c>
    </row>
    <row r="155" spans="1:4">
      <c r="A155" t="s">
        <v>1682</v>
      </c>
      <c r="B155" t="s">
        <v>1131</v>
      </c>
      <c r="C155" t="s">
        <v>2414</v>
      </c>
      <c r="D155" s="5">
        <v>44.6492</v>
      </c>
    </row>
    <row r="156" spans="1:4">
      <c r="A156" t="s">
        <v>1683</v>
      </c>
      <c r="B156" t="s">
        <v>1132</v>
      </c>
      <c r="C156" t="s">
        <v>2414</v>
      </c>
      <c r="D156" s="5">
        <v>24.885216666666672</v>
      </c>
    </row>
    <row r="157" spans="1:4">
      <c r="A157" t="s">
        <v>1684</v>
      </c>
      <c r="B157" t="s">
        <v>1133</v>
      </c>
      <c r="C157" t="s">
        <v>2414</v>
      </c>
      <c r="D157" s="5">
        <v>24.089166666666671</v>
      </c>
    </row>
    <row r="158" spans="1:4">
      <c r="A158" t="s">
        <v>1685</v>
      </c>
      <c r="B158" t="s">
        <v>1134</v>
      </c>
      <c r="C158" t="s">
        <v>2414</v>
      </c>
      <c r="D158" s="5">
        <v>45.787933333333335</v>
      </c>
    </row>
    <row r="159" spans="1:4">
      <c r="A159" t="s">
        <v>1686</v>
      </c>
      <c r="B159" t="s">
        <v>1135</v>
      </c>
      <c r="C159" t="s">
        <v>2414</v>
      </c>
      <c r="D159" s="5">
        <v>52.17615</v>
      </c>
    </row>
    <row r="160" spans="1:4">
      <c r="A160" t="s">
        <v>1687</v>
      </c>
      <c r="B160" t="s">
        <v>1136</v>
      </c>
      <c r="C160" t="s">
        <v>2414</v>
      </c>
      <c r="D160" s="5">
        <v>72.005141666666674</v>
      </c>
    </row>
    <row r="161" spans="1:4">
      <c r="A161" t="s">
        <v>1688</v>
      </c>
      <c r="B161" t="s">
        <v>1137</v>
      </c>
      <c r="C161" t="s">
        <v>2414</v>
      </c>
      <c r="D161" s="5">
        <v>138.83040000000003</v>
      </c>
    </row>
    <row r="162" spans="1:4">
      <c r="A162" t="s">
        <v>1689</v>
      </c>
      <c r="B162" t="s">
        <v>1138</v>
      </c>
      <c r="C162" t="s">
        <v>2414</v>
      </c>
      <c r="D162" s="5">
        <v>56.570858333333341</v>
      </c>
    </row>
    <row r="163" spans="1:4">
      <c r="A163" t="s">
        <v>1690</v>
      </c>
      <c r="B163" t="s">
        <v>1139</v>
      </c>
      <c r="C163" t="s">
        <v>2414</v>
      </c>
      <c r="D163" s="5">
        <v>140.82415000000003</v>
      </c>
    </row>
    <row r="164" spans="1:4">
      <c r="A164" t="s">
        <v>1691</v>
      </c>
      <c r="B164" t="s">
        <v>1140</v>
      </c>
      <c r="C164" t="s">
        <v>2414</v>
      </c>
      <c r="D164" s="5">
        <v>129.53686666666667</v>
      </c>
    </row>
    <row r="165" spans="1:4">
      <c r="A165" t="s">
        <v>1692</v>
      </c>
      <c r="B165" t="s">
        <v>1141</v>
      </c>
      <c r="C165" t="s">
        <v>2414</v>
      </c>
      <c r="D165" s="5">
        <v>191.8</v>
      </c>
    </row>
    <row r="166" spans="1:4">
      <c r="A166" t="s">
        <v>1693</v>
      </c>
      <c r="B166" t="s">
        <v>1142</v>
      </c>
      <c r="C166" t="s">
        <v>2414</v>
      </c>
      <c r="D166" s="5">
        <v>57.34975</v>
      </c>
    </row>
    <row r="167" spans="1:4">
      <c r="A167" t="s">
        <v>1694</v>
      </c>
      <c r="B167" t="s">
        <v>1143</v>
      </c>
      <c r="C167" t="s">
        <v>2414</v>
      </c>
      <c r="D167" s="5">
        <v>85.651333333333341</v>
      </c>
    </row>
    <row r="168" spans="1:4">
      <c r="A168" t="s">
        <v>1695</v>
      </c>
      <c r="B168" t="s">
        <v>1144</v>
      </c>
      <c r="C168" t="s">
        <v>2414</v>
      </c>
      <c r="D168" s="5">
        <v>146.67997500000001</v>
      </c>
    </row>
    <row r="169" spans="1:4">
      <c r="A169" t="s">
        <v>1696</v>
      </c>
      <c r="B169" t="s">
        <v>1145</v>
      </c>
      <c r="C169" t="s">
        <v>2414</v>
      </c>
      <c r="D169" s="5">
        <v>197.40170000000003</v>
      </c>
    </row>
    <row r="170" spans="1:4">
      <c r="A170" t="s">
        <v>1697</v>
      </c>
      <c r="B170" t="s">
        <v>1146</v>
      </c>
      <c r="C170" t="s">
        <v>2414</v>
      </c>
      <c r="D170" s="5">
        <v>160.86605000000003</v>
      </c>
    </row>
    <row r="171" spans="1:4">
      <c r="A171" t="s">
        <v>1698</v>
      </c>
      <c r="B171" t="s">
        <v>1147</v>
      </c>
      <c r="C171" t="s">
        <v>2414</v>
      </c>
      <c r="D171" s="5">
        <v>221.7277</v>
      </c>
    </row>
    <row r="172" spans="1:4">
      <c r="A172" t="s">
        <v>1699</v>
      </c>
      <c r="B172" t="s">
        <v>1148</v>
      </c>
      <c r="C172" t="s">
        <v>2414</v>
      </c>
      <c r="D172" s="5">
        <v>51.132875000000006</v>
      </c>
    </row>
    <row r="173" spans="1:4">
      <c r="A173" t="s">
        <v>1700</v>
      </c>
      <c r="B173" t="s">
        <v>1149</v>
      </c>
      <c r="C173" t="s">
        <v>2414</v>
      </c>
      <c r="D173" s="5">
        <v>29.057591666666671</v>
      </c>
    </row>
    <row r="174" spans="1:4">
      <c r="A174" t="s">
        <v>1701</v>
      </c>
      <c r="B174" t="s">
        <v>1150</v>
      </c>
      <c r="C174" t="s">
        <v>2414</v>
      </c>
      <c r="D174" s="5">
        <v>33.695416666666674</v>
      </c>
    </row>
    <row r="175" spans="1:4">
      <c r="A175" t="s">
        <v>1702</v>
      </c>
      <c r="B175" t="s">
        <v>1151</v>
      </c>
      <c r="C175" t="s">
        <v>2414</v>
      </c>
      <c r="D175" s="5">
        <v>105.15866666666666</v>
      </c>
    </row>
    <row r="176" spans="1:4">
      <c r="A176" t="s">
        <v>1703</v>
      </c>
      <c r="B176" t="s">
        <v>1152</v>
      </c>
      <c r="C176" t="s">
        <v>2414</v>
      </c>
      <c r="D176" s="5">
        <v>35.309266666666666</v>
      </c>
    </row>
    <row r="177" spans="1:4">
      <c r="A177" t="s">
        <v>1704</v>
      </c>
      <c r="B177" t="s">
        <v>1153</v>
      </c>
      <c r="C177" t="s">
        <v>2414</v>
      </c>
      <c r="D177" s="5">
        <v>102.73233333333334</v>
      </c>
    </row>
    <row r="178" spans="1:4">
      <c r="A178" t="s">
        <v>1705</v>
      </c>
      <c r="B178" t="s">
        <v>1154</v>
      </c>
      <c r="C178" t="s">
        <v>2414</v>
      </c>
      <c r="D178" s="5">
        <v>177.07125000000005</v>
      </c>
    </row>
    <row r="179" spans="1:4">
      <c r="A179" t="s">
        <v>1706</v>
      </c>
      <c r="B179" t="s">
        <v>1155</v>
      </c>
      <c r="C179" t="s">
        <v>2414</v>
      </c>
      <c r="D179" s="5">
        <v>67.882066666666674</v>
      </c>
    </row>
    <row r="180" spans="1:4">
      <c r="A180" t="s">
        <v>1707</v>
      </c>
      <c r="B180" t="s">
        <v>1156</v>
      </c>
      <c r="C180" t="s">
        <v>2414</v>
      </c>
      <c r="D180" s="5">
        <v>45.427849999999999</v>
      </c>
    </row>
    <row r="181" spans="1:4">
      <c r="A181" t="s">
        <v>1708</v>
      </c>
      <c r="B181" t="s">
        <v>1157</v>
      </c>
      <c r="C181" t="s">
        <v>2414</v>
      </c>
      <c r="D181" s="5">
        <v>249.65889999999999</v>
      </c>
    </row>
    <row r="182" spans="1:4">
      <c r="A182" t="s">
        <v>1709</v>
      </c>
      <c r="B182" t="s">
        <v>1158</v>
      </c>
      <c r="C182" t="s">
        <v>2414</v>
      </c>
      <c r="D182" s="5">
        <v>36.716733333333337</v>
      </c>
    </row>
    <row r="183" spans="1:4">
      <c r="A183" t="s">
        <v>1710</v>
      </c>
      <c r="B183" t="s">
        <v>1159</v>
      </c>
      <c r="C183" t="s">
        <v>2414</v>
      </c>
      <c r="D183" s="5">
        <v>149.23994999999999</v>
      </c>
    </row>
    <row r="184" spans="1:4">
      <c r="A184" t="s">
        <v>1711</v>
      </c>
      <c r="B184" t="s">
        <v>1160</v>
      </c>
      <c r="C184" t="s">
        <v>2414</v>
      </c>
      <c r="D184" s="5">
        <v>95.971299999999999</v>
      </c>
    </row>
    <row r="185" spans="1:4">
      <c r="A185" t="s">
        <v>1712</v>
      </c>
      <c r="B185" t="s">
        <v>1161</v>
      </c>
      <c r="C185" t="s">
        <v>2414</v>
      </c>
      <c r="D185" s="5">
        <v>49.316749999999999</v>
      </c>
    </row>
    <row r="186" spans="1:4">
      <c r="A186" t="s">
        <v>1713</v>
      </c>
      <c r="B186" t="s">
        <v>1162</v>
      </c>
      <c r="C186" t="s">
        <v>2414</v>
      </c>
      <c r="D186" s="5">
        <v>151.72162499999999</v>
      </c>
    </row>
    <row r="187" spans="1:4">
      <c r="A187" t="s">
        <v>1714</v>
      </c>
      <c r="B187" t="s">
        <v>1163</v>
      </c>
      <c r="C187" t="s">
        <v>2414</v>
      </c>
      <c r="D187" s="5">
        <v>95.073916666666676</v>
      </c>
    </row>
    <row r="188" spans="1:4">
      <c r="A188" t="s">
        <v>1715</v>
      </c>
      <c r="B188" t="s">
        <v>1164</v>
      </c>
      <c r="C188" t="s">
        <v>2414</v>
      </c>
      <c r="D188" s="5">
        <v>60.811624999999999</v>
      </c>
    </row>
    <row r="189" spans="1:4">
      <c r="A189" t="s">
        <v>1716</v>
      </c>
      <c r="B189" t="s">
        <v>1165</v>
      </c>
      <c r="C189" t="s">
        <v>2414</v>
      </c>
      <c r="D189" s="5">
        <v>87.787500000000009</v>
      </c>
    </row>
    <row r="190" spans="1:4">
      <c r="A190" t="s">
        <v>1717</v>
      </c>
      <c r="B190" t="s">
        <v>1166</v>
      </c>
      <c r="C190" t="s">
        <v>2414</v>
      </c>
      <c r="D190" s="5">
        <v>56.994500000000002</v>
      </c>
    </row>
    <row r="191" spans="1:4">
      <c r="A191" t="s">
        <v>1718</v>
      </c>
      <c r="B191" t="s">
        <v>1167</v>
      </c>
      <c r="C191" t="s">
        <v>2414</v>
      </c>
      <c r="D191" s="5">
        <v>28.009</v>
      </c>
    </row>
    <row r="192" spans="1:4">
      <c r="A192" t="s">
        <v>1719</v>
      </c>
      <c r="B192" t="s">
        <v>1168</v>
      </c>
      <c r="C192" t="s">
        <v>2414</v>
      </c>
      <c r="D192" s="5">
        <v>35.160158333333335</v>
      </c>
    </row>
    <row r="193" spans="1:4">
      <c r="A193" t="s">
        <v>1720</v>
      </c>
      <c r="B193" t="s">
        <v>1169</v>
      </c>
      <c r="C193" t="s">
        <v>2414</v>
      </c>
      <c r="D193" s="5">
        <v>61.942624999999992</v>
      </c>
    </row>
    <row r="194" spans="1:4">
      <c r="A194" t="s">
        <v>1721</v>
      </c>
      <c r="B194" t="s">
        <v>1170</v>
      </c>
      <c r="C194" t="s">
        <v>2414</v>
      </c>
      <c r="D194" s="5">
        <v>21.684100000000001</v>
      </c>
    </row>
    <row r="195" spans="1:4">
      <c r="A195" t="s">
        <v>1722</v>
      </c>
      <c r="B195" t="s">
        <v>1171</v>
      </c>
      <c r="C195" t="s">
        <v>2414</v>
      </c>
      <c r="D195" s="5">
        <v>130.36965000000004</v>
      </c>
    </row>
    <row r="196" spans="1:4">
      <c r="A196" t="s">
        <v>1723</v>
      </c>
      <c r="B196" t="s">
        <v>1172</v>
      </c>
      <c r="C196" t="s">
        <v>2414</v>
      </c>
      <c r="D196" s="5">
        <v>244.16145</v>
      </c>
    </row>
    <row r="197" spans="1:4">
      <c r="A197" t="s">
        <v>1724</v>
      </c>
      <c r="B197" t="s">
        <v>1173</v>
      </c>
      <c r="C197" t="s">
        <v>2414</v>
      </c>
      <c r="D197" s="5">
        <v>74.206000000000017</v>
      </c>
    </row>
    <row r="198" spans="1:4">
      <c r="A198" t="s">
        <v>1725</v>
      </c>
      <c r="B198" t="s">
        <v>1174</v>
      </c>
      <c r="C198" t="s">
        <v>2414</v>
      </c>
      <c r="D198" s="5">
        <v>94.849241666666671</v>
      </c>
    </row>
    <row r="199" spans="1:4">
      <c r="A199" t="s">
        <v>1726</v>
      </c>
      <c r="B199" t="s">
        <v>1175</v>
      </c>
      <c r="C199" t="s">
        <v>2414</v>
      </c>
      <c r="D199" s="5">
        <v>99.522999999999996</v>
      </c>
    </row>
    <row r="200" spans="1:4">
      <c r="A200" t="s">
        <v>1727</v>
      </c>
      <c r="B200" t="s">
        <v>1176</v>
      </c>
      <c r="C200" t="s">
        <v>2414</v>
      </c>
      <c r="D200" s="5">
        <v>189.38900000000001</v>
      </c>
    </row>
    <row r="201" spans="1:4">
      <c r="A201" t="s">
        <v>1728</v>
      </c>
      <c r="B201" t="s">
        <v>1177</v>
      </c>
      <c r="C201" t="s">
        <v>2414</v>
      </c>
      <c r="D201" s="5">
        <v>79.074375000000003</v>
      </c>
    </row>
    <row r="202" spans="1:4">
      <c r="A202" t="s">
        <v>1729</v>
      </c>
      <c r="B202" t="s">
        <v>1178</v>
      </c>
      <c r="C202" t="s">
        <v>2414</v>
      </c>
      <c r="D202" s="5">
        <v>30.031266666666667</v>
      </c>
    </row>
    <row r="203" spans="1:4">
      <c r="A203" t="s">
        <v>1730</v>
      </c>
      <c r="B203" t="s">
        <v>1179</v>
      </c>
      <c r="C203" t="s">
        <v>2414</v>
      </c>
      <c r="D203" s="5">
        <v>56.2637</v>
      </c>
    </row>
    <row r="204" spans="1:4">
      <c r="A204" t="s">
        <v>1731</v>
      </c>
      <c r="B204" t="s">
        <v>1180</v>
      </c>
      <c r="C204" t="s">
        <v>2414</v>
      </c>
      <c r="D204" s="5">
        <v>31.902008333333331</v>
      </c>
    </row>
    <row r="205" spans="1:4">
      <c r="A205" t="s">
        <v>1732</v>
      </c>
      <c r="B205" t="s">
        <v>1181</v>
      </c>
      <c r="C205" t="s">
        <v>2414</v>
      </c>
      <c r="D205" s="5">
        <v>226.52930000000001</v>
      </c>
    </row>
    <row r="206" spans="1:4">
      <c r="A206" t="s">
        <v>1733</v>
      </c>
      <c r="B206" t="s">
        <v>1182</v>
      </c>
      <c r="C206" t="s">
        <v>2414</v>
      </c>
      <c r="D206" s="5">
        <v>77.013200000000012</v>
      </c>
    </row>
    <row r="207" spans="1:4">
      <c r="A207" t="s">
        <v>1734</v>
      </c>
      <c r="B207" t="s">
        <v>1183</v>
      </c>
      <c r="C207" t="s">
        <v>2414</v>
      </c>
      <c r="D207" s="5">
        <v>114.21730000000001</v>
      </c>
    </row>
    <row r="208" spans="1:4">
      <c r="A208" t="s">
        <v>1735</v>
      </c>
      <c r="B208" t="s">
        <v>1184</v>
      </c>
      <c r="C208" t="s">
        <v>2414</v>
      </c>
      <c r="D208" s="5">
        <v>30.582750000000001</v>
      </c>
    </row>
    <row r="209" spans="1:4">
      <c r="A209" t="s">
        <v>1736</v>
      </c>
      <c r="B209" t="s">
        <v>1185</v>
      </c>
      <c r="C209" t="s">
        <v>2414</v>
      </c>
      <c r="D209" s="5">
        <v>239.46097499999999</v>
      </c>
    </row>
    <row r="210" spans="1:4">
      <c r="A210" t="s">
        <v>1737</v>
      </c>
      <c r="B210" t="s">
        <v>1186</v>
      </c>
      <c r="C210" t="s">
        <v>2414</v>
      </c>
      <c r="D210" s="5">
        <v>182.26104166666673</v>
      </c>
    </row>
    <row r="211" spans="1:4">
      <c r="A211" t="s">
        <v>1738</v>
      </c>
      <c r="B211" t="s">
        <v>1187</v>
      </c>
      <c r="C211" t="s">
        <v>2414</v>
      </c>
      <c r="D211" s="5">
        <v>38.42</v>
      </c>
    </row>
    <row r="212" spans="1:4">
      <c r="A212" t="s">
        <v>1739</v>
      </c>
      <c r="B212" t="s">
        <v>1188</v>
      </c>
      <c r="C212" t="s">
        <v>2414</v>
      </c>
      <c r="D212" s="5">
        <v>47.808750000000011</v>
      </c>
    </row>
    <row r="213" spans="1:4">
      <c r="A213" t="s">
        <v>1740</v>
      </c>
      <c r="B213" t="s">
        <v>1189</v>
      </c>
      <c r="C213" t="s">
        <v>2414</v>
      </c>
      <c r="D213" s="5">
        <v>49.51153333333334</v>
      </c>
    </row>
    <row r="214" spans="1:4">
      <c r="A214" t="s">
        <v>1741</v>
      </c>
      <c r="B214" t="s">
        <v>1190</v>
      </c>
      <c r="C214" t="s">
        <v>2414</v>
      </c>
      <c r="D214" s="5">
        <v>50.448716666666662</v>
      </c>
    </row>
    <row r="215" spans="1:4">
      <c r="A215" t="s">
        <v>1742</v>
      </c>
      <c r="B215" t="s">
        <v>1191</v>
      </c>
      <c r="C215" t="s">
        <v>2414</v>
      </c>
      <c r="D215" s="5">
        <v>48.403733333333335</v>
      </c>
    </row>
    <row r="216" spans="1:4">
      <c r="A216" t="s">
        <v>1743</v>
      </c>
      <c r="B216" t="s">
        <v>1192</v>
      </c>
      <c r="C216" t="s">
        <v>2414</v>
      </c>
      <c r="D216" s="5">
        <v>46.210850000000001</v>
      </c>
    </row>
    <row r="217" spans="1:4">
      <c r="A217" t="s">
        <v>1744</v>
      </c>
      <c r="B217" t="s">
        <v>1193</v>
      </c>
      <c r="C217" t="s">
        <v>2414</v>
      </c>
      <c r="D217" s="5">
        <v>50.041750000000008</v>
      </c>
    </row>
    <row r="218" spans="1:4">
      <c r="A218" t="s">
        <v>1745</v>
      </c>
      <c r="B218" t="s">
        <v>1194</v>
      </c>
      <c r="C218" t="s">
        <v>2414</v>
      </c>
      <c r="D218" s="5">
        <v>92.758341666666666</v>
      </c>
    </row>
    <row r="219" spans="1:4">
      <c r="A219" t="s">
        <v>1746</v>
      </c>
      <c r="B219" t="s">
        <v>1195</v>
      </c>
      <c r="C219" t="s">
        <v>2414</v>
      </c>
      <c r="D219" s="5">
        <v>142.08903333333336</v>
      </c>
    </row>
    <row r="220" spans="1:4">
      <c r="A220" t="s">
        <v>1747</v>
      </c>
      <c r="B220" t="s">
        <v>1196</v>
      </c>
      <c r="C220" t="s">
        <v>2414</v>
      </c>
      <c r="D220" s="5">
        <v>92.61375000000001</v>
      </c>
    </row>
    <row r="221" spans="1:4">
      <c r="A221" t="s">
        <v>1748</v>
      </c>
      <c r="B221" t="s">
        <v>1197</v>
      </c>
      <c r="C221" t="s">
        <v>2414</v>
      </c>
      <c r="D221" s="5">
        <v>91.640800000000027</v>
      </c>
    </row>
    <row r="222" spans="1:4">
      <c r="A222" t="s">
        <v>1749</v>
      </c>
      <c r="B222" t="s">
        <v>1198</v>
      </c>
      <c r="C222" t="s">
        <v>2414</v>
      </c>
      <c r="D222" s="5">
        <v>31.741300000000003</v>
      </c>
    </row>
    <row r="223" spans="1:4">
      <c r="A223" t="s">
        <v>1750</v>
      </c>
      <c r="B223" t="s">
        <v>1199</v>
      </c>
      <c r="C223" t="s">
        <v>2414</v>
      </c>
      <c r="D223" s="5">
        <v>107.6923</v>
      </c>
    </row>
    <row r="224" spans="1:4">
      <c r="A224" t="s">
        <v>1751</v>
      </c>
      <c r="B224" t="s">
        <v>1200</v>
      </c>
      <c r="C224" t="s">
        <v>2414</v>
      </c>
      <c r="D224" s="5">
        <v>39.333500000000008</v>
      </c>
    </row>
    <row r="225" spans="1:4">
      <c r="A225" t="s">
        <v>1752</v>
      </c>
      <c r="B225" t="s">
        <v>1201</v>
      </c>
      <c r="C225" t="s">
        <v>2414</v>
      </c>
      <c r="D225" s="5">
        <v>119.46275</v>
      </c>
    </row>
    <row r="226" spans="1:4">
      <c r="A226" t="s">
        <v>1753</v>
      </c>
      <c r="B226" t="s">
        <v>1202</v>
      </c>
      <c r="C226" t="s">
        <v>2414</v>
      </c>
      <c r="D226" s="5">
        <v>60.057141666666666</v>
      </c>
    </row>
    <row r="227" spans="1:4">
      <c r="A227" t="s">
        <v>1754</v>
      </c>
      <c r="B227" t="s">
        <v>1203</v>
      </c>
      <c r="C227" t="s">
        <v>2414</v>
      </c>
      <c r="D227" s="5">
        <v>61.077700000000014</v>
      </c>
    </row>
    <row r="228" spans="1:4">
      <c r="A228" t="s">
        <v>1755</v>
      </c>
      <c r="B228" t="s">
        <v>1204</v>
      </c>
      <c r="C228" t="s">
        <v>2414</v>
      </c>
      <c r="D228" s="5">
        <v>48.684066666666681</v>
      </c>
    </row>
    <row r="229" spans="1:4">
      <c r="A229" t="s">
        <v>1756</v>
      </c>
      <c r="B229" t="s">
        <v>1205</v>
      </c>
      <c r="C229" t="s">
        <v>2414</v>
      </c>
      <c r="D229" s="5">
        <v>70.747266666666661</v>
      </c>
    </row>
    <row r="230" spans="1:4">
      <c r="A230" t="s">
        <v>1757</v>
      </c>
      <c r="B230" t="s">
        <v>1206</v>
      </c>
      <c r="C230" t="s">
        <v>2414</v>
      </c>
      <c r="D230" s="5">
        <v>157.07502499999998</v>
      </c>
    </row>
    <row r="231" spans="1:4">
      <c r="A231" t="s">
        <v>1758</v>
      </c>
      <c r="B231" t="s">
        <v>1207</v>
      </c>
      <c r="C231" t="s">
        <v>2414</v>
      </c>
      <c r="D231" s="5">
        <v>175.54875000000001</v>
      </c>
    </row>
    <row r="232" spans="1:4">
      <c r="A232" t="s">
        <v>1759</v>
      </c>
      <c r="B232" t="s">
        <v>1208</v>
      </c>
      <c r="C232" t="s">
        <v>2414</v>
      </c>
      <c r="D232" s="5">
        <v>152.07518333333331</v>
      </c>
    </row>
    <row r="233" spans="1:4">
      <c r="A233" t="s">
        <v>1760</v>
      </c>
      <c r="B233" t="s">
        <v>1209</v>
      </c>
      <c r="C233" t="s">
        <v>2414</v>
      </c>
      <c r="D233" s="5">
        <v>264.79559999999998</v>
      </c>
    </row>
    <row r="234" spans="1:4">
      <c r="A234" t="s">
        <v>1761</v>
      </c>
      <c r="B234" t="s">
        <v>1210</v>
      </c>
      <c r="C234" t="s">
        <v>2414</v>
      </c>
      <c r="D234" s="5">
        <v>232.57660000000001</v>
      </c>
    </row>
    <row r="235" spans="1:4">
      <c r="A235" t="s">
        <v>1762</v>
      </c>
      <c r="B235" t="s">
        <v>1211</v>
      </c>
      <c r="C235" t="s">
        <v>2414</v>
      </c>
      <c r="D235" s="5">
        <v>262.13823333333301</v>
      </c>
    </row>
    <row r="236" spans="1:4">
      <c r="A236" t="s">
        <v>1763</v>
      </c>
      <c r="B236" t="s">
        <v>1212</v>
      </c>
      <c r="C236" t="s">
        <v>2414</v>
      </c>
      <c r="D236" s="5">
        <v>48.823750000000004</v>
      </c>
    </row>
    <row r="237" spans="1:4">
      <c r="A237" t="s">
        <v>1764</v>
      </c>
      <c r="B237" t="s">
        <v>1213</v>
      </c>
      <c r="C237" t="s">
        <v>2414</v>
      </c>
      <c r="D237" s="5">
        <v>52.173250000000003</v>
      </c>
    </row>
    <row r="238" spans="1:4">
      <c r="A238" t="s">
        <v>1765</v>
      </c>
      <c r="B238" t="s">
        <v>1214</v>
      </c>
      <c r="C238" t="s">
        <v>2414</v>
      </c>
      <c r="D238" s="5">
        <v>44.184716666666667</v>
      </c>
    </row>
    <row r="239" spans="1:4">
      <c r="A239" t="s">
        <v>1766</v>
      </c>
      <c r="B239" t="s">
        <v>1215</v>
      </c>
      <c r="C239" t="s">
        <v>2414</v>
      </c>
      <c r="D239" s="5">
        <v>41.288825000000003</v>
      </c>
    </row>
    <row r="240" spans="1:4">
      <c r="A240" t="s">
        <v>1767</v>
      </c>
      <c r="B240" t="s">
        <v>1216</v>
      </c>
      <c r="C240" t="s">
        <v>2414</v>
      </c>
      <c r="D240" s="5">
        <v>42.135141666666676</v>
      </c>
    </row>
    <row r="241" spans="1:4">
      <c r="A241" t="s">
        <v>1768</v>
      </c>
      <c r="B241" t="s">
        <v>1217</v>
      </c>
      <c r="C241" t="s">
        <v>2414</v>
      </c>
      <c r="D241" s="5">
        <v>46.305100000000003</v>
      </c>
    </row>
    <row r="242" spans="1:4">
      <c r="A242" t="s">
        <v>1769</v>
      </c>
      <c r="B242" t="s">
        <v>1218</v>
      </c>
      <c r="C242" t="s">
        <v>2414</v>
      </c>
      <c r="D242" s="5">
        <v>72.244875000000008</v>
      </c>
    </row>
    <row r="243" spans="1:4">
      <c r="A243" t="s">
        <v>1770</v>
      </c>
      <c r="B243" t="s">
        <v>1219</v>
      </c>
      <c r="C243" t="s">
        <v>2414</v>
      </c>
      <c r="D243" s="5">
        <v>70.319999999999993</v>
      </c>
    </row>
    <row r="244" spans="1:4">
      <c r="A244" t="s">
        <v>1771</v>
      </c>
      <c r="B244" t="s">
        <v>1220</v>
      </c>
      <c r="C244" t="s">
        <v>2414</v>
      </c>
      <c r="D244" s="5">
        <v>33.63451666666667</v>
      </c>
    </row>
    <row r="245" spans="1:4">
      <c r="A245" t="s">
        <v>1772</v>
      </c>
      <c r="B245" t="s">
        <v>1221</v>
      </c>
      <c r="C245" t="s">
        <v>2414</v>
      </c>
      <c r="D245" s="5">
        <v>31.207699999999999</v>
      </c>
    </row>
    <row r="246" spans="1:4">
      <c r="A246" t="s">
        <v>1773</v>
      </c>
      <c r="B246" t="s">
        <v>1222</v>
      </c>
      <c r="C246" t="s">
        <v>2414</v>
      </c>
      <c r="D246" s="5">
        <v>50.968299999999999</v>
      </c>
    </row>
    <row r="247" spans="1:4">
      <c r="A247" t="s">
        <v>1774</v>
      </c>
      <c r="B247" t="s">
        <v>1223</v>
      </c>
      <c r="C247" t="s">
        <v>2414</v>
      </c>
      <c r="D247" s="5">
        <v>42.64820000000001</v>
      </c>
    </row>
    <row r="248" spans="1:4">
      <c r="A248" t="s">
        <v>1775</v>
      </c>
      <c r="B248" t="s">
        <v>1224</v>
      </c>
      <c r="C248" t="s">
        <v>2414</v>
      </c>
      <c r="D248" s="5">
        <v>208.76666666666699</v>
      </c>
    </row>
    <row r="249" spans="1:4">
      <c r="A249" t="s">
        <v>1776</v>
      </c>
      <c r="B249" t="s">
        <v>1225</v>
      </c>
      <c r="C249" t="s">
        <v>2414</v>
      </c>
      <c r="D249" s="5">
        <v>42.962125000000007</v>
      </c>
    </row>
    <row r="250" spans="1:4">
      <c r="A250" t="s">
        <v>1777</v>
      </c>
      <c r="B250" t="s">
        <v>1226</v>
      </c>
      <c r="C250" t="s">
        <v>2414</v>
      </c>
      <c r="D250" s="5">
        <v>52.334200000000003</v>
      </c>
    </row>
    <row r="251" spans="1:4">
      <c r="A251" t="s">
        <v>1778</v>
      </c>
      <c r="B251" t="s">
        <v>1227</v>
      </c>
      <c r="C251" t="s">
        <v>2414</v>
      </c>
      <c r="D251" s="5">
        <v>36.136250000000004</v>
      </c>
    </row>
    <row r="252" spans="1:4">
      <c r="A252" t="s">
        <v>1779</v>
      </c>
      <c r="B252" t="s">
        <v>1228</v>
      </c>
      <c r="C252" t="s">
        <v>2414</v>
      </c>
      <c r="D252" s="5">
        <v>61.105249999999998</v>
      </c>
    </row>
    <row r="253" spans="1:4">
      <c r="A253" t="s">
        <v>1780</v>
      </c>
      <c r="B253" t="s">
        <v>1229</v>
      </c>
      <c r="C253" t="s">
        <v>2414</v>
      </c>
      <c r="D253" s="5">
        <v>92.331966666666673</v>
      </c>
    </row>
    <row r="254" spans="1:4">
      <c r="A254" t="s">
        <v>1781</v>
      </c>
      <c r="B254" t="s">
        <v>1230</v>
      </c>
      <c r="C254" t="s">
        <v>2414</v>
      </c>
      <c r="D254" s="5">
        <v>71.920800000000014</v>
      </c>
    </row>
    <row r="255" spans="1:4">
      <c r="A255" t="s">
        <v>1782</v>
      </c>
      <c r="B255" t="s">
        <v>1231</v>
      </c>
      <c r="C255" t="s">
        <v>2414</v>
      </c>
      <c r="D255" s="5">
        <v>133.72833333333335</v>
      </c>
    </row>
    <row r="256" spans="1:4">
      <c r="A256" t="s">
        <v>1783</v>
      </c>
      <c r="B256" t="s">
        <v>1232</v>
      </c>
      <c r="C256" t="s">
        <v>2414</v>
      </c>
      <c r="D256" s="5">
        <v>160.33317500000001</v>
      </c>
    </row>
    <row r="257" spans="1:4">
      <c r="A257" t="s">
        <v>1784</v>
      </c>
      <c r="B257" t="s">
        <v>1233</v>
      </c>
      <c r="C257" t="s">
        <v>2414</v>
      </c>
      <c r="D257" s="5">
        <v>192.29407499999999</v>
      </c>
    </row>
    <row r="258" spans="1:4">
      <c r="A258" t="s">
        <v>1785</v>
      </c>
      <c r="B258" t="s">
        <v>1234</v>
      </c>
      <c r="C258" t="s">
        <v>2414</v>
      </c>
      <c r="D258" s="5">
        <v>293.60500000000002</v>
      </c>
    </row>
    <row r="259" spans="1:4">
      <c r="A259" t="s">
        <v>1786</v>
      </c>
      <c r="B259" t="s">
        <v>1235</v>
      </c>
      <c r="C259" t="s">
        <v>2414</v>
      </c>
      <c r="D259" s="5">
        <v>136.77623333333332</v>
      </c>
    </row>
    <row r="260" spans="1:4">
      <c r="A260" t="s">
        <v>1787</v>
      </c>
      <c r="B260" t="s">
        <v>1236</v>
      </c>
      <c r="C260" t="s">
        <v>2414</v>
      </c>
      <c r="D260" s="5">
        <v>94.575433333333336</v>
      </c>
    </row>
    <row r="261" spans="1:4">
      <c r="A261" t="s">
        <v>1788</v>
      </c>
      <c r="B261" t="s">
        <v>1237</v>
      </c>
      <c r="C261" t="s">
        <v>2414</v>
      </c>
      <c r="D261" s="5">
        <v>160.39987500000001</v>
      </c>
    </row>
    <row r="262" spans="1:4">
      <c r="A262" t="s">
        <v>1789</v>
      </c>
      <c r="B262" t="s">
        <v>1238</v>
      </c>
      <c r="C262" t="s">
        <v>2414</v>
      </c>
      <c r="D262" s="5">
        <v>26.005341666666666</v>
      </c>
    </row>
    <row r="263" spans="1:4">
      <c r="A263" t="s">
        <v>1790</v>
      </c>
      <c r="B263" t="s">
        <v>1239</v>
      </c>
      <c r="C263" t="s">
        <v>2414</v>
      </c>
      <c r="D263" s="5">
        <v>30.760133333333336</v>
      </c>
    </row>
    <row r="264" spans="1:4">
      <c r="A264" t="s">
        <v>1791</v>
      </c>
      <c r="B264" t="s">
        <v>1240</v>
      </c>
      <c r="C264" t="s">
        <v>2414</v>
      </c>
      <c r="D264" s="5">
        <v>29.574758333333332</v>
      </c>
    </row>
    <row r="265" spans="1:4">
      <c r="A265" t="s">
        <v>1792</v>
      </c>
      <c r="B265" t="s">
        <v>1241</v>
      </c>
      <c r="C265" t="s">
        <v>2414</v>
      </c>
      <c r="D265" s="5">
        <v>32.061750000000004</v>
      </c>
    </row>
    <row r="266" spans="1:4">
      <c r="A266" t="s">
        <v>1793</v>
      </c>
      <c r="B266" t="s">
        <v>1242</v>
      </c>
      <c r="C266" t="s">
        <v>2414</v>
      </c>
      <c r="D266" s="5">
        <v>34.178266666666673</v>
      </c>
    </row>
    <row r="267" spans="1:4">
      <c r="A267" t="s">
        <v>1794</v>
      </c>
      <c r="B267" t="s">
        <v>1243</v>
      </c>
      <c r="C267" t="s">
        <v>2414</v>
      </c>
      <c r="D267" s="5">
        <v>32.978149999999999</v>
      </c>
    </row>
    <row r="268" spans="1:4">
      <c r="A268" t="s">
        <v>1795</v>
      </c>
      <c r="B268" t="s">
        <v>1244</v>
      </c>
      <c r="C268" t="s">
        <v>2414</v>
      </c>
      <c r="D268" s="5">
        <v>33.323733333333337</v>
      </c>
    </row>
    <row r="269" spans="1:4">
      <c r="A269" t="s">
        <v>1796</v>
      </c>
      <c r="B269" t="s">
        <v>1245</v>
      </c>
      <c r="C269" t="s">
        <v>2414</v>
      </c>
      <c r="D269" s="5">
        <v>40.069374999999994</v>
      </c>
    </row>
    <row r="270" spans="1:4">
      <c r="A270" t="s">
        <v>1797</v>
      </c>
      <c r="B270" t="s">
        <v>1246</v>
      </c>
      <c r="C270" t="s">
        <v>2414</v>
      </c>
      <c r="D270" s="5">
        <v>36.970241666666666</v>
      </c>
    </row>
    <row r="271" spans="1:4">
      <c r="A271" t="s">
        <v>1798</v>
      </c>
      <c r="B271" t="s">
        <v>1247</v>
      </c>
      <c r="C271" t="s">
        <v>2414</v>
      </c>
      <c r="D271" s="5">
        <v>46.09823333333334</v>
      </c>
    </row>
    <row r="272" spans="1:4">
      <c r="A272" t="s">
        <v>1799</v>
      </c>
      <c r="B272" t="s">
        <v>1248</v>
      </c>
      <c r="C272" t="s">
        <v>2414</v>
      </c>
      <c r="D272" s="5">
        <v>43.545750000000005</v>
      </c>
    </row>
    <row r="273" spans="1:4">
      <c r="A273" t="s">
        <v>1800</v>
      </c>
      <c r="B273" t="s">
        <v>1249</v>
      </c>
      <c r="C273" t="s">
        <v>2414</v>
      </c>
      <c r="D273" s="5">
        <v>142.94187500000004</v>
      </c>
    </row>
    <row r="274" spans="1:4">
      <c r="A274" t="s">
        <v>1801</v>
      </c>
      <c r="B274" t="s">
        <v>1250</v>
      </c>
      <c r="C274" t="s">
        <v>2414</v>
      </c>
      <c r="D274" s="5">
        <v>47.714499999999994</v>
      </c>
    </row>
    <row r="275" spans="1:4">
      <c r="A275" t="s">
        <v>1802</v>
      </c>
      <c r="B275" t="s">
        <v>1251</v>
      </c>
      <c r="C275" t="s">
        <v>2414</v>
      </c>
      <c r="D275" s="5">
        <v>46.119500000000002</v>
      </c>
    </row>
    <row r="276" spans="1:4">
      <c r="A276" t="s">
        <v>1803</v>
      </c>
      <c r="B276" t="s">
        <v>1252</v>
      </c>
      <c r="C276" t="s">
        <v>2414</v>
      </c>
      <c r="D276" s="5">
        <v>50.650750000000002</v>
      </c>
    </row>
    <row r="277" spans="1:4">
      <c r="A277" t="s">
        <v>1804</v>
      </c>
      <c r="B277" t="s">
        <v>1253</v>
      </c>
      <c r="C277" t="s">
        <v>2414</v>
      </c>
      <c r="D277" s="5">
        <v>48.855891666666672</v>
      </c>
    </row>
    <row r="278" spans="1:4">
      <c r="A278" t="s">
        <v>1805</v>
      </c>
      <c r="B278" t="s">
        <v>1254</v>
      </c>
      <c r="C278" t="s">
        <v>2414</v>
      </c>
      <c r="D278" s="5">
        <v>65.152683333333357</v>
      </c>
    </row>
    <row r="279" spans="1:4">
      <c r="A279" t="s">
        <v>1806</v>
      </c>
      <c r="B279" t="s">
        <v>1255</v>
      </c>
      <c r="C279" t="s">
        <v>2414</v>
      </c>
      <c r="D279" s="5">
        <v>63.566625000000009</v>
      </c>
    </row>
    <row r="280" spans="1:4">
      <c r="A280" t="s">
        <v>1807</v>
      </c>
      <c r="B280" t="s">
        <v>1256</v>
      </c>
      <c r="C280" t="s">
        <v>2414</v>
      </c>
      <c r="D280" s="5">
        <v>44.974000000000011</v>
      </c>
    </row>
    <row r="281" spans="1:4">
      <c r="A281" t="s">
        <v>1808</v>
      </c>
      <c r="B281" t="s">
        <v>1257</v>
      </c>
      <c r="C281" t="s">
        <v>2414</v>
      </c>
      <c r="D281" s="5">
        <v>43.47760000000001</v>
      </c>
    </row>
    <row r="282" spans="1:4">
      <c r="A282" t="s">
        <v>1809</v>
      </c>
      <c r="B282" t="s">
        <v>1258</v>
      </c>
      <c r="C282" t="s">
        <v>2414</v>
      </c>
      <c r="D282" s="5">
        <v>49.039800000000007</v>
      </c>
    </row>
    <row r="283" spans="1:4">
      <c r="A283" t="s">
        <v>1810</v>
      </c>
      <c r="B283" t="s">
        <v>1259</v>
      </c>
      <c r="C283" t="s">
        <v>2414</v>
      </c>
      <c r="D283" s="5">
        <v>31.162266666666667</v>
      </c>
    </row>
    <row r="284" spans="1:4">
      <c r="A284" t="s">
        <v>1811</v>
      </c>
      <c r="B284" t="s">
        <v>1260</v>
      </c>
      <c r="C284" t="s">
        <v>2414</v>
      </c>
      <c r="D284" s="5">
        <v>36.313874999999996</v>
      </c>
    </row>
    <row r="285" spans="1:4">
      <c r="A285" t="s">
        <v>1812</v>
      </c>
      <c r="B285" t="s">
        <v>1261</v>
      </c>
      <c r="C285" t="s">
        <v>2414</v>
      </c>
      <c r="D285" s="5">
        <v>17.403216666666669</v>
      </c>
    </row>
    <row r="286" spans="1:4">
      <c r="A286" t="s">
        <v>1813</v>
      </c>
      <c r="B286" t="s">
        <v>1262</v>
      </c>
      <c r="C286" t="s">
        <v>2414</v>
      </c>
      <c r="D286" s="5">
        <v>41.841516666666671</v>
      </c>
    </row>
    <row r="287" spans="1:4">
      <c r="A287" t="s">
        <v>1814</v>
      </c>
      <c r="B287" t="s">
        <v>1263</v>
      </c>
      <c r="C287" t="s">
        <v>2414</v>
      </c>
      <c r="D287" s="5">
        <v>17.550633333333334</v>
      </c>
    </row>
    <row r="288" spans="1:4">
      <c r="A288" t="s">
        <v>1815</v>
      </c>
      <c r="B288" t="s">
        <v>1264</v>
      </c>
      <c r="C288" t="s">
        <v>2414</v>
      </c>
      <c r="D288" s="5">
        <v>56.144800000000004</v>
      </c>
    </row>
    <row r="289" spans="1:4">
      <c r="A289" t="s">
        <v>1816</v>
      </c>
      <c r="B289" t="s">
        <v>1265</v>
      </c>
      <c r="C289" t="s">
        <v>2414</v>
      </c>
      <c r="D289" s="5">
        <v>180.55125000000001</v>
      </c>
    </row>
    <row r="290" spans="1:4">
      <c r="A290" t="s">
        <v>1817</v>
      </c>
      <c r="B290" t="s">
        <v>1266</v>
      </c>
      <c r="C290" t="s">
        <v>2414</v>
      </c>
      <c r="D290" s="5">
        <v>81.77500000000002</v>
      </c>
    </row>
    <row r="291" spans="1:4">
      <c r="A291" t="s">
        <v>1818</v>
      </c>
      <c r="B291" t="s">
        <v>1267</v>
      </c>
      <c r="C291" t="s">
        <v>2414</v>
      </c>
      <c r="D291" s="5">
        <v>80.44583333333334</v>
      </c>
    </row>
    <row r="292" spans="1:4">
      <c r="A292" t="s">
        <v>1819</v>
      </c>
      <c r="B292" t="s">
        <v>1268</v>
      </c>
      <c r="C292" t="s">
        <v>2414</v>
      </c>
      <c r="D292" s="5">
        <v>63.441200000000009</v>
      </c>
    </row>
    <row r="293" spans="1:4">
      <c r="A293" t="s">
        <v>1820</v>
      </c>
      <c r="B293" t="s">
        <v>1269</v>
      </c>
      <c r="C293" t="s">
        <v>2414</v>
      </c>
      <c r="D293" s="5">
        <v>108.16773333333333</v>
      </c>
    </row>
    <row r="294" spans="1:4">
      <c r="A294" t="s">
        <v>1821</v>
      </c>
      <c r="B294" t="s">
        <v>1270</v>
      </c>
      <c r="C294" t="s">
        <v>2414</v>
      </c>
      <c r="D294" s="5">
        <v>108.16773333333333</v>
      </c>
    </row>
    <row r="295" spans="1:4">
      <c r="A295" t="s">
        <v>1822</v>
      </c>
      <c r="B295" t="s">
        <v>1271</v>
      </c>
      <c r="C295" t="s">
        <v>2414</v>
      </c>
      <c r="D295" s="5">
        <v>27.150358333333333</v>
      </c>
    </row>
    <row r="296" spans="1:4">
      <c r="A296" t="s">
        <v>1823</v>
      </c>
      <c r="B296" t="s">
        <v>1272</v>
      </c>
      <c r="C296" t="s">
        <v>2414</v>
      </c>
      <c r="D296" s="5">
        <v>57.326066666666662</v>
      </c>
    </row>
    <row r="297" spans="1:4">
      <c r="A297" t="s">
        <v>1824</v>
      </c>
      <c r="B297" t="s">
        <v>1273</v>
      </c>
      <c r="C297" t="s">
        <v>2414</v>
      </c>
      <c r="D297" s="5">
        <v>68.39585000000001</v>
      </c>
    </row>
    <row r="298" spans="1:4">
      <c r="A298" t="s">
        <v>1825</v>
      </c>
      <c r="B298" t="s">
        <v>1274</v>
      </c>
      <c r="C298" t="s">
        <v>2414</v>
      </c>
      <c r="D298" s="5">
        <v>58.80893333333335</v>
      </c>
    </row>
    <row r="299" spans="1:4">
      <c r="A299" t="s">
        <v>1826</v>
      </c>
      <c r="B299" t="s">
        <v>1275</v>
      </c>
      <c r="C299" t="s">
        <v>2414</v>
      </c>
      <c r="D299" s="5">
        <v>23.232700000000001</v>
      </c>
    </row>
    <row r="300" spans="1:4">
      <c r="A300" t="s">
        <v>1827</v>
      </c>
      <c r="B300" t="s">
        <v>1276</v>
      </c>
      <c r="C300" t="s">
        <v>2414</v>
      </c>
      <c r="D300" s="5">
        <v>17.087600000000002</v>
      </c>
    </row>
    <row r="301" spans="1:4">
      <c r="A301" t="s">
        <v>1828</v>
      </c>
      <c r="B301" t="s">
        <v>1277</v>
      </c>
      <c r="C301" t="s">
        <v>2414</v>
      </c>
      <c r="D301" s="5">
        <v>76.843791666666675</v>
      </c>
    </row>
    <row r="302" spans="1:4">
      <c r="A302" t="s">
        <v>1829</v>
      </c>
      <c r="B302" t="s">
        <v>1278</v>
      </c>
      <c r="C302" t="s">
        <v>2414</v>
      </c>
      <c r="D302" s="5">
        <v>67.525125000000003</v>
      </c>
    </row>
    <row r="303" spans="1:4">
      <c r="A303" t="s">
        <v>1830</v>
      </c>
      <c r="B303" t="s">
        <v>1279</v>
      </c>
      <c r="C303" t="s">
        <v>2414</v>
      </c>
      <c r="D303" s="5">
        <v>63.958850000000005</v>
      </c>
    </row>
    <row r="304" spans="1:4">
      <c r="A304" t="s">
        <v>1831</v>
      </c>
      <c r="B304" t="s">
        <v>1280</v>
      </c>
      <c r="C304" t="s">
        <v>2414</v>
      </c>
      <c r="D304" s="5">
        <v>36.065200000000004</v>
      </c>
    </row>
    <row r="305" spans="1:4">
      <c r="A305" t="s">
        <v>1832</v>
      </c>
      <c r="B305" t="s">
        <v>1281</v>
      </c>
      <c r="C305" t="s">
        <v>2414</v>
      </c>
      <c r="D305" s="5">
        <v>32.268133333333331</v>
      </c>
    </row>
    <row r="306" spans="1:4">
      <c r="A306" t="s">
        <v>1833</v>
      </c>
      <c r="B306" t="s">
        <v>1282</v>
      </c>
      <c r="C306" t="s">
        <v>2414</v>
      </c>
      <c r="D306" s="5">
        <v>93.72911666666667</v>
      </c>
    </row>
    <row r="307" spans="1:4">
      <c r="A307" t="s">
        <v>1834</v>
      </c>
      <c r="B307" t="s">
        <v>1283</v>
      </c>
      <c r="C307" t="s">
        <v>2414</v>
      </c>
      <c r="D307" s="5">
        <v>76.226333333333343</v>
      </c>
    </row>
    <row r="308" spans="1:4">
      <c r="A308" t="s">
        <v>1835</v>
      </c>
      <c r="B308" t="s">
        <v>1284</v>
      </c>
      <c r="C308" t="s">
        <v>2414</v>
      </c>
      <c r="D308" s="5">
        <v>99.731800000000021</v>
      </c>
    </row>
    <row r="309" spans="1:4">
      <c r="A309" t="s">
        <v>1836</v>
      </c>
      <c r="B309" t="s">
        <v>1285</v>
      </c>
      <c r="C309" t="s">
        <v>2414</v>
      </c>
      <c r="D309" s="5">
        <v>43.573300000000003</v>
      </c>
    </row>
    <row r="310" spans="1:4">
      <c r="A310" t="s">
        <v>1837</v>
      </c>
      <c r="B310" t="s">
        <v>1286</v>
      </c>
      <c r="C310" t="s">
        <v>2414</v>
      </c>
      <c r="D310" s="5">
        <v>27.816391666666664</v>
      </c>
    </row>
    <row r="311" spans="1:4">
      <c r="A311" t="s">
        <v>1838</v>
      </c>
      <c r="B311" t="s">
        <v>1287</v>
      </c>
      <c r="C311" t="s">
        <v>2414</v>
      </c>
      <c r="D311" s="5">
        <v>27.816391666666664</v>
      </c>
    </row>
    <row r="312" spans="1:4">
      <c r="A312" t="s">
        <v>1839</v>
      </c>
      <c r="B312" t="s">
        <v>1288</v>
      </c>
      <c r="C312" t="s">
        <v>2414</v>
      </c>
      <c r="D312" s="5">
        <v>31.514133333333337</v>
      </c>
    </row>
    <row r="313" spans="1:4">
      <c r="A313" t="s">
        <v>1840</v>
      </c>
      <c r="B313" t="s">
        <v>1289</v>
      </c>
      <c r="C313" t="s">
        <v>2414</v>
      </c>
      <c r="D313" s="5">
        <v>82.418316666666669</v>
      </c>
    </row>
    <row r="314" spans="1:4">
      <c r="A314" t="s">
        <v>1841</v>
      </c>
      <c r="B314" t="s">
        <v>1290</v>
      </c>
      <c r="C314" t="s">
        <v>2414</v>
      </c>
      <c r="D314" s="5">
        <v>52.147874999999999</v>
      </c>
    </row>
    <row r="315" spans="1:4">
      <c r="A315" t="s">
        <v>1842</v>
      </c>
      <c r="B315" t="s">
        <v>1291</v>
      </c>
      <c r="C315" t="s">
        <v>2414</v>
      </c>
      <c r="D315" s="5">
        <v>24.511841666666669</v>
      </c>
    </row>
    <row r="316" spans="1:4">
      <c r="A316" t="s">
        <v>1843</v>
      </c>
      <c r="B316" t="s">
        <v>1292</v>
      </c>
      <c r="C316" t="s">
        <v>2414</v>
      </c>
      <c r="D316" s="5">
        <v>98.843266666666679</v>
      </c>
    </row>
    <row r="317" spans="1:4">
      <c r="A317" t="s">
        <v>1844</v>
      </c>
      <c r="B317" t="s">
        <v>1293</v>
      </c>
      <c r="C317" t="s">
        <v>2414</v>
      </c>
      <c r="D317" s="5">
        <v>19.060566666666666</v>
      </c>
    </row>
    <row r="318" spans="1:4">
      <c r="A318" t="s">
        <v>1845</v>
      </c>
      <c r="B318" t="s">
        <v>1294</v>
      </c>
      <c r="C318" t="s">
        <v>2414</v>
      </c>
      <c r="D318" s="5">
        <v>62.277333333333338</v>
      </c>
    </row>
    <row r="319" spans="1:4">
      <c r="A319" t="s">
        <v>1846</v>
      </c>
      <c r="B319" t="s">
        <v>1295</v>
      </c>
      <c r="C319" t="s">
        <v>2414</v>
      </c>
      <c r="D319" s="5">
        <v>24.568150000000003</v>
      </c>
    </row>
    <row r="320" spans="1:4">
      <c r="A320" t="s">
        <v>1847</v>
      </c>
      <c r="B320" t="s">
        <v>1296</v>
      </c>
      <c r="C320" t="s">
        <v>2414</v>
      </c>
      <c r="D320" s="5">
        <v>21.083800000000004</v>
      </c>
    </row>
    <row r="321" spans="1:4">
      <c r="A321" t="s">
        <v>1848</v>
      </c>
      <c r="B321" t="s">
        <v>1297</v>
      </c>
      <c r="C321" t="s">
        <v>2414</v>
      </c>
      <c r="D321" s="5">
        <v>21.532816666666669</v>
      </c>
    </row>
    <row r="322" spans="1:4">
      <c r="A322" t="s">
        <v>1849</v>
      </c>
      <c r="B322" t="s">
        <v>1298</v>
      </c>
      <c r="C322" t="s">
        <v>2414</v>
      </c>
      <c r="D322" s="5">
        <v>25.08</v>
      </c>
    </row>
    <row r="323" spans="1:4">
      <c r="A323" t="s">
        <v>1850</v>
      </c>
      <c r="B323" t="s">
        <v>1299</v>
      </c>
      <c r="C323" t="s">
        <v>2414</v>
      </c>
      <c r="D323" s="5">
        <v>29.053000000000001</v>
      </c>
    </row>
    <row r="324" spans="1:4">
      <c r="A324" t="s">
        <v>1851</v>
      </c>
      <c r="B324" t="s">
        <v>1300</v>
      </c>
      <c r="C324" t="s">
        <v>2414</v>
      </c>
      <c r="D324" s="5">
        <v>29.029800000000005</v>
      </c>
    </row>
    <row r="325" spans="1:4">
      <c r="A325" t="s">
        <v>1852</v>
      </c>
      <c r="B325" t="s">
        <v>1301</v>
      </c>
      <c r="C325" t="s">
        <v>2414</v>
      </c>
      <c r="D325" s="5">
        <v>31.655749999999998</v>
      </c>
    </row>
    <row r="326" spans="1:4">
      <c r="A326" t="s">
        <v>1853</v>
      </c>
      <c r="B326" t="s">
        <v>1302</v>
      </c>
      <c r="C326" t="s">
        <v>2414</v>
      </c>
      <c r="D326" s="5">
        <v>33.091250000000002</v>
      </c>
    </row>
    <row r="327" spans="1:4">
      <c r="A327" t="s">
        <v>1854</v>
      </c>
      <c r="B327" t="s">
        <v>1303</v>
      </c>
      <c r="C327" t="s">
        <v>2414</v>
      </c>
      <c r="D327" s="5">
        <v>39.194058333333331</v>
      </c>
    </row>
    <row r="328" spans="1:4">
      <c r="A328" t="s">
        <v>1855</v>
      </c>
      <c r="B328" t="s">
        <v>1304</v>
      </c>
      <c r="C328" t="s">
        <v>2414</v>
      </c>
      <c r="D328" s="5">
        <v>38.028016666666666</v>
      </c>
    </row>
    <row r="329" spans="1:4">
      <c r="A329" t="s">
        <v>1856</v>
      </c>
      <c r="B329" t="s">
        <v>1305</v>
      </c>
      <c r="C329" t="s">
        <v>2414</v>
      </c>
      <c r="D329" s="5">
        <v>42.556125000000002</v>
      </c>
    </row>
    <row r="330" spans="1:4">
      <c r="A330" t="s">
        <v>1857</v>
      </c>
      <c r="B330" t="s">
        <v>1306</v>
      </c>
      <c r="C330" t="s">
        <v>2414</v>
      </c>
      <c r="D330" s="5">
        <v>45.471350000000008</v>
      </c>
    </row>
    <row r="331" spans="1:4">
      <c r="A331" t="s">
        <v>1858</v>
      </c>
      <c r="B331" t="s">
        <v>1307</v>
      </c>
      <c r="C331" t="s">
        <v>2414</v>
      </c>
      <c r="D331" s="5">
        <v>48.606975000000013</v>
      </c>
    </row>
    <row r="332" spans="1:4">
      <c r="A332" t="s">
        <v>1859</v>
      </c>
      <c r="B332" t="s">
        <v>1308</v>
      </c>
      <c r="C332" t="s">
        <v>2414</v>
      </c>
      <c r="D332" s="5">
        <v>54.993499999999997</v>
      </c>
    </row>
    <row r="333" spans="1:4">
      <c r="A333" t="s">
        <v>1860</v>
      </c>
      <c r="B333" t="s">
        <v>1309</v>
      </c>
      <c r="C333" t="s">
        <v>2414</v>
      </c>
      <c r="D333" s="5">
        <v>82.572500000000005</v>
      </c>
    </row>
    <row r="334" spans="1:4">
      <c r="A334" t="s">
        <v>1861</v>
      </c>
      <c r="B334" t="s">
        <v>1310</v>
      </c>
      <c r="C334" t="s">
        <v>2414</v>
      </c>
      <c r="D334" s="5">
        <v>20.989791666666669</v>
      </c>
    </row>
    <row r="335" spans="1:4">
      <c r="A335" t="s">
        <v>1862</v>
      </c>
      <c r="B335" t="s">
        <v>1311</v>
      </c>
      <c r="C335" t="s">
        <v>2414</v>
      </c>
      <c r="D335" s="5">
        <v>20.962000000000003</v>
      </c>
    </row>
    <row r="336" spans="1:4">
      <c r="A336" t="s">
        <v>1863</v>
      </c>
      <c r="B336" t="s">
        <v>1312</v>
      </c>
      <c r="C336" t="s">
        <v>2414</v>
      </c>
      <c r="D336" s="5">
        <v>22.219149999999999</v>
      </c>
    </row>
    <row r="337" spans="1:4">
      <c r="A337" t="s">
        <v>1864</v>
      </c>
      <c r="B337" t="s">
        <v>1313</v>
      </c>
      <c r="C337" t="s">
        <v>2414</v>
      </c>
      <c r="D337" s="5">
        <v>23.118875000000003</v>
      </c>
    </row>
    <row r="338" spans="1:4">
      <c r="A338" t="s">
        <v>1865</v>
      </c>
      <c r="B338" t="s">
        <v>1314</v>
      </c>
      <c r="C338" t="s">
        <v>2414</v>
      </c>
      <c r="D338" s="5">
        <v>23.778625000000005</v>
      </c>
    </row>
    <row r="339" spans="1:4">
      <c r="A339" t="s">
        <v>1866</v>
      </c>
      <c r="B339" t="s">
        <v>1315</v>
      </c>
      <c r="C339" t="s">
        <v>2414</v>
      </c>
      <c r="D339" s="5">
        <v>26.182000000000002</v>
      </c>
    </row>
    <row r="340" spans="1:4">
      <c r="A340" t="s">
        <v>1867</v>
      </c>
      <c r="B340" t="s">
        <v>1316</v>
      </c>
      <c r="C340" t="s">
        <v>2414</v>
      </c>
      <c r="D340" s="5">
        <v>27.969850000000001</v>
      </c>
    </row>
    <row r="341" spans="1:4">
      <c r="A341" t="s">
        <v>1868</v>
      </c>
      <c r="B341" t="s">
        <v>1317</v>
      </c>
      <c r="C341" t="s">
        <v>2414</v>
      </c>
      <c r="D341" s="5">
        <v>27.175250000000002</v>
      </c>
    </row>
    <row r="342" spans="1:4">
      <c r="A342" t="s">
        <v>1869</v>
      </c>
      <c r="B342" t="s">
        <v>1318</v>
      </c>
      <c r="C342" t="s">
        <v>2414</v>
      </c>
      <c r="D342" s="5">
        <v>34.565416666666671</v>
      </c>
    </row>
    <row r="343" spans="1:4">
      <c r="A343" t="s">
        <v>1870</v>
      </c>
      <c r="B343" t="s">
        <v>1319</v>
      </c>
      <c r="C343" t="s">
        <v>2414</v>
      </c>
      <c r="D343" s="5">
        <v>34.970450000000007</v>
      </c>
    </row>
    <row r="344" spans="1:4">
      <c r="A344" t="s">
        <v>1871</v>
      </c>
      <c r="B344" t="s">
        <v>1320</v>
      </c>
      <c r="C344" t="s">
        <v>2414</v>
      </c>
      <c r="D344" s="5">
        <v>48.479133333333344</v>
      </c>
    </row>
    <row r="345" spans="1:4">
      <c r="A345" t="s">
        <v>1872</v>
      </c>
      <c r="B345" t="s">
        <v>1321</v>
      </c>
      <c r="C345" t="s">
        <v>2414</v>
      </c>
      <c r="D345" s="5">
        <v>26.493749999999999</v>
      </c>
    </row>
    <row r="346" spans="1:4">
      <c r="A346" t="s">
        <v>1873</v>
      </c>
      <c r="B346" t="s">
        <v>1322</v>
      </c>
      <c r="C346" t="s">
        <v>2414</v>
      </c>
      <c r="D346" s="5">
        <v>25.557533333333339</v>
      </c>
    </row>
    <row r="347" spans="1:4">
      <c r="A347" t="s">
        <v>1874</v>
      </c>
      <c r="B347" t="s">
        <v>1323</v>
      </c>
      <c r="C347" t="s">
        <v>2414</v>
      </c>
      <c r="D347" s="5">
        <v>28.270000000000003</v>
      </c>
    </row>
    <row r="348" spans="1:4">
      <c r="A348" t="s">
        <v>1875</v>
      </c>
      <c r="B348" t="s">
        <v>1324</v>
      </c>
      <c r="C348" t="s">
        <v>2414</v>
      </c>
      <c r="D348" s="5">
        <v>31.456616666666669</v>
      </c>
    </row>
    <row r="349" spans="1:4">
      <c r="A349" t="s">
        <v>1876</v>
      </c>
      <c r="B349" t="s">
        <v>1325</v>
      </c>
      <c r="C349" t="s">
        <v>2414</v>
      </c>
      <c r="D349" s="5">
        <v>33.63935</v>
      </c>
    </row>
    <row r="350" spans="1:4">
      <c r="A350" t="s">
        <v>1877</v>
      </c>
      <c r="B350" t="s">
        <v>1326</v>
      </c>
      <c r="C350" t="s">
        <v>2414</v>
      </c>
      <c r="D350" s="5">
        <v>46.375666666666675</v>
      </c>
    </row>
    <row r="351" spans="1:4">
      <c r="A351" t="s">
        <v>1878</v>
      </c>
      <c r="B351" t="s">
        <v>1327</v>
      </c>
      <c r="C351" t="s">
        <v>2414</v>
      </c>
      <c r="D351" s="5">
        <v>53.933791666666664</v>
      </c>
    </row>
    <row r="352" spans="1:4">
      <c r="A352" t="s">
        <v>1879</v>
      </c>
      <c r="B352" t="s">
        <v>1328</v>
      </c>
      <c r="C352" t="s">
        <v>2414</v>
      </c>
      <c r="D352" s="5">
        <v>67.224491666666665</v>
      </c>
    </row>
    <row r="353" spans="1:4">
      <c r="A353" t="s">
        <v>1880</v>
      </c>
      <c r="B353" t="s">
        <v>1329</v>
      </c>
      <c r="C353" t="s">
        <v>2414</v>
      </c>
      <c r="D353" s="5">
        <v>46.996749999999999</v>
      </c>
    </row>
    <row r="354" spans="1:4">
      <c r="A354" t="s">
        <v>1881</v>
      </c>
      <c r="B354" t="s">
        <v>1330</v>
      </c>
      <c r="C354" t="s">
        <v>2414</v>
      </c>
      <c r="D354" s="5">
        <v>95.082374999999999</v>
      </c>
    </row>
    <row r="355" spans="1:4">
      <c r="A355" t="s">
        <v>1882</v>
      </c>
      <c r="B355" t="s">
        <v>1331</v>
      </c>
      <c r="C355" t="s">
        <v>2414</v>
      </c>
      <c r="D355" s="5">
        <v>158.0574</v>
      </c>
    </row>
    <row r="356" spans="1:4">
      <c r="A356" t="s">
        <v>1883</v>
      </c>
      <c r="B356" t="s">
        <v>1332</v>
      </c>
      <c r="C356" t="s">
        <v>2414</v>
      </c>
      <c r="D356" s="5">
        <v>18.035899999999998</v>
      </c>
    </row>
    <row r="357" spans="1:4">
      <c r="A357" t="s">
        <v>1884</v>
      </c>
      <c r="B357" t="s">
        <v>1333</v>
      </c>
      <c r="C357" t="s">
        <v>2414</v>
      </c>
      <c r="D357" s="5">
        <v>24.163358333333335</v>
      </c>
    </row>
    <row r="358" spans="1:4">
      <c r="A358" t="s">
        <v>1885</v>
      </c>
      <c r="B358" t="s">
        <v>1334</v>
      </c>
      <c r="C358" t="s">
        <v>2414</v>
      </c>
      <c r="D358" s="5">
        <v>25.84995</v>
      </c>
    </row>
    <row r="359" spans="1:4">
      <c r="A359" t="s">
        <v>1886</v>
      </c>
      <c r="B359" t="s">
        <v>1335</v>
      </c>
      <c r="C359" t="s">
        <v>2414</v>
      </c>
      <c r="D359" s="5">
        <v>26.727200000000003</v>
      </c>
    </row>
    <row r="360" spans="1:4">
      <c r="A360" t="s">
        <v>1887</v>
      </c>
      <c r="B360" t="s">
        <v>1336</v>
      </c>
      <c r="C360" t="s">
        <v>2414</v>
      </c>
      <c r="D360" s="5">
        <v>28.758649999999999</v>
      </c>
    </row>
    <row r="361" spans="1:4">
      <c r="A361" t="s">
        <v>1888</v>
      </c>
      <c r="B361" t="s">
        <v>1337</v>
      </c>
      <c r="C361" t="s">
        <v>2414</v>
      </c>
      <c r="D361" s="5">
        <v>32.54846666666667</v>
      </c>
    </row>
    <row r="362" spans="1:4">
      <c r="A362" t="s">
        <v>1889</v>
      </c>
      <c r="B362" t="s">
        <v>1338</v>
      </c>
      <c r="C362" t="s">
        <v>2414</v>
      </c>
      <c r="D362" s="5">
        <v>37.378900000000002</v>
      </c>
    </row>
    <row r="363" spans="1:4">
      <c r="A363" t="s">
        <v>1890</v>
      </c>
      <c r="B363" t="s">
        <v>1339</v>
      </c>
      <c r="C363" t="s">
        <v>2414</v>
      </c>
      <c r="D363" s="5">
        <v>39.84341666666667</v>
      </c>
    </row>
    <row r="364" spans="1:4">
      <c r="A364" t="s">
        <v>1891</v>
      </c>
      <c r="B364" t="s">
        <v>1340</v>
      </c>
      <c r="C364" t="s">
        <v>2414</v>
      </c>
      <c r="D364" s="5">
        <v>24.971249999999998</v>
      </c>
    </row>
    <row r="365" spans="1:4">
      <c r="A365" t="s">
        <v>1892</v>
      </c>
      <c r="B365" t="s">
        <v>1341</v>
      </c>
      <c r="C365" t="s">
        <v>2414</v>
      </c>
      <c r="D365" s="5">
        <v>30.436058333333335</v>
      </c>
    </row>
    <row r="366" spans="1:4">
      <c r="A366" t="s">
        <v>1893</v>
      </c>
      <c r="B366" t="s">
        <v>1342</v>
      </c>
      <c r="C366" t="s">
        <v>2414</v>
      </c>
      <c r="D366" s="5">
        <v>53.757133333333343</v>
      </c>
    </row>
    <row r="367" spans="1:4">
      <c r="A367" t="s">
        <v>1894</v>
      </c>
      <c r="B367" t="s">
        <v>1343</v>
      </c>
      <c r="C367" t="s">
        <v>2414</v>
      </c>
      <c r="D367" s="5">
        <v>53.958199999999998</v>
      </c>
    </row>
    <row r="368" spans="1:4">
      <c r="A368" t="s">
        <v>1895</v>
      </c>
      <c r="B368" t="s">
        <v>1344</v>
      </c>
      <c r="C368" t="s">
        <v>2414</v>
      </c>
      <c r="D368" s="5">
        <v>107.03980000000001</v>
      </c>
    </row>
    <row r="369" spans="1:4">
      <c r="A369" t="s">
        <v>1896</v>
      </c>
      <c r="B369" t="s">
        <v>1345</v>
      </c>
      <c r="C369" t="s">
        <v>2414</v>
      </c>
      <c r="D369" s="5">
        <v>38.683900000000001</v>
      </c>
    </row>
    <row r="370" spans="1:4">
      <c r="A370" t="s">
        <v>1897</v>
      </c>
      <c r="B370" t="s">
        <v>1346</v>
      </c>
      <c r="C370" t="s">
        <v>2414</v>
      </c>
      <c r="D370" s="5">
        <v>51.056750000000001</v>
      </c>
    </row>
    <row r="371" spans="1:4">
      <c r="A371" t="s">
        <v>1898</v>
      </c>
      <c r="B371" t="s">
        <v>1347</v>
      </c>
      <c r="C371" t="s">
        <v>2414</v>
      </c>
      <c r="D371" s="5">
        <v>73.913583333333349</v>
      </c>
    </row>
    <row r="372" spans="1:4">
      <c r="A372" t="s">
        <v>1899</v>
      </c>
      <c r="B372" t="s">
        <v>1348</v>
      </c>
      <c r="C372" t="s">
        <v>2414</v>
      </c>
      <c r="D372" s="5">
        <v>60.811624999999999</v>
      </c>
    </row>
    <row r="373" spans="1:4">
      <c r="A373" t="s">
        <v>1900</v>
      </c>
      <c r="B373" t="s">
        <v>1349</v>
      </c>
      <c r="C373" t="s">
        <v>2414</v>
      </c>
      <c r="D373" s="5">
        <v>77.979624999999999</v>
      </c>
    </row>
    <row r="374" spans="1:4">
      <c r="A374" t="s">
        <v>1901</v>
      </c>
      <c r="B374" t="s">
        <v>1350</v>
      </c>
      <c r="C374" t="s">
        <v>2414</v>
      </c>
      <c r="D374" s="5">
        <v>83.816600000000008</v>
      </c>
    </row>
    <row r="375" spans="1:4">
      <c r="A375" t="s">
        <v>1902</v>
      </c>
      <c r="B375" t="s">
        <v>1351</v>
      </c>
      <c r="C375" t="s">
        <v>2414</v>
      </c>
      <c r="D375" s="5">
        <v>115.86675</v>
      </c>
    </row>
    <row r="376" spans="1:4">
      <c r="A376" t="s">
        <v>1903</v>
      </c>
      <c r="B376" t="s">
        <v>1352</v>
      </c>
      <c r="C376" t="s">
        <v>2414</v>
      </c>
      <c r="D376" s="5">
        <v>220.58606666666699</v>
      </c>
    </row>
    <row r="377" spans="1:4">
      <c r="A377" t="s">
        <v>1904</v>
      </c>
      <c r="B377" t="s">
        <v>1353</v>
      </c>
      <c r="C377" t="s">
        <v>2414</v>
      </c>
      <c r="D377" s="5">
        <v>17.275133333333333</v>
      </c>
    </row>
    <row r="378" spans="1:4">
      <c r="A378" t="s">
        <v>1905</v>
      </c>
      <c r="B378" t="s">
        <v>1354</v>
      </c>
      <c r="C378" t="s">
        <v>2414</v>
      </c>
      <c r="D378" s="5">
        <v>18.735283333333335</v>
      </c>
    </row>
    <row r="379" spans="1:4">
      <c r="A379" t="s">
        <v>1906</v>
      </c>
      <c r="B379" t="s">
        <v>1355</v>
      </c>
      <c r="C379" t="s">
        <v>2414</v>
      </c>
      <c r="D379" s="5">
        <v>22.526550000000007</v>
      </c>
    </row>
    <row r="380" spans="1:4">
      <c r="A380" t="s">
        <v>1907</v>
      </c>
      <c r="B380" t="s">
        <v>1356</v>
      </c>
      <c r="C380" t="s">
        <v>2414</v>
      </c>
      <c r="D380" s="5">
        <v>22.945600000000002</v>
      </c>
    </row>
    <row r="381" spans="1:4">
      <c r="A381" t="s">
        <v>1908</v>
      </c>
      <c r="B381" t="s">
        <v>1357</v>
      </c>
      <c r="C381" t="s">
        <v>2414</v>
      </c>
      <c r="D381" s="5">
        <v>23.727875000000001</v>
      </c>
    </row>
    <row r="382" spans="1:4">
      <c r="A382" t="s">
        <v>1909</v>
      </c>
      <c r="B382" t="s">
        <v>1358</v>
      </c>
      <c r="C382" t="s">
        <v>2414</v>
      </c>
      <c r="D382" s="5">
        <v>22.774016666666668</v>
      </c>
    </row>
    <row r="383" spans="1:4">
      <c r="A383" t="s">
        <v>1910</v>
      </c>
      <c r="B383" t="s">
        <v>1359</v>
      </c>
      <c r="C383" t="s">
        <v>2414</v>
      </c>
      <c r="D383" s="5">
        <v>21.661866666666668</v>
      </c>
    </row>
    <row r="384" spans="1:4">
      <c r="A384" t="s">
        <v>1911</v>
      </c>
      <c r="B384" t="s">
        <v>1360</v>
      </c>
      <c r="C384" t="s">
        <v>2414</v>
      </c>
      <c r="D384" s="5">
        <v>27.847325000000005</v>
      </c>
    </row>
    <row r="385" spans="1:4">
      <c r="A385" t="s">
        <v>1912</v>
      </c>
      <c r="B385" t="s">
        <v>1361</v>
      </c>
      <c r="C385" t="s">
        <v>2414</v>
      </c>
      <c r="D385" s="5">
        <v>32.988058333333342</v>
      </c>
    </row>
    <row r="386" spans="1:4">
      <c r="A386" t="s">
        <v>1913</v>
      </c>
      <c r="B386" t="s">
        <v>1362</v>
      </c>
      <c r="C386" t="s">
        <v>2414</v>
      </c>
      <c r="D386" s="5">
        <v>17.790125</v>
      </c>
    </row>
    <row r="387" spans="1:4">
      <c r="A387" t="s">
        <v>1914</v>
      </c>
      <c r="B387" t="s">
        <v>1363</v>
      </c>
      <c r="C387" t="s">
        <v>2414</v>
      </c>
      <c r="D387" s="5">
        <v>30.020875000000004</v>
      </c>
    </row>
    <row r="388" spans="1:4">
      <c r="A388" t="s">
        <v>1915</v>
      </c>
      <c r="B388" t="s">
        <v>1364</v>
      </c>
      <c r="C388" t="s">
        <v>2414</v>
      </c>
      <c r="D388" s="5">
        <v>29.724833333333336</v>
      </c>
    </row>
    <row r="389" spans="1:4">
      <c r="A389" t="s">
        <v>1916</v>
      </c>
      <c r="B389" t="s">
        <v>1365</v>
      </c>
      <c r="C389" t="s">
        <v>2414</v>
      </c>
      <c r="D389" s="5">
        <v>27.610250000000008</v>
      </c>
    </row>
    <row r="390" spans="1:4">
      <c r="A390" t="s">
        <v>1917</v>
      </c>
      <c r="B390" t="s">
        <v>1366</v>
      </c>
      <c r="C390" t="s">
        <v>2414</v>
      </c>
      <c r="D390" s="5">
        <v>35.248125000000002</v>
      </c>
    </row>
    <row r="391" spans="1:4">
      <c r="A391" t="s">
        <v>1918</v>
      </c>
      <c r="B391" t="s">
        <v>1367</v>
      </c>
      <c r="C391" t="s">
        <v>2414</v>
      </c>
      <c r="D391" s="5">
        <v>39.884500000000003</v>
      </c>
    </row>
    <row r="392" spans="1:4">
      <c r="A392" t="s">
        <v>1919</v>
      </c>
      <c r="B392" t="s">
        <v>1368</v>
      </c>
      <c r="C392" t="s">
        <v>2414</v>
      </c>
      <c r="D392" s="5">
        <v>85.455100000000016</v>
      </c>
    </row>
    <row r="393" spans="1:4">
      <c r="A393" t="s">
        <v>1920</v>
      </c>
      <c r="B393" t="s">
        <v>1369</v>
      </c>
      <c r="C393" t="s">
        <v>2414</v>
      </c>
      <c r="D393" s="5">
        <v>32.000125000000004</v>
      </c>
    </row>
    <row r="394" spans="1:4">
      <c r="A394" t="s">
        <v>1921</v>
      </c>
      <c r="B394" t="s">
        <v>1370</v>
      </c>
      <c r="C394" t="s">
        <v>2414</v>
      </c>
      <c r="D394" s="5">
        <v>32.733100000000007</v>
      </c>
    </row>
    <row r="395" spans="1:4">
      <c r="A395" t="s">
        <v>1922</v>
      </c>
      <c r="B395" t="s">
        <v>1371</v>
      </c>
      <c r="C395" t="s">
        <v>2414</v>
      </c>
      <c r="D395" s="5">
        <v>38.71725</v>
      </c>
    </row>
    <row r="396" spans="1:4">
      <c r="A396" t="s">
        <v>1923</v>
      </c>
      <c r="B396" t="s">
        <v>1372</v>
      </c>
      <c r="C396" t="s">
        <v>2414</v>
      </c>
      <c r="D396" s="5">
        <v>46.362375</v>
      </c>
    </row>
    <row r="397" spans="1:4">
      <c r="A397" t="s">
        <v>1924</v>
      </c>
      <c r="B397" t="s">
        <v>1373</v>
      </c>
      <c r="C397" t="s">
        <v>2414</v>
      </c>
      <c r="D397" s="5">
        <v>51.259749999999997</v>
      </c>
    </row>
    <row r="398" spans="1:4">
      <c r="A398" t="s">
        <v>1925</v>
      </c>
      <c r="B398" t="s">
        <v>1374</v>
      </c>
      <c r="C398" t="s">
        <v>2414</v>
      </c>
      <c r="D398" s="5">
        <v>65.750566666666671</v>
      </c>
    </row>
    <row r="399" spans="1:4">
      <c r="A399" t="s">
        <v>1926</v>
      </c>
      <c r="B399" t="s">
        <v>1375</v>
      </c>
      <c r="C399" t="s">
        <v>2414</v>
      </c>
      <c r="D399" s="5">
        <v>37.107025</v>
      </c>
    </row>
    <row r="400" spans="1:4">
      <c r="A400" t="s">
        <v>1927</v>
      </c>
      <c r="B400" t="s">
        <v>1376</v>
      </c>
      <c r="C400" t="s">
        <v>2414</v>
      </c>
      <c r="D400" s="5">
        <v>38.214100000000009</v>
      </c>
    </row>
    <row r="401" spans="1:4">
      <c r="A401" t="s">
        <v>1928</v>
      </c>
      <c r="B401" t="s">
        <v>1377</v>
      </c>
      <c r="C401" t="s">
        <v>2414</v>
      </c>
      <c r="D401" s="5">
        <v>42.494500000000002</v>
      </c>
    </row>
    <row r="402" spans="1:4">
      <c r="A402" t="s">
        <v>1929</v>
      </c>
      <c r="B402" t="s">
        <v>1378</v>
      </c>
      <c r="C402" t="s">
        <v>2414</v>
      </c>
      <c r="D402" s="5">
        <v>42.97493333333334</v>
      </c>
    </row>
    <row r="403" spans="1:4">
      <c r="A403" t="s">
        <v>1930</v>
      </c>
      <c r="B403" t="s">
        <v>1379</v>
      </c>
      <c r="C403" t="s">
        <v>2414</v>
      </c>
      <c r="D403" s="5">
        <v>51.74646666666667</v>
      </c>
    </row>
    <row r="404" spans="1:4">
      <c r="A404" t="s">
        <v>1931</v>
      </c>
      <c r="B404" t="s">
        <v>1380</v>
      </c>
      <c r="C404" t="s">
        <v>2414</v>
      </c>
      <c r="D404" s="5">
        <v>60.2164</v>
      </c>
    </row>
    <row r="405" spans="1:4">
      <c r="A405" t="s">
        <v>1932</v>
      </c>
      <c r="B405" t="s">
        <v>1381</v>
      </c>
      <c r="C405" t="s">
        <v>2414</v>
      </c>
      <c r="D405" s="5">
        <v>65.8018</v>
      </c>
    </row>
    <row r="406" spans="1:4">
      <c r="A406" t="s">
        <v>1933</v>
      </c>
      <c r="B406" t="s">
        <v>1382</v>
      </c>
      <c r="C406" t="s">
        <v>2414</v>
      </c>
      <c r="D406" s="5">
        <v>46.044100000000007</v>
      </c>
    </row>
    <row r="407" spans="1:4">
      <c r="A407" t="s">
        <v>1934</v>
      </c>
      <c r="B407" t="s">
        <v>1383</v>
      </c>
      <c r="C407" t="s">
        <v>2414</v>
      </c>
      <c r="D407" s="5">
        <v>47.123625000000011</v>
      </c>
    </row>
    <row r="408" spans="1:4">
      <c r="A408" t="s">
        <v>1935</v>
      </c>
      <c r="B408" t="s">
        <v>1384</v>
      </c>
      <c r="C408" t="s">
        <v>2414</v>
      </c>
      <c r="D408" s="5">
        <v>61.509800000000006</v>
      </c>
    </row>
    <row r="409" spans="1:4">
      <c r="A409" t="s">
        <v>1936</v>
      </c>
      <c r="B409" t="s">
        <v>1385</v>
      </c>
      <c r="C409" t="s">
        <v>2414</v>
      </c>
      <c r="D409" s="5">
        <v>97.647500000000008</v>
      </c>
    </row>
    <row r="410" spans="1:4">
      <c r="A410" t="s">
        <v>1937</v>
      </c>
      <c r="B410" t="s">
        <v>1386</v>
      </c>
      <c r="C410" t="s">
        <v>2414</v>
      </c>
      <c r="D410" s="5">
        <v>40.30210000000001</v>
      </c>
    </row>
    <row r="411" spans="1:4">
      <c r="A411" t="s">
        <v>1938</v>
      </c>
      <c r="B411" t="s">
        <v>1387</v>
      </c>
      <c r="C411" t="s">
        <v>2414</v>
      </c>
      <c r="D411" s="5">
        <v>49.51153333333334</v>
      </c>
    </row>
    <row r="412" spans="1:4">
      <c r="A412" t="s">
        <v>1939</v>
      </c>
      <c r="B412" t="s">
        <v>1388</v>
      </c>
      <c r="C412" t="s">
        <v>2414</v>
      </c>
      <c r="D412" s="5">
        <v>34.873300000000008</v>
      </c>
    </row>
    <row r="413" spans="1:4">
      <c r="A413" t="s">
        <v>1940</v>
      </c>
      <c r="B413" t="s">
        <v>1389</v>
      </c>
      <c r="C413" t="s">
        <v>2414</v>
      </c>
      <c r="D413" s="5">
        <v>22.466133333333335</v>
      </c>
    </row>
    <row r="414" spans="1:4">
      <c r="A414" t="s">
        <v>1941</v>
      </c>
      <c r="B414" t="s">
        <v>1390</v>
      </c>
      <c r="C414" t="s">
        <v>2414</v>
      </c>
      <c r="D414" s="5">
        <v>88.72420000000001</v>
      </c>
    </row>
    <row r="415" spans="1:4">
      <c r="A415" t="s">
        <v>1942</v>
      </c>
      <c r="B415" t="s">
        <v>1391</v>
      </c>
      <c r="C415" t="s">
        <v>2414</v>
      </c>
      <c r="D415" s="5">
        <v>23.909850000000002</v>
      </c>
    </row>
    <row r="416" spans="1:4">
      <c r="A416" t="s">
        <v>1943</v>
      </c>
      <c r="B416" t="s">
        <v>1392</v>
      </c>
      <c r="C416" t="s">
        <v>2414</v>
      </c>
      <c r="D416" s="5">
        <v>62.17293333333334</v>
      </c>
    </row>
    <row r="417" spans="1:4">
      <c r="A417" t="s">
        <v>1944</v>
      </c>
      <c r="B417" t="s">
        <v>1393</v>
      </c>
      <c r="C417" t="s">
        <v>2414</v>
      </c>
      <c r="D417" s="5">
        <v>27.150358333333333</v>
      </c>
    </row>
    <row r="418" spans="1:4">
      <c r="A418" t="s">
        <v>1945</v>
      </c>
      <c r="B418" t="s">
        <v>1394</v>
      </c>
      <c r="C418" t="s">
        <v>2414</v>
      </c>
      <c r="D418" s="5">
        <v>26.983849999999997</v>
      </c>
    </row>
    <row r="419" spans="1:4">
      <c r="A419" t="s">
        <v>1946</v>
      </c>
      <c r="B419" t="s">
        <v>1395</v>
      </c>
      <c r="C419" t="s">
        <v>2414</v>
      </c>
      <c r="D419" s="5">
        <v>26.983849999999997</v>
      </c>
    </row>
    <row r="420" spans="1:4">
      <c r="A420" t="s">
        <v>1947</v>
      </c>
      <c r="B420" t="s">
        <v>1396</v>
      </c>
      <c r="C420" t="s">
        <v>2414</v>
      </c>
      <c r="D420" s="5">
        <v>27.150358333333333</v>
      </c>
    </row>
    <row r="421" spans="1:4">
      <c r="A421" t="s">
        <v>1948</v>
      </c>
      <c r="B421" t="s">
        <v>1397</v>
      </c>
      <c r="C421" t="s">
        <v>2414</v>
      </c>
      <c r="D421" s="5">
        <v>24.561624999999999</v>
      </c>
    </row>
    <row r="422" spans="1:4">
      <c r="A422" t="s">
        <v>1949</v>
      </c>
      <c r="B422" t="s">
        <v>1398</v>
      </c>
      <c r="C422" t="s">
        <v>2414</v>
      </c>
      <c r="D422" s="5">
        <v>25.421233333333333</v>
      </c>
    </row>
    <row r="423" spans="1:4">
      <c r="A423" t="s">
        <v>1950</v>
      </c>
      <c r="B423" t="s">
        <v>1399</v>
      </c>
      <c r="C423" t="s">
        <v>2414</v>
      </c>
      <c r="D423" s="5">
        <v>28.498374999999999</v>
      </c>
    </row>
    <row r="424" spans="1:4">
      <c r="A424" t="s">
        <v>1951</v>
      </c>
      <c r="B424" t="s">
        <v>1400</v>
      </c>
      <c r="C424" t="s">
        <v>2414</v>
      </c>
      <c r="D424" s="5">
        <v>38.174466666666675</v>
      </c>
    </row>
    <row r="425" spans="1:4">
      <c r="A425" t="s">
        <v>1952</v>
      </c>
      <c r="B425" t="s">
        <v>1401</v>
      </c>
      <c r="C425" t="s">
        <v>2414</v>
      </c>
      <c r="D425" s="5">
        <v>67.172775000000001</v>
      </c>
    </row>
    <row r="426" spans="1:4">
      <c r="A426" t="s">
        <v>1953</v>
      </c>
      <c r="B426" t="s">
        <v>1402</v>
      </c>
      <c r="C426" t="s">
        <v>2414</v>
      </c>
      <c r="D426" s="5">
        <v>75.69853333333333</v>
      </c>
    </row>
    <row r="427" spans="1:4">
      <c r="A427" t="s">
        <v>1954</v>
      </c>
      <c r="B427" t="s">
        <v>1403</v>
      </c>
      <c r="C427" t="s">
        <v>2414</v>
      </c>
      <c r="D427" s="5">
        <v>75.2239</v>
      </c>
    </row>
    <row r="428" spans="1:4">
      <c r="A428" t="s">
        <v>1955</v>
      </c>
      <c r="B428" t="s">
        <v>1404</v>
      </c>
      <c r="C428" t="s">
        <v>2414</v>
      </c>
      <c r="D428" s="5">
        <v>25.356950000000001</v>
      </c>
    </row>
    <row r="429" spans="1:4">
      <c r="A429" t="s">
        <v>1956</v>
      </c>
      <c r="B429" t="s">
        <v>1405</v>
      </c>
      <c r="C429" t="s">
        <v>2414</v>
      </c>
      <c r="D429" s="5">
        <v>31.438733333333335</v>
      </c>
    </row>
    <row r="430" spans="1:4">
      <c r="A430" t="s">
        <v>1957</v>
      </c>
      <c r="B430" t="s">
        <v>1406</v>
      </c>
      <c r="C430" t="s">
        <v>2414</v>
      </c>
      <c r="D430" s="5">
        <v>48.63235000000001</v>
      </c>
    </row>
    <row r="431" spans="1:4">
      <c r="A431" t="s">
        <v>1958</v>
      </c>
      <c r="B431" t="s">
        <v>1407</v>
      </c>
      <c r="C431" t="s">
        <v>2414</v>
      </c>
      <c r="D431" s="5">
        <v>55.045216666666676</v>
      </c>
    </row>
    <row r="432" spans="1:4">
      <c r="A432" t="s">
        <v>1959</v>
      </c>
      <c r="B432" t="s">
        <v>1408</v>
      </c>
      <c r="C432" t="s">
        <v>2414</v>
      </c>
      <c r="D432" s="5">
        <v>38.027050000000003</v>
      </c>
    </row>
    <row r="433" spans="1:4">
      <c r="A433" t="s">
        <v>1960</v>
      </c>
      <c r="B433" t="s">
        <v>1409</v>
      </c>
      <c r="C433" t="s">
        <v>2414</v>
      </c>
      <c r="D433" s="5">
        <v>108.41520000000003</v>
      </c>
    </row>
    <row r="434" spans="1:4">
      <c r="A434" t="s">
        <v>1961</v>
      </c>
      <c r="B434" t="s">
        <v>1410</v>
      </c>
      <c r="C434" t="s">
        <v>2414</v>
      </c>
      <c r="D434" s="5">
        <v>107.7445</v>
      </c>
    </row>
    <row r="435" spans="1:4">
      <c r="A435" t="s">
        <v>1962</v>
      </c>
      <c r="B435" t="s">
        <v>1411</v>
      </c>
      <c r="C435" t="s">
        <v>2414</v>
      </c>
      <c r="D435" s="5">
        <v>122.92776666666667</v>
      </c>
    </row>
    <row r="436" spans="1:4">
      <c r="A436" t="s">
        <v>1963</v>
      </c>
      <c r="B436" t="s">
        <v>1412</v>
      </c>
      <c r="C436" t="s">
        <v>2414</v>
      </c>
      <c r="D436" s="5">
        <v>140.8359916666667</v>
      </c>
    </row>
    <row r="437" spans="1:4">
      <c r="A437" t="s">
        <v>1964</v>
      </c>
      <c r="B437" t="s">
        <v>1413</v>
      </c>
      <c r="C437" t="s">
        <v>2414</v>
      </c>
      <c r="D437" s="5">
        <v>21.72325</v>
      </c>
    </row>
    <row r="438" spans="1:4">
      <c r="A438" t="s">
        <v>1965</v>
      </c>
      <c r="B438" t="s">
        <v>1414</v>
      </c>
      <c r="C438" t="s">
        <v>2414</v>
      </c>
      <c r="D438" s="5">
        <v>19.500399999999999</v>
      </c>
    </row>
    <row r="439" spans="1:4">
      <c r="A439" t="s">
        <v>1966</v>
      </c>
      <c r="B439" t="s">
        <v>1415</v>
      </c>
      <c r="C439" t="s">
        <v>2414</v>
      </c>
      <c r="D439" s="5">
        <v>20.08475</v>
      </c>
    </row>
    <row r="440" spans="1:4">
      <c r="A440" t="s">
        <v>1967</v>
      </c>
      <c r="B440" t="s">
        <v>1416</v>
      </c>
      <c r="C440" t="s">
        <v>2414</v>
      </c>
      <c r="D440" s="5">
        <v>25.831100000000003</v>
      </c>
    </row>
    <row r="441" spans="1:4">
      <c r="A441" t="s">
        <v>1968</v>
      </c>
      <c r="B441" t="s">
        <v>1417</v>
      </c>
      <c r="C441" t="s">
        <v>2414</v>
      </c>
      <c r="D441" s="5">
        <v>25.80886666666667</v>
      </c>
    </row>
    <row r="442" spans="1:4">
      <c r="A442" t="s">
        <v>1969</v>
      </c>
      <c r="B442" t="s">
        <v>1418</v>
      </c>
      <c r="C442" t="s">
        <v>2414</v>
      </c>
      <c r="D442" s="5">
        <v>24.326000000000001</v>
      </c>
    </row>
    <row r="443" spans="1:4">
      <c r="A443" t="s">
        <v>1970</v>
      </c>
      <c r="B443" t="s">
        <v>1419</v>
      </c>
      <c r="C443" t="s">
        <v>2414</v>
      </c>
      <c r="D443" s="5">
        <v>56.849500000000013</v>
      </c>
    </row>
    <row r="444" spans="1:4">
      <c r="A444" t="s">
        <v>1971</v>
      </c>
      <c r="B444" t="s">
        <v>1420</v>
      </c>
      <c r="C444" t="s">
        <v>2414</v>
      </c>
      <c r="D444" s="5">
        <v>27.035083333333333</v>
      </c>
    </row>
    <row r="445" spans="1:4">
      <c r="A445" t="s">
        <v>1972</v>
      </c>
      <c r="B445" t="s">
        <v>1421</v>
      </c>
      <c r="C445" t="s">
        <v>2414</v>
      </c>
      <c r="D445" s="5">
        <v>23.565958333333334</v>
      </c>
    </row>
    <row r="446" spans="1:4">
      <c r="A446" t="s">
        <v>1973</v>
      </c>
      <c r="B446" t="s">
        <v>1422</v>
      </c>
      <c r="C446" t="s">
        <v>2414</v>
      </c>
      <c r="D446" s="5">
        <v>27.205700000000004</v>
      </c>
    </row>
    <row r="447" spans="1:4">
      <c r="A447" t="s">
        <v>1974</v>
      </c>
      <c r="B447" t="s">
        <v>1423</v>
      </c>
      <c r="C447" t="s">
        <v>2414</v>
      </c>
      <c r="D447" s="5">
        <v>27.74413333333333</v>
      </c>
    </row>
    <row r="448" spans="1:4">
      <c r="A448" t="s">
        <v>1975</v>
      </c>
      <c r="B448" t="s">
        <v>1424</v>
      </c>
      <c r="C448" t="s">
        <v>2414</v>
      </c>
      <c r="D448" s="5">
        <v>27.869800000000005</v>
      </c>
    </row>
    <row r="449" spans="1:4">
      <c r="A449" t="s">
        <v>1976</v>
      </c>
      <c r="B449" t="s">
        <v>1425</v>
      </c>
      <c r="C449" t="s">
        <v>2414</v>
      </c>
      <c r="D449" s="5">
        <v>47.400333333333336</v>
      </c>
    </row>
    <row r="450" spans="1:4">
      <c r="A450" t="s">
        <v>1977</v>
      </c>
      <c r="B450" t="s">
        <v>1426</v>
      </c>
      <c r="C450" t="s">
        <v>2414</v>
      </c>
      <c r="D450" s="5">
        <v>27.919825000000003</v>
      </c>
    </row>
    <row r="451" spans="1:4">
      <c r="A451" t="s">
        <v>1978</v>
      </c>
      <c r="B451" t="s">
        <v>1427</v>
      </c>
      <c r="C451" t="s">
        <v>2414</v>
      </c>
      <c r="D451" s="5">
        <v>31.364300000000004</v>
      </c>
    </row>
    <row r="452" spans="1:4">
      <c r="A452" t="s">
        <v>1979</v>
      </c>
      <c r="B452" t="s">
        <v>1428</v>
      </c>
      <c r="C452" t="s">
        <v>2414</v>
      </c>
      <c r="D452" s="5">
        <v>33.37037500000001</v>
      </c>
    </row>
    <row r="453" spans="1:4">
      <c r="A453" t="s">
        <v>1980</v>
      </c>
      <c r="B453" t="s">
        <v>1429</v>
      </c>
      <c r="C453" t="s">
        <v>2414</v>
      </c>
      <c r="D453" s="5">
        <v>40.047383333333336</v>
      </c>
    </row>
    <row r="454" spans="1:4">
      <c r="A454" t="s">
        <v>1981</v>
      </c>
      <c r="B454" t="s">
        <v>1430</v>
      </c>
      <c r="C454" t="s">
        <v>2414</v>
      </c>
      <c r="D454" s="5">
        <v>46.822266666666671</v>
      </c>
    </row>
    <row r="455" spans="1:4">
      <c r="A455" t="s">
        <v>1982</v>
      </c>
      <c r="B455" t="s">
        <v>1431</v>
      </c>
      <c r="C455" t="s">
        <v>2414</v>
      </c>
      <c r="D455" s="5">
        <v>41.182250000000003</v>
      </c>
    </row>
    <row r="456" spans="1:4">
      <c r="A456" t="s">
        <v>1983</v>
      </c>
      <c r="B456" t="s">
        <v>1432</v>
      </c>
      <c r="C456" t="s">
        <v>2414</v>
      </c>
      <c r="D456" s="5">
        <v>63.461983333333343</v>
      </c>
    </row>
    <row r="457" spans="1:4">
      <c r="A457" t="s">
        <v>1984</v>
      </c>
      <c r="B457" t="s">
        <v>1433</v>
      </c>
      <c r="C457" t="s">
        <v>2414</v>
      </c>
      <c r="D457" s="5">
        <v>101.88439999999999</v>
      </c>
    </row>
    <row r="458" spans="1:4">
      <c r="A458" t="s">
        <v>1985</v>
      </c>
      <c r="B458" t="s">
        <v>1434</v>
      </c>
      <c r="C458" t="s">
        <v>2414</v>
      </c>
      <c r="D458" s="5">
        <v>142.12286666666671</v>
      </c>
    </row>
    <row r="459" spans="1:4">
      <c r="A459" t="s">
        <v>1986</v>
      </c>
      <c r="B459" t="s">
        <v>1435</v>
      </c>
      <c r="C459" t="s">
        <v>2414</v>
      </c>
      <c r="D459" s="5">
        <v>17.51486666666667</v>
      </c>
    </row>
    <row r="460" spans="1:4">
      <c r="A460" t="s">
        <v>1987</v>
      </c>
      <c r="B460" t="s">
        <v>1436</v>
      </c>
      <c r="C460" t="s">
        <v>2414</v>
      </c>
      <c r="D460" s="5">
        <v>18.297625000000004</v>
      </c>
    </row>
    <row r="461" spans="1:4">
      <c r="A461" t="s">
        <v>1988</v>
      </c>
      <c r="B461" t="s">
        <v>1437</v>
      </c>
      <c r="C461" t="s">
        <v>2414</v>
      </c>
      <c r="D461" s="5">
        <v>40.874850000000002</v>
      </c>
    </row>
    <row r="462" spans="1:4">
      <c r="A462" t="s">
        <v>1989</v>
      </c>
      <c r="B462" t="s">
        <v>1438</v>
      </c>
      <c r="C462" t="s">
        <v>2414</v>
      </c>
      <c r="D462" s="5">
        <v>42.297058333333332</v>
      </c>
    </row>
    <row r="463" spans="1:4">
      <c r="A463" t="s">
        <v>1990</v>
      </c>
      <c r="B463" t="s">
        <v>1439</v>
      </c>
      <c r="C463" t="s">
        <v>2414</v>
      </c>
      <c r="D463" s="5">
        <v>49.27880833333333</v>
      </c>
    </row>
    <row r="464" spans="1:4">
      <c r="A464" t="s">
        <v>1991</v>
      </c>
      <c r="B464" t="s">
        <v>1440</v>
      </c>
      <c r="C464" t="s">
        <v>2414</v>
      </c>
      <c r="D464" s="5">
        <v>54.591850000000008</v>
      </c>
    </row>
    <row r="465" spans="1:4">
      <c r="A465" t="s">
        <v>1992</v>
      </c>
      <c r="B465" t="s">
        <v>1441</v>
      </c>
      <c r="C465" t="s">
        <v>2414</v>
      </c>
      <c r="D465" s="5">
        <v>66.561599999999999</v>
      </c>
    </row>
    <row r="466" spans="1:4">
      <c r="A466" t="s">
        <v>1993</v>
      </c>
      <c r="B466" t="s">
        <v>1442</v>
      </c>
      <c r="C466" t="s">
        <v>2414</v>
      </c>
      <c r="D466" s="5">
        <v>19.839700000000001</v>
      </c>
    </row>
    <row r="467" spans="1:4">
      <c r="A467" t="s">
        <v>1994</v>
      </c>
      <c r="B467" t="s">
        <v>1443</v>
      </c>
      <c r="C467" t="s">
        <v>2414</v>
      </c>
      <c r="D467" s="5">
        <v>17.395483333333331</v>
      </c>
    </row>
    <row r="468" spans="1:4">
      <c r="A468" t="s">
        <v>1995</v>
      </c>
      <c r="B468" t="s">
        <v>1444</v>
      </c>
      <c r="C468" t="s">
        <v>2414</v>
      </c>
      <c r="D468" s="5">
        <v>17.81646666666667</v>
      </c>
    </row>
    <row r="469" spans="1:4">
      <c r="A469" t="s">
        <v>1996</v>
      </c>
      <c r="B469" t="s">
        <v>1445</v>
      </c>
      <c r="C469" t="s">
        <v>2414</v>
      </c>
      <c r="D469" s="5">
        <v>25.696008333333339</v>
      </c>
    </row>
    <row r="470" spans="1:4">
      <c r="A470" t="s">
        <v>1997</v>
      </c>
      <c r="B470" t="s">
        <v>1446</v>
      </c>
      <c r="C470" t="s">
        <v>2414</v>
      </c>
      <c r="D470" s="5">
        <v>31.264250000000001</v>
      </c>
    </row>
    <row r="471" spans="1:4">
      <c r="A471" t="s">
        <v>1998</v>
      </c>
      <c r="B471" t="s">
        <v>1447</v>
      </c>
      <c r="C471" t="s">
        <v>2414</v>
      </c>
      <c r="D471" s="5">
        <v>35.095875000000007</v>
      </c>
    </row>
    <row r="472" spans="1:4">
      <c r="A472" t="s">
        <v>1999</v>
      </c>
      <c r="B472" t="s">
        <v>1448</v>
      </c>
      <c r="C472" t="s">
        <v>2414</v>
      </c>
      <c r="D472" s="5">
        <v>55.827249999999999</v>
      </c>
    </row>
    <row r="473" spans="1:4">
      <c r="A473" t="s">
        <v>2000</v>
      </c>
      <c r="B473" t="s">
        <v>1449</v>
      </c>
      <c r="C473" t="s">
        <v>2414</v>
      </c>
      <c r="D473" s="5">
        <v>67.56065000000001</v>
      </c>
    </row>
    <row r="474" spans="1:4">
      <c r="A474" t="s">
        <v>2001</v>
      </c>
      <c r="B474" t="s">
        <v>1450</v>
      </c>
      <c r="C474" t="s">
        <v>2414</v>
      </c>
      <c r="D474" s="5">
        <v>90.022599999999997</v>
      </c>
    </row>
    <row r="475" spans="1:4">
      <c r="A475" t="s">
        <v>2002</v>
      </c>
      <c r="B475" t="s">
        <v>1451</v>
      </c>
      <c r="C475" t="s">
        <v>2414</v>
      </c>
      <c r="D475" s="5">
        <v>88.428400000000025</v>
      </c>
    </row>
    <row r="476" spans="1:4">
      <c r="A476" t="s">
        <v>2003</v>
      </c>
      <c r="B476" t="s">
        <v>1452</v>
      </c>
      <c r="C476" t="s">
        <v>2414</v>
      </c>
      <c r="D476" s="5">
        <v>59.185933333333338</v>
      </c>
    </row>
    <row r="477" spans="1:4">
      <c r="A477" t="s">
        <v>2004</v>
      </c>
      <c r="B477" t="s">
        <v>1453</v>
      </c>
      <c r="C477" t="s">
        <v>2414</v>
      </c>
      <c r="D477" s="5">
        <v>74.419633333333337</v>
      </c>
    </row>
    <row r="478" spans="1:4">
      <c r="A478" t="s">
        <v>2005</v>
      </c>
      <c r="B478" t="s">
        <v>1454</v>
      </c>
      <c r="C478" t="s">
        <v>2414</v>
      </c>
      <c r="D478" s="5">
        <v>68.585800000000006</v>
      </c>
    </row>
    <row r="479" spans="1:4">
      <c r="A479" t="s">
        <v>2006</v>
      </c>
      <c r="B479" t="s">
        <v>1455</v>
      </c>
      <c r="C479" t="s">
        <v>2414</v>
      </c>
      <c r="D479" s="5">
        <v>85.661483333333365</v>
      </c>
    </row>
    <row r="480" spans="1:4">
      <c r="A480" t="s">
        <v>2007</v>
      </c>
      <c r="B480" t="s">
        <v>1456</v>
      </c>
      <c r="C480" t="s">
        <v>2414</v>
      </c>
      <c r="D480" s="5">
        <v>108.14840000000002</v>
      </c>
    </row>
    <row r="481" spans="1:4">
      <c r="A481" t="s">
        <v>2008</v>
      </c>
      <c r="B481" t="s">
        <v>1457</v>
      </c>
      <c r="C481" t="s">
        <v>2414</v>
      </c>
      <c r="D481" s="5">
        <v>158.56490000000002</v>
      </c>
    </row>
    <row r="482" spans="1:4">
      <c r="A482" t="s">
        <v>2009</v>
      </c>
      <c r="B482" t="s">
        <v>1458</v>
      </c>
      <c r="C482" t="s">
        <v>2414</v>
      </c>
      <c r="D482" s="5">
        <v>25.80886666666667</v>
      </c>
    </row>
    <row r="483" spans="1:4">
      <c r="A483" t="s">
        <v>2010</v>
      </c>
      <c r="B483" t="s">
        <v>1459</v>
      </c>
      <c r="C483" t="s">
        <v>2414</v>
      </c>
      <c r="D483" s="5">
        <v>40.143808333333332</v>
      </c>
    </row>
    <row r="484" spans="1:4">
      <c r="A484" t="s">
        <v>2011</v>
      </c>
      <c r="B484" t="s">
        <v>1460</v>
      </c>
      <c r="C484" t="s">
        <v>2414</v>
      </c>
      <c r="D484" s="5">
        <v>41.668000000000006</v>
      </c>
    </row>
    <row r="485" spans="1:4">
      <c r="A485" t="s">
        <v>2012</v>
      </c>
      <c r="B485" t="s">
        <v>1461</v>
      </c>
      <c r="C485" t="s">
        <v>2414</v>
      </c>
      <c r="D485" s="5">
        <v>126.48800000000004</v>
      </c>
    </row>
    <row r="486" spans="1:4">
      <c r="A486" t="s">
        <v>2013</v>
      </c>
      <c r="B486" t="s">
        <v>1462</v>
      </c>
      <c r="C486" t="s">
        <v>2414</v>
      </c>
      <c r="D486" s="5">
        <v>78.934449999999998</v>
      </c>
    </row>
    <row r="487" spans="1:4">
      <c r="A487" t="s">
        <v>2014</v>
      </c>
      <c r="B487" t="s">
        <v>1463</v>
      </c>
      <c r="C487" t="s">
        <v>2414</v>
      </c>
      <c r="D487" s="5">
        <v>21.926250000000003</v>
      </c>
    </row>
    <row r="488" spans="1:4">
      <c r="A488" t="s">
        <v>2015</v>
      </c>
      <c r="B488" t="s">
        <v>1464</v>
      </c>
      <c r="C488" t="s">
        <v>2414</v>
      </c>
      <c r="D488" s="5">
        <v>52.26605</v>
      </c>
    </row>
    <row r="489" spans="1:4">
      <c r="A489" t="s">
        <v>2016</v>
      </c>
      <c r="B489" t="s">
        <v>1465</v>
      </c>
      <c r="C489" t="s">
        <v>2414</v>
      </c>
      <c r="D489" s="5">
        <v>27.982899999999997</v>
      </c>
    </row>
    <row r="490" spans="1:4">
      <c r="A490" t="s">
        <v>2017</v>
      </c>
      <c r="B490" t="s">
        <v>1466</v>
      </c>
      <c r="C490" t="s">
        <v>2414</v>
      </c>
      <c r="D490" s="5">
        <v>87.109549999999999</v>
      </c>
    </row>
    <row r="491" spans="1:4">
      <c r="A491" t="s">
        <v>2018</v>
      </c>
      <c r="B491" t="s">
        <v>1467</v>
      </c>
      <c r="C491" t="s">
        <v>2414</v>
      </c>
      <c r="D491" s="5">
        <v>37.561599999999999</v>
      </c>
    </row>
    <row r="492" spans="1:4">
      <c r="A492" t="s">
        <v>2019</v>
      </c>
      <c r="B492" t="s">
        <v>1468</v>
      </c>
      <c r="C492" t="s">
        <v>2414</v>
      </c>
      <c r="D492" s="5">
        <v>205.79794999999999</v>
      </c>
    </row>
    <row r="493" spans="1:4">
      <c r="A493" t="s">
        <v>2020</v>
      </c>
      <c r="B493" t="s">
        <v>1469</v>
      </c>
      <c r="C493" t="s">
        <v>2414</v>
      </c>
      <c r="D493" s="5">
        <v>20.731208333333335</v>
      </c>
    </row>
    <row r="494" spans="1:4">
      <c r="A494" t="s">
        <v>2021</v>
      </c>
      <c r="B494" t="s">
        <v>1470</v>
      </c>
      <c r="C494" t="s">
        <v>2414</v>
      </c>
      <c r="D494" s="5">
        <v>39.638483333333333</v>
      </c>
    </row>
    <row r="495" spans="1:4">
      <c r="A495" t="s">
        <v>2022</v>
      </c>
      <c r="B495" t="s">
        <v>1471</v>
      </c>
      <c r="C495" t="s">
        <v>2414</v>
      </c>
      <c r="D495" s="5">
        <v>25.868800000000004</v>
      </c>
    </row>
    <row r="496" spans="1:4">
      <c r="A496" t="s">
        <v>2023</v>
      </c>
      <c r="B496" t="s">
        <v>1472</v>
      </c>
      <c r="C496" t="s">
        <v>2414</v>
      </c>
      <c r="D496" s="5">
        <v>78.121000000000009</v>
      </c>
    </row>
    <row r="497" spans="1:4">
      <c r="A497" t="s">
        <v>2024</v>
      </c>
      <c r="B497" t="s">
        <v>1473</v>
      </c>
      <c r="C497" t="s">
        <v>2414</v>
      </c>
      <c r="D497" s="5">
        <v>62.983725</v>
      </c>
    </row>
    <row r="498" spans="1:4">
      <c r="A498" t="s">
        <v>2025</v>
      </c>
      <c r="B498" t="s">
        <v>1474</v>
      </c>
      <c r="C498" t="s">
        <v>2414</v>
      </c>
      <c r="D498" s="5">
        <v>155.51023333333333</v>
      </c>
    </row>
    <row r="499" spans="1:4">
      <c r="A499" t="s">
        <v>2026</v>
      </c>
      <c r="B499" t="s">
        <v>1475</v>
      </c>
      <c r="C499" t="s">
        <v>2414</v>
      </c>
      <c r="D499" s="5">
        <v>36.138666666666666</v>
      </c>
    </row>
    <row r="500" spans="1:4">
      <c r="A500" t="s">
        <v>2027</v>
      </c>
      <c r="B500" t="s">
        <v>1476</v>
      </c>
      <c r="C500" t="s">
        <v>2414</v>
      </c>
      <c r="D500" s="5">
        <v>54.986249999999998</v>
      </c>
    </row>
    <row r="501" spans="1:4">
      <c r="A501" t="s">
        <v>2028</v>
      </c>
      <c r="B501" t="s">
        <v>1477</v>
      </c>
      <c r="C501" t="s">
        <v>2414</v>
      </c>
      <c r="D501" s="5">
        <v>41.685400000000008</v>
      </c>
    </row>
    <row r="502" spans="1:4">
      <c r="A502" t="s">
        <v>2029</v>
      </c>
      <c r="B502" t="s">
        <v>1478</v>
      </c>
      <c r="C502" t="s">
        <v>2414</v>
      </c>
      <c r="D502" s="5">
        <v>25.283000000000001</v>
      </c>
    </row>
    <row r="503" spans="1:4">
      <c r="A503" t="s">
        <v>2030</v>
      </c>
      <c r="B503" t="s">
        <v>1479</v>
      </c>
      <c r="C503" t="s">
        <v>2414</v>
      </c>
      <c r="D503" s="5">
        <v>32.733100000000007</v>
      </c>
    </row>
    <row r="504" spans="1:4">
      <c r="A504" t="s">
        <v>2031</v>
      </c>
      <c r="B504" t="s">
        <v>1480</v>
      </c>
      <c r="C504" t="s">
        <v>2414</v>
      </c>
      <c r="D504" s="5">
        <v>34.280250000000009</v>
      </c>
    </row>
    <row r="505" spans="1:4">
      <c r="A505" t="s">
        <v>2032</v>
      </c>
      <c r="B505" t="s">
        <v>1481</v>
      </c>
      <c r="C505" t="s">
        <v>2414</v>
      </c>
      <c r="D505" s="5">
        <v>36.795033333333336</v>
      </c>
    </row>
    <row r="506" spans="1:4">
      <c r="A506" t="s">
        <v>2033</v>
      </c>
      <c r="B506" t="s">
        <v>1482</v>
      </c>
      <c r="C506" t="s">
        <v>2414</v>
      </c>
      <c r="D506" s="5">
        <v>39.967875000000006</v>
      </c>
    </row>
    <row r="507" spans="1:4">
      <c r="A507" t="s">
        <v>2034</v>
      </c>
      <c r="B507" t="s">
        <v>1483</v>
      </c>
      <c r="C507" t="s">
        <v>2414</v>
      </c>
      <c r="D507" s="5">
        <v>62.121699999999997</v>
      </c>
    </row>
    <row r="508" spans="1:4">
      <c r="A508" t="s">
        <v>2035</v>
      </c>
      <c r="B508" t="s">
        <v>1484</v>
      </c>
      <c r="C508" t="s">
        <v>2414</v>
      </c>
      <c r="D508" s="5">
        <v>27.816391666666664</v>
      </c>
    </row>
    <row r="509" spans="1:4">
      <c r="A509" t="s">
        <v>2036</v>
      </c>
      <c r="B509" t="s">
        <v>1485</v>
      </c>
      <c r="C509" t="s">
        <v>2414</v>
      </c>
      <c r="D509" s="5">
        <v>41.92175000000001</v>
      </c>
    </row>
    <row r="510" spans="1:4">
      <c r="A510" t="s">
        <v>2037</v>
      </c>
      <c r="B510" t="s">
        <v>1486</v>
      </c>
      <c r="C510" t="s">
        <v>2414</v>
      </c>
      <c r="D510" s="5">
        <v>52.570550000000004</v>
      </c>
    </row>
    <row r="511" spans="1:4">
      <c r="A511" t="s">
        <v>2038</v>
      </c>
      <c r="B511" t="s">
        <v>1487</v>
      </c>
      <c r="C511" t="s">
        <v>2414</v>
      </c>
      <c r="D511" s="5">
        <v>49.434199999999997</v>
      </c>
    </row>
    <row r="512" spans="1:4">
      <c r="A512" t="s">
        <v>2039</v>
      </c>
      <c r="B512" t="s">
        <v>1488</v>
      </c>
      <c r="C512" t="s">
        <v>2414</v>
      </c>
      <c r="D512" s="5">
        <v>78.789933333333352</v>
      </c>
    </row>
    <row r="513" spans="1:4">
      <c r="A513" t="s">
        <v>2040</v>
      </c>
      <c r="B513" t="s">
        <v>1489</v>
      </c>
      <c r="C513" t="s">
        <v>2414</v>
      </c>
      <c r="D513" s="5">
        <v>35.019750000000002</v>
      </c>
    </row>
    <row r="514" spans="1:4">
      <c r="A514" t="s">
        <v>2041</v>
      </c>
      <c r="B514" t="s">
        <v>1490</v>
      </c>
      <c r="C514" t="s">
        <v>2414</v>
      </c>
      <c r="D514" s="5">
        <v>66.035008333333352</v>
      </c>
    </row>
    <row r="515" spans="1:4">
      <c r="A515" t="s">
        <v>2042</v>
      </c>
      <c r="B515" t="s">
        <v>1491</v>
      </c>
      <c r="C515" t="s">
        <v>2414</v>
      </c>
      <c r="D515" s="5">
        <v>68.868791666666652</v>
      </c>
    </row>
    <row r="516" spans="1:4">
      <c r="A516" t="s">
        <v>2043</v>
      </c>
      <c r="B516" t="s">
        <v>1492</v>
      </c>
      <c r="C516" t="s">
        <v>2414</v>
      </c>
      <c r="D516" s="5">
        <v>44.417441666666676</v>
      </c>
    </row>
    <row r="517" spans="1:4">
      <c r="A517" t="s">
        <v>2044</v>
      </c>
      <c r="B517" t="s">
        <v>1493</v>
      </c>
      <c r="C517" t="s">
        <v>2414</v>
      </c>
      <c r="D517" s="5">
        <v>17.569000000000003</v>
      </c>
    </row>
    <row r="518" spans="1:4">
      <c r="A518" t="s">
        <v>2045</v>
      </c>
      <c r="B518" t="s">
        <v>1494</v>
      </c>
      <c r="C518" t="s">
        <v>2414</v>
      </c>
      <c r="D518" s="5">
        <v>56.637800000000006</v>
      </c>
    </row>
    <row r="519" spans="1:4">
      <c r="A519" t="s">
        <v>2046</v>
      </c>
      <c r="B519" t="s">
        <v>1495</v>
      </c>
      <c r="C519" t="s">
        <v>2414</v>
      </c>
      <c r="D519" s="5">
        <v>37.252750000000006</v>
      </c>
    </row>
    <row r="520" spans="1:4">
      <c r="A520" t="s">
        <v>2047</v>
      </c>
      <c r="B520" t="s">
        <v>1496</v>
      </c>
      <c r="C520" t="s">
        <v>2414</v>
      </c>
      <c r="D520" s="5">
        <v>41.058999999999997</v>
      </c>
    </row>
    <row r="521" spans="1:4">
      <c r="A521" t="s">
        <v>2048</v>
      </c>
      <c r="B521" t="s">
        <v>1497</v>
      </c>
      <c r="C521" t="s">
        <v>2414</v>
      </c>
      <c r="D521" s="5">
        <v>33.259933333333336</v>
      </c>
    </row>
    <row r="522" spans="1:4">
      <c r="A522" t="s">
        <v>2049</v>
      </c>
      <c r="B522" t="s">
        <v>1498</v>
      </c>
      <c r="C522" t="s">
        <v>2414</v>
      </c>
      <c r="D522" s="5">
        <v>43.58997500000001</v>
      </c>
    </row>
    <row r="523" spans="1:4">
      <c r="A523" t="s">
        <v>2050</v>
      </c>
      <c r="B523" t="s">
        <v>1499</v>
      </c>
      <c r="C523" t="s">
        <v>2414</v>
      </c>
      <c r="D523" s="5">
        <v>18.092933333333335</v>
      </c>
    </row>
    <row r="524" spans="1:4">
      <c r="A524" t="s">
        <v>2051</v>
      </c>
      <c r="B524" t="s">
        <v>1500</v>
      </c>
      <c r="C524" t="s">
        <v>2414</v>
      </c>
      <c r="D524" s="5">
        <v>17.343766666666667</v>
      </c>
    </row>
    <row r="525" spans="1:4">
      <c r="A525" t="s">
        <v>2052</v>
      </c>
      <c r="B525" t="s">
        <v>1501</v>
      </c>
      <c r="C525" t="s">
        <v>2414</v>
      </c>
      <c r="D525" s="5">
        <v>25.626166666666666</v>
      </c>
    </row>
    <row r="526" spans="1:4">
      <c r="A526" t="s">
        <v>2053</v>
      </c>
      <c r="B526" t="s">
        <v>1502</v>
      </c>
      <c r="C526" t="s">
        <v>2414</v>
      </c>
      <c r="D526" s="5">
        <v>51.055300000000003</v>
      </c>
    </row>
    <row r="527" spans="1:4">
      <c r="A527" t="s">
        <v>2054</v>
      </c>
      <c r="B527" t="s">
        <v>1503</v>
      </c>
      <c r="C527" t="s">
        <v>2414</v>
      </c>
      <c r="D527" s="5">
        <v>68.23296666666667</v>
      </c>
    </row>
    <row r="528" spans="1:4">
      <c r="A528" t="s">
        <v>2055</v>
      </c>
      <c r="B528" t="s">
        <v>1504</v>
      </c>
      <c r="C528" t="s">
        <v>2414</v>
      </c>
      <c r="D528" s="5">
        <v>117.83585000000002</v>
      </c>
    </row>
    <row r="529" spans="1:4">
      <c r="A529" t="s">
        <v>2056</v>
      </c>
      <c r="B529" t="s">
        <v>1505</v>
      </c>
      <c r="C529" t="s">
        <v>2414</v>
      </c>
      <c r="D529" s="5">
        <v>38.631700000000009</v>
      </c>
    </row>
    <row r="530" spans="1:4">
      <c r="A530" t="s">
        <v>2057</v>
      </c>
      <c r="B530" t="s">
        <v>1506</v>
      </c>
      <c r="C530" t="s">
        <v>2414</v>
      </c>
      <c r="D530" s="5">
        <v>49.478183333333334</v>
      </c>
    </row>
    <row r="531" spans="1:4">
      <c r="A531" t="s">
        <v>2058</v>
      </c>
      <c r="B531" t="s">
        <v>1507</v>
      </c>
      <c r="C531" t="s">
        <v>2414</v>
      </c>
      <c r="D531" s="5">
        <v>82.162150000000011</v>
      </c>
    </row>
    <row r="532" spans="1:4">
      <c r="A532" t="s">
        <v>2059</v>
      </c>
      <c r="B532" t="s">
        <v>1508</v>
      </c>
      <c r="C532" t="s">
        <v>2414</v>
      </c>
      <c r="D532" s="5">
        <v>219.67883333333299</v>
      </c>
    </row>
    <row r="533" spans="1:4">
      <c r="A533" t="s">
        <v>2060</v>
      </c>
      <c r="B533" t="s">
        <v>1509</v>
      </c>
      <c r="C533" t="s">
        <v>2414</v>
      </c>
      <c r="D533" s="5">
        <v>28.220700000000001</v>
      </c>
    </row>
    <row r="534" spans="1:4">
      <c r="A534" t="s">
        <v>2061</v>
      </c>
      <c r="B534" t="s">
        <v>1510</v>
      </c>
      <c r="C534" t="s">
        <v>2414</v>
      </c>
      <c r="D534" s="5">
        <v>32.132800000000003</v>
      </c>
    </row>
    <row r="535" spans="1:4">
      <c r="A535" t="s">
        <v>2062</v>
      </c>
      <c r="B535" t="s">
        <v>1511</v>
      </c>
      <c r="C535" t="s">
        <v>2414</v>
      </c>
      <c r="D535" s="5">
        <v>43.072808333333334</v>
      </c>
    </row>
    <row r="536" spans="1:4">
      <c r="A536" t="s">
        <v>2063</v>
      </c>
      <c r="B536" t="s">
        <v>1512</v>
      </c>
      <c r="C536" t="s">
        <v>2414</v>
      </c>
      <c r="D536" s="5">
        <v>50.087666666666671</v>
      </c>
    </row>
    <row r="537" spans="1:4">
      <c r="A537" t="s">
        <v>2064</v>
      </c>
      <c r="B537" t="s">
        <v>1513</v>
      </c>
      <c r="C537" t="s">
        <v>2414</v>
      </c>
      <c r="D537" s="5">
        <v>202.32710833333334</v>
      </c>
    </row>
    <row r="538" spans="1:4">
      <c r="A538" t="s">
        <v>2065</v>
      </c>
      <c r="B538" t="s">
        <v>1514</v>
      </c>
      <c r="C538" t="s">
        <v>2414</v>
      </c>
      <c r="D538" s="5">
        <v>25.134133333333338</v>
      </c>
    </row>
    <row r="539" spans="1:4">
      <c r="A539" t="s">
        <v>2066</v>
      </c>
      <c r="B539" t="s">
        <v>1515</v>
      </c>
      <c r="C539" t="s">
        <v>2414</v>
      </c>
      <c r="D539" s="5">
        <v>39.331083333333339</v>
      </c>
    </row>
    <row r="540" spans="1:4">
      <c r="A540" t="s">
        <v>2067</v>
      </c>
      <c r="B540" t="s">
        <v>1516</v>
      </c>
      <c r="C540" t="s">
        <v>2414</v>
      </c>
      <c r="D540" s="5">
        <v>40.406500000000001</v>
      </c>
    </row>
    <row r="541" spans="1:4">
      <c r="A541" t="s">
        <v>2068</v>
      </c>
      <c r="B541" t="s">
        <v>1517</v>
      </c>
      <c r="C541" t="s">
        <v>2414</v>
      </c>
      <c r="D541" s="5">
        <v>79.426000000000002</v>
      </c>
    </row>
    <row r="542" spans="1:4">
      <c r="A542" t="s">
        <v>2069</v>
      </c>
      <c r="B542" t="s">
        <v>1518</v>
      </c>
      <c r="C542" t="s">
        <v>2414</v>
      </c>
      <c r="D542" s="5">
        <v>126.48655000000002</v>
      </c>
    </row>
    <row r="543" spans="1:4">
      <c r="A543" t="s">
        <v>2070</v>
      </c>
      <c r="B543" t="s">
        <v>1519</v>
      </c>
      <c r="C543" t="s">
        <v>2414</v>
      </c>
      <c r="D543" s="5">
        <v>129.71715</v>
      </c>
    </row>
    <row r="544" spans="1:4">
      <c r="A544" t="s">
        <v>2071</v>
      </c>
      <c r="B544" t="s">
        <v>1520</v>
      </c>
      <c r="C544" t="s">
        <v>2414</v>
      </c>
      <c r="D544" s="5">
        <v>154.42789999999999</v>
      </c>
    </row>
    <row r="545" spans="1:4">
      <c r="A545" t="s">
        <v>2072</v>
      </c>
      <c r="B545" t="s">
        <v>1521</v>
      </c>
      <c r="C545" t="s">
        <v>2414</v>
      </c>
      <c r="D545" s="5">
        <v>83.282516666666666</v>
      </c>
    </row>
    <row r="546" spans="1:4">
      <c r="A546" t="s">
        <v>2073</v>
      </c>
      <c r="B546" t="s">
        <v>1522</v>
      </c>
      <c r="C546" t="s">
        <v>2414</v>
      </c>
      <c r="D546" s="5">
        <v>92.037374999999997</v>
      </c>
    </row>
    <row r="547" spans="1:4">
      <c r="A547" t="s">
        <v>2074</v>
      </c>
      <c r="B547" t="s">
        <v>1523</v>
      </c>
      <c r="C547" t="s">
        <v>2414</v>
      </c>
      <c r="D547" s="5">
        <v>83.566958333333332</v>
      </c>
    </row>
    <row r="548" spans="1:4">
      <c r="A548" t="s">
        <v>2075</v>
      </c>
      <c r="B548" t="s">
        <v>1524</v>
      </c>
      <c r="C548" t="s">
        <v>2414</v>
      </c>
      <c r="D548" s="5">
        <v>112.97037500000003</v>
      </c>
    </row>
    <row r="549" spans="1:4">
      <c r="A549" t="s">
        <v>2076</v>
      </c>
      <c r="B549" t="s">
        <v>1525</v>
      </c>
      <c r="C549" t="s">
        <v>2414</v>
      </c>
      <c r="D549" s="5">
        <v>105.3694</v>
      </c>
    </row>
    <row r="550" spans="1:4">
      <c r="A550" t="s">
        <v>2077</v>
      </c>
      <c r="B550" t="s">
        <v>1526</v>
      </c>
      <c r="C550" t="s">
        <v>2414</v>
      </c>
      <c r="D550" s="5">
        <v>125.00271666666669</v>
      </c>
    </row>
    <row r="551" spans="1:4">
      <c r="A551" t="s">
        <v>2078</v>
      </c>
      <c r="B551" t="s">
        <v>1527</v>
      </c>
      <c r="C551" t="s">
        <v>2414</v>
      </c>
      <c r="D551" s="5">
        <v>130.544375</v>
      </c>
    </row>
    <row r="552" spans="1:4">
      <c r="A552" t="s">
        <v>2079</v>
      </c>
      <c r="B552" t="s">
        <v>1528</v>
      </c>
      <c r="C552" t="s">
        <v>2414</v>
      </c>
      <c r="D552" s="5">
        <v>125.37875</v>
      </c>
    </row>
    <row r="553" spans="1:4">
      <c r="A553" t="s">
        <v>2080</v>
      </c>
      <c r="B553" t="s">
        <v>1529</v>
      </c>
      <c r="C553" t="s">
        <v>2414</v>
      </c>
      <c r="D553" s="5">
        <v>152.533625</v>
      </c>
    </row>
    <row r="554" spans="1:4">
      <c r="A554" t="s">
        <v>2081</v>
      </c>
      <c r="B554" t="s">
        <v>1530</v>
      </c>
      <c r="C554" t="s">
        <v>2414</v>
      </c>
      <c r="D554" s="5">
        <v>153.79585</v>
      </c>
    </row>
    <row r="555" spans="1:4">
      <c r="A555" t="s">
        <v>2082</v>
      </c>
      <c r="B555" t="s">
        <v>1531</v>
      </c>
      <c r="C555" t="s">
        <v>2414</v>
      </c>
      <c r="D555" s="5">
        <v>167.58293333333336</v>
      </c>
    </row>
    <row r="556" spans="1:4">
      <c r="A556" t="s">
        <v>2083</v>
      </c>
      <c r="B556" t="s">
        <v>1532</v>
      </c>
      <c r="C556" t="s">
        <v>2414</v>
      </c>
      <c r="D556" s="5">
        <v>175.19060000000005</v>
      </c>
    </row>
    <row r="557" spans="1:4">
      <c r="A557" t="s">
        <v>2084</v>
      </c>
      <c r="B557" t="s">
        <v>1533</v>
      </c>
      <c r="C557" t="s">
        <v>2414</v>
      </c>
      <c r="D557" s="5">
        <v>223.66023333333337</v>
      </c>
    </row>
    <row r="558" spans="1:4">
      <c r="A558" t="s">
        <v>2085</v>
      </c>
      <c r="B558" t="s">
        <v>1534</v>
      </c>
      <c r="C558" t="s">
        <v>2414</v>
      </c>
      <c r="D558" s="5">
        <v>35.140583333333339</v>
      </c>
    </row>
    <row r="559" spans="1:4">
      <c r="A559" t="s">
        <v>2086</v>
      </c>
      <c r="B559" t="s">
        <v>1535</v>
      </c>
      <c r="C559" t="s">
        <v>2414</v>
      </c>
      <c r="D559" s="5">
        <v>37.331050000000005</v>
      </c>
    </row>
    <row r="560" spans="1:4">
      <c r="A560" t="s">
        <v>2087</v>
      </c>
      <c r="B560" t="s">
        <v>1536</v>
      </c>
      <c r="C560" t="s">
        <v>2414</v>
      </c>
      <c r="D560" s="5">
        <v>36.375500000000002</v>
      </c>
    </row>
    <row r="561" spans="1:4">
      <c r="A561" t="s">
        <v>2088</v>
      </c>
      <c r="B561" t="s">
        <v>1537</v>
      </c>
      <c r="C561" t="s">
        <v>2414</v>
      </c>
      <c r="D561" s="5">
        <v>38.683900000000001</v>
      </c>
    </row>
    <row r="562" spans="1:4">
      <c r="A562" t="s">
        <v>2089</v>
      </c>
      <c r="B562" t="s">
        <v>1538</v>
      </c>
      <c r="C562" t="s">
        <v>2414</v>
      </c>
      <c r="D562" s="5">
        <v>44.26229166666667</v>
      </c>
    </row>
    <row r="563" spans="1:4">
      <c r="A563" t="s">
        <v>2090</v>
      </c>
      <c r="B563" t="s">
        <v>1539</v>
      </c>
      <c r="C563" t="s">
        <v>2414</v>
      </c>
      <c r="D563" s="5">
        <v>53.365875000000003</v>
      </c>
    </row>
    <row r="564" spans="1:4">
      <c r="A564" t="s">
        <v>2091</v>
      </c>
      <c r="B564" t="s">
        <v>1540</v>
      </c>
      <c r="C564" t="s">
        <v>2414</v>
      </c>
      <c r="D564" s="5">
        <v>107.17061666666667</v>
      </c>
    </row>
    <row r="565" spans="1:4">
      <c r="A565" t="s">
        <v>2092</v>
      </c>
      <c r="B565" t="s">
        <v>1541</v>
      </c>
      <c r="C565" t="s">
        <v>2414</v>
      </c>
      <c r="D565" s="5">
        <v>68.943466666666666</v>
      </c>
    </row>
    <row r="566" spans="1:4">
      <c r="A566" t="s">
        <v>2093</v>
      </c>
      <c r="B566" t="s">
        <v>1542</v>
      </c>
      <c r="C566" t="s">
        <v>2414</v>
      </c>
      <c r="D566" s="5">
        <v>89.169999999999987</v>
      </c>
    </row>
    <row r="567" spans="1:4">
      <c r="A567" t="s">
        <v>2094</v>
      </c>
      <c r="B567" t="s">
        <v>1543</v>
      </c>
      <c r="C567" t="s">
        <v>2414</v>
      </c>
      <c r="D567" s="5">
        <v>98.608850000000018</v>
      </c>
    </row>
    <row r="568" spans="1:4">
      <c r="A568" t="s">
        <v>2095</v>
      </c>
      <c r="B568" t="s">
        <v>1544</v>
      </c>
      <c r="C568" t="s">
        <v>2414</v>
      </c>
      <c r="D568" s="5">
        <v>169.14330833333301</v>
      </c>
    </row>
    <row r="569" spans="1:4">
      <c r="A569" t="s">
        <v>2096</v>
      </c>
      <c r="B569" t="s">
        <v>1545</v>
      </c>
      <c r="C569" t="s">
        <v>2414</v>
      </c>
      <c r="D569" s="5">
        <v>126.6931</v>
      </c>
    </row>
    <row r="570" spans="1:4">
      <c r="A570" t="s">
        <v>2097</v>
      </c>
      <c r="B570" t="s">
        <v>1546</v>
      </c>
      <c r="C570" t="s">
        <v>2414</v>
      </c>
      <c r="D570" s="5">
        <v>115.63378333333334</v>
      </c>
    </row>
    <row r="571" spans="1:4">
      <c r="A571" t="s">
        <v>2098</v>
      </c>
      <c r="B571" t="s">
        <v>1547</v>
      </c>
      <c r="C571" t="s">
        <v>2414</v>
      </c>
      <c r="D571" s="5">
        <v>128.5093</v>
      </c>
    </row>
    <row r="572" spans="1:4">
      <c r="A572" t="s">
        <v>2099</v>
      </c>
      <c r="B572" t="s">
        <v>1548</v>
      </c>
      <c r="C572" t="s">
        <v>2414</v>
      </c>
      <c r="D572" s="5">
        <v>129.57311666666669</v>
      </c>
    </row>
    <row r="573" spans="1:4">
      <c r="A573" t="s">
        <v>2100</v>
      </c>
      <c r="B573" t="s">
        <v>1549</v>
      </c>
      <c r="C573" t="s">
        <v>2414</v>
      </c>
      <c r="D573" s="5">
        <v>179.75582499999999</v>
      </c>
    </row>
    <row r="574" spans="1:4">
      <c r="A574" t="s">
        <v>2101</v>
      </c>
      <c r="B574" t="s">
        <v>1550</v>
      </c>
      <c r="C574" t="s">
        <v>2414</v>
      </c>
      <c r="D574" s="5">
        <v>153.56868333333335</v>
      </c>
    </row>
    <row r="575" spans="1:4">
      <c r="A575" t="s">
        <v>2102</v>
      </c>
      <c r="B575" t="s">
        <v>1551</v>
      </c>
      <c r="C575" t="s">
        <v>2414</v>
      </c>
      <c r="D575" s="5">
        <v>158.75581666666668</v>
      </c>
    </row>
    <row r="576" spans="1:4">
      <c r="A576" t="s">
        <v>2103</v>
      </c>
      <c r="B576" t="s">
        <v>1552</v>
      </c>
      <c r="C576" t="s">
        <v>2414</v>
      </c>
      <c r="D576" s="5">
        <v>165.73756666666665</v>
      </c>
    </row>
    <row r="577" spans="1:4">
      <c r="A577" t="s">
        <v>2104</v>
      </c>
      <c r="B577" t="s">
        <v>1553</v>
      </c>
      <c r="C577" t="s">
        <v>2414</v>
      </c>
      <c r="D577" s="5">
        <v>164.37553333333332</v>
      </c>
    </row>
    <row r="578" spans="1:4">
      <c r="A578" t="s">
        <v>2105</v>
      </c>
      <c r="B578" t="s">
        <v>1554</v>
      </c>
      <c r="C578" t="s">
        <v>2414</v>
      </c>
      <c r="D578" s="5">
        <v>209.34233333333299</v>
      </c>
    </row>
    <row r="579" spans="1:4">
      <c r="A579" t="s">
        <v>2106</v>
      </c>
      <c r="B579" t="s">
        <v>1555</v>
      </c>
      <c r="C579" t="s">
        <v>2414</v>
      </c>
      <c r="D579" s="5">
        <v>175.83574999999999</v>
      </c>
    </row>
    <row r="580" spans="1:4">
      <c r="A580" t="s">
        <v>2107</v>
      </c>
      <c r="B580" t="s">
        <v>1556</v>
      </c>
      <c r="C580" t="s">
        <v>2414</v>
      </c>
      <c r="D580" s="5">
        <v>36.230500000000006</v>
      </c>
    </row>
    <row r="581" spans="1:4">
      <c r="A581" t="s">
        <v>2108</v>
      </c>
      <c r="B581" t="s">
        <v>1557</v>
      </c>
      <c r="C581" t="s">
        <v>2414</v>
      </c>
      <c r="D581" s="5">
        <v>40.442750000000004</v>
      </c>
    </row>
    <row r="582" spans="1:4">
      <c r="A582" t="s">
        <v>2109</v>
      </c>
      <c r="B582" t="s">
        <v>1558</v>
      </c>
      <c r="C582" t="s">
        <v>2414</v>
      </c>
      <c r="D582" s="5">
        <v>41.667999999999999</v>
      </c>
    </row>
    <row r="583" spans="1:4">
      <c r="A583" t="s">
        <v>2110</v>
      </c>
      <c r="B583" t="s">
        <v>1559</v>
      </c>
      <c r="C583" t="s">
        <v>2414</v>
      </c>
      <c r="D583" s="5">
        <v>50.327399999999997</v>
      </c>
    </row>
    <row r="584" spans="1:4">
      <c r="A584" t="s">
        <v>2111</v>
      </c>
      <c r="B584" t="s">
        <v>1560</v>
      </c>
      <c r="C584" t="s">
        <v>2414</v>
      </c>
      <c r="D584" s="5">
        <v>136.42699999999999</v>
      </c>
    </row>
    <row r="585" spans="1:4">
      <c r="A585" t="s">
        <v>2112</v>
      </c>
      <c r="B585" t="s">
        <v>1561</v>
      </c>
      <c r="C585" t="s">
        <v>2414</v>
      </c>
      <c r="D585" s="5">
        <v>40.911100000000005</v>
      </c>
    </row>
    <row r="586" spans="1:4">
      <c r="A586" t="s">
        <v>2113</v>
      </c>
      <c r="B586" t="s">
        <v>1562</v>
      </c>
      <c r="C586" t="s">
        <v>2414</v>
      </c>
      <c r="D586" s="5">
        <v>52.422650000000004</v>
      </c>
    </row>
    <row r="587" spans="1:4">
      <c r="A587" t="s">
        <v>2114</v>
      </c>
      <c r="B587" t="s">
        <v>1563</v>
      </c>
      <c r="C587" t="s">
        <v>2414</v>
      </c>
      <c r="D587" s="5">
        <v>164.36125000000001</v>
      </c>
    </row>
    <row r="588" spans="1:4">
      <c r="A588" t="s">
        <v>2115</v>
      </c>
      <c r="B588" t="s">
        <v>1564</v>
      </c>
      <c r="C588" t="s">
        <v>2414</v>
      </c>
      <c r="D588" s="5">
        <v>169.145041666667</v>
      </c>
    </row>
    <row r="589" spans="1:4">
      <c r="A589" t="s">
        <v>2116</v>
      </c>
      <c r="B589" t="s">
        <v>1565</v>
      </c>
      <c r="C589" t="s">
        <v>2414</v>
      </c>
      <c r="D589" s="5">
        <v>136.55583333333337</v>
      </c>
    </row>
    <row r="590" spans="1:4">
      <c r="A590" t="s">
        <v>2117</v>
      </c>
      <c r="B590" t="s">
        <v>1566</v>
      </c>
      <c r="C590" t="s">
        <v>2414</v>
      </c>
      <c r="D590" s="5">
        <v>44.972791666666666</v>
      </c>
    </row>
    <row r="591" spans="1:4">
      <c r="A591" t="s">
        <v>2118</v>
      </c>
      <c r="B591" t="s">
        <v>1567</v>
      </c>
      <c r="C591" t="s">
        <v>2414</v>
      </c>
      <c r="D591" s="5">
        <v>63.397458333333333</v>
      </c>
    </row>
    <row r="592" spans="1:4">
      <c r="A592" t="s">
        <v>2119</v>
      </c>
      <c r="B592" t="s">
        <v>1568</v>
      </c>
      <c r="C592" t="s">
        <v>2414</v>
      </c>
      <c r="D592" s="5">
        <v>43.852666666666678</v>
      </c>
    </row>
    <row r="593" spans="1:4">
      <c r="A593" t="s">
        <v>2120</v>
      </c>
      <c r="B593" t="s">
        <v>1569</v>
      </c>
      <c r="C593" t="s">
        <v>2414</v>
      </c>
      <c r="D593" s="5">
        <v>83.26366666666668</v>
      </c>
    </row>
    <row r="594" spans="1:4">
      <c r="A594" t="s">
        <v>2121</v>
      </c>
      <c r="B594" t="s">
        <v>1570</v>
      </c>
      <c r="C594" t="s">
        <v>2414</v>
      </c>
      <c r="D594" s="5">
        <v>91.213849999999994</v>
      </c>
    </row>
    <row r="595" spans="1:4">
      <c r="A595" t="s">
        <v>2122</v>
      </c>
      <c r="B595" t="s">
        <v>1571</v>
      </c>
      <c r="C595" t="s">
        <v>2414</v>
      </c>
      <c r="D595" s="5">
        <v>190.586825</v>
      </c>
    </row>
    <row r="596" spans="1:4">
      <c r="A596" t="s">
        <v>2123</v>
      </c>
      <c r="B596" t="s">
        <v>1572</v>
      </c>
      <c r="C596" t="s">
        <v>2414</v>
      </c>
      <c r="D596" s="5">
        <v>93.40770000000002</v>
      </c>
    </row>
    <row r="597" spans="1:4">
      <c r="A597" t="s">
        <v>2124</v>
      </c>
      <c r="B597" t="s">
        <v>1573</v>
      </c>
      <c r="C597" t="s">
        <v>2414</v>
      </c>
      <c r="D597" s="5">
        <v>62.33485000000001</v>
      </c>
    </row>
    <row r="598" spans="1:4">
      <c r="A598" t="s">
        <v>2125</v>
      </c>
      <c r="B598" t="s">
        <v>1574</v>
      </c>
      <c r="C598" t="s">
        <v>2414</v>
      </c>
      <c r="D598" s="5">
        <v>93.803791666666669</v>
      </c>
    </row>
    <row r="599" spans="1:4">
      <c r="A599" t="s">
        <v>2126</v>
      </c>
      <c r="B599" t="s">
        <v>1575</v>
      </c>
      <c r="C599" t="s">
        <v>2414</v>
      </c>
      <c r="D599" s="5">
        <v>135.53116666666665</v>
      </c>
    </row>
    <row r="600" spans="1:4">
      <c r="A600" t="s">
        <v>2127</v>
      </c>
      <c r="B600" t="s">
        <v>1576</v>
      </c>
      <c r="C600" t="s">
        <v>2414</v>
      </c>
      <c r="D600" s="5">
        <v>54.033600000000007</v>
      </c>
    </row>
    <row r="601" spans="1:4">
      <c r="A601" t="s">
        <v>2128</v>
      </c>
      <c r="B601" t="s">
        <v>1577</v>
      </c>
      <c r="C601" t="s">
        <v>2414</v>
      </c>
      <c r="D601" s="5">
        <v>101.23093333333334</v>
      </c>
    </row>
    <row r="602" spans="1:4">
      <c r="A602" t="s">
        <v>2129</v>
      </c>
      <c r="B602" t="s">
        <v>1578</v>
      </c>
      <c r="C602" t="s">
        <v>2414</v>
      </c>
      <c r="D602" s="5">
        <v>76.336291666666668</v>
      </c>
    </row>
    <row r="603" spans="1:4">
      <c r="A603" t="s">
        <v>2130</v>
      </c>
      <c r="B603" t="s">
        <v>1579</v>
      </c>
      <c r="C603" t="s">
        <v>2414</v>
      </c>
      <c r="D603" s="5">
        <v>122.67159999999998</v>
      </c>
    </row>
    <row r="604" spans="1:4">
      <c r="A604" t="s">
        <v>2131</v>
      </c>
      <c r="B604" t="s">
        <v>1580</v>
      </c>
      <c r="C604" t="s">
        <v>2414</v>
      </c>
      <c r="D604" s="5">
        <v>125.49250000000001</v>
      </c>
    </row>
    <row r="605" spans="1:4">
      <c r="A605" t="s">
        <v>2132</v>
      </c>
      <c r="B605" t="s">
        <v>1581</v>
      </c>
      <c r="C605" t="s">
        <v>2414</v>
      </c>
      <c r="D605" s="5">
        <v>70.865200000000016</v>
      </c>
    </row>
    <row r="606" spans="1:4">
      <c r="A606" t="s">
        <v>2133</v>
      </c>
      <c r="B606" t="s">
        <v>1582</v>
      </c>
      <c r="C606" t="s">
        <v>2414</v>
      </c>
      <c r="D606" s="5">
        <v>62.381250000000009</v>
      </c>
    </row>
    <row r="607" spans="1:4">
      <c r="A607" t="s">
        <v>2134</v>
      </c>
      <c r="B607" t="s">
        <v>1583</v>
      </c>
      <c r="C607" t="s">
        <v>2414</v>
      </c>
      <c r="D607" s="5">
        <v>77.809733333333341</v>
      </c>
    </row>
    <row r="608" spans="1:4">
      <c r="A608" t="s">
        <v>2135</v>
      </c>
      <c r="B608" t="s">
        <v>1584</v>
      </c>
      <c r="C608" t="s">
        <v>2414</v>
      </c>
      <c r="D608" s="5">
        <v>231.90887499999999</v>
      </c>
    </row>
    <row r="609" spans="1:4">
      <c r="A609" t="s">
        <v>2136</v>
      </c>
      <c r="B609" t="s">
        <v>1585</v>
      </c>
      <c r="C609" t="s">
        <v>2414</v>
      </c>
      <c r="D609" s="5">
        <v>246.23028333333301</v>
      </c>
    </row>
    <row r="610" spans="1:4">
      <c r="A610" t="s">
        <v>2137</v>
      </c>
      <c r="B610" t="s">
        <v>1586</v>
      </c>
      <c r="C610" t="s">
        <v>2414</v>
      </c>
      <c r="D610" s="5">
        <v>55.84682500000001</v>
      </c>
    </row>
    <row r="611" spans="1:4">
      <c r="A611" t="s">
        <v>2138</v>
      </c>
      <c r="B611" t="s">
        <v>1587</v>
      </c>
      <c r="C611" t="s">
        <v>2414</v>
      </c>
      <c r="D611" s="5">
        <v>35.215258333333338</v>
      </c>
    </row>
    <row r="612" spans="1:4">
      <c r="A612" t="s">
        <v>2139</v>
      </c>
      <c r="B612" t="s">
        <v>1588</v>
      </c>
      <c r="C612" t="s">
        <v>2414</v>
      </c>
      <c r="D612" s="5">
        <v>22.058199999999999</v>
      </c>
    </row>
    <row r="613" spans="1:4">
      <c r="A613" t="s">
        <v>2140</v>
      </c>
      <c r="B613" t="s">
        <v>1589</v>
      </c>
      <c r="C613" t="s">
        <v>2414</v>
      </c>
      <c r="D613" s="5">
        <v>120.12830000000002</v>
      </c>
    </row>
    <row r="614" spans="1:4">
      <c r="A614" t="s">
        <v>2141</v>
      </c>
      <c r="B614" t="s">
        <v>1590</v>
      </c>
      <c r="C614" t="s">
        <v>2414</v>
      </c>
      <c r="D614" s="5">
        <v>36.039341666666672</v>
      </c>
    </row>
    <row r="615" spans="1:4">
      <c r="A615" t="s">
        <v>2142</v>
      </c>
      <c r="B615" t="s">
        <v>1591</v>
      </c>
      <c r="C615" t="s">
        <v>2414</v>
      </c>
      <c r="D615" s="5">
        <v>162.22953333333336</v>
      </c>
    </row>
    <row r="616" spans="1:4">
      <c r="A616" t="s">
        <v>2143</v>
      </c>
      <c r="B616" t="s">
        <v>1592</v>
      </c>
      <c r="C616" t="s">
        <v>2414</v>
      </c>
      <c r="D616" s="5">
        <v>49.020225000000003</v>
      </c>
    </row>
    <row r="617" spans="1:4">
      <c r="A617" t="s">
        <v>2144</v>
      </c>
      <c r="B617" t="s">
        <v>1593</v>
      </c>
      <c r="C617" t="s">
        <v>2414</v>
      </c>
      <c r="D617" s="5">
        <v>101.66779166666669</v>
      </c>
    </row>
    <row r="618" spans="1:4">
      <c r="A618" t="s">
        <v>2145</v>
      </c>
      <c r="B618" t="s">
        <v>1594</v>
      </c>
      <c r="C618" t="s">
        <v>2414</v>
      </c>
      <c r="D618" s="5">
        <v>133.22566666666665</v>
      </c>
    </row>
    <row r="619" spans="1:4">
      <c r="A619" t="s">
        <v>2146</v>
      </c>
      <c r="B619" t="s">
        <v>1595</v>
      </c>
      <c r="C619" t="s">
        <v>2414</v>
      </c>
      <c r="D619" s="5">
        <v>27.816391666666664</v>
      </c>
    </row>
    <row r="620" spans="1:4">
      <c r="A620" t="s">
        <v>2147</v>
      </c>
      <c r="B620" t="s">
        <v>1596</v>
      </c>
      <c r="C620" t="s">
        <v>2414</v>
      </c>
      <c r="D620" s="5">
        <v>17.333375000000004</v>
      </c>
    </row>
    <row r="621" spans="1:4">
      <c r="A621" t="s">
        <v>2148</v>
      </c>
      <c r="B621" t="s">
        <v>1597</v>
      </c>
      <c r="C621" t="s">
        <v>2414</v>
      </c>
      <c r="D621" s="5">
        <v>21.585500000000003</v>
      </c>
    </row>
    <row r="622" spans="1:4">
      <c r="A622" t="s">
        <v>2149</v>
      </c>
      <c r="B622" t="s">
        <v>1598</v>
      </c>
      <c r="C622" t="s">
        <v>2414</v>
      </c>
      <c r="D622" s="5">
        <v>25.344383333333333</v>
      </c>
    </row>
    <row r="623" spans="1:4">
      <c r="A623" t="s">
        <v>2150</v>
      </c>
      <c r="B623" t="s">
        <v>1599</v>
      </c>
      <c r="C623" t="s">
        <v>2414</v>
      </c>
      <c r="D623" s="5">
        <v>28.296099999999999</v>
      </c>
    </row>
    <row r="624" spans="1:4">
      <c r="A624" t="s">
        <v>2151</v>
      </c>
      <c r="B624" t="s">
        <v>1600</v>
      </c>
      <c r="C624" t="s">
        <v>2414</v>
      </c>
      <c r="D624" s="5">
        <v>44.417441666666676</v>
      </c>
    </row>
    <row r="625" spans="1:4">
      <c r="A625" t="s">
        <v>2152</v>
      </c>
      <c r="B625" t="s">
        <v>1601</v>
      </c>
      <c r="C625" t="s">
        <v>2414</v>
      </c>
      <c r="D625" s="5">
        <v>26.983849999999997</v>
      </c>
    </row>
    <row r="626" spans="1:4">
      <c r="A626" t="s">
        <v>2153</v>
      </c>
      <c r="B626" t="s">
        <v>1602</v>
      </c>
      <c r="C626" t="s">
        <v>2414</v>
      </c>
      <c r="D626" s="5">
        <v>26.983849999999997</v>
      </c>
    </row>
    <row r="627" spans="1:4">
      <c r="A627" t="s">
        <v>2154</v>
      </c>
      <c r="B627" t="s">
        <v>1603</v>
      </c>
      <c r="C627" t="s">
        <v>2414</v>
      </c>
      <c r="D627" s="5">
        <v>27.982899999999997</v>
      </c>
    </row>
    <row r="628" spans="1:4">
      <c r="A628" t="s">
        <v>2155</v>
      </c>
      <c r="B628" t="s">
        <v>1604</v>
      </c>
      <c r="C628" t="s">
        <v>2414</v>
      </c>
      <c r="D628" s="5">
        <v>27.649883333333332</v>
      </c>
    </row>
    <row r="629" spans="1:4">
      <c r="A629" t="s">
        <v>2156</v>
      </c>
      <c r="B629" t="s">
        <v>1612</v>
      </c>
      <c r="C629" t="s">
        <v>2414</v>
      </c>
      <c r="D629" s="5">
        <v>27.483374999999999</v>
      </c>
    </row>
    <row r="630" spans="1:4">
      <c r="A630" t="s">
        <v>2157</v>
      </c>
      <c r="B630" t="s">
        <v>1605</v>
      </c>
      <c r="C630" t="s">
        <v>2414</v>
      </c>
      <c r="D630" s="5">
        <v>27.649883333333332</v>
      </c>
    </row>
    <row r="631" spans="1:4">
      <c r="A631" t="s">
        <v>2158</v>
      </c>
      <c r="B631" t="s">
        <v>1606</v>
      </c>
      <c r="C631" t="s">
        <v>2414</v>
      </c>
      <c r="D631" s="5">
        <v>27.316866666666666</v>
      </c>
    </row>
    <row r="632" spans="1:4">
      <c r="A632" t="s">
        <v>2159</v>
      </c>
      <c r="B632" t="s">
        <v>1607</v>
      </c>
      <c r="C632" t="s">
        <v>2414</v>
      </c>
      <c r="D632" s="5">
        <v>27.649883333333332</v>
      </c>
    </row>
    <row r="633" spans="1:4">
      <c r="A633" t="s">
        <v>2160</v>
      </c>
      <c r="B633" t="s">
        <v>1608</v>
      </c>
      <c r="C633" t="s">
        <v>2414</v>
      </c>
      <c r="D633" s="5">
        <v>26.983849999999997</v>
      </c>
    </row>
    <row r="634" spans="1:4">
      <c r="A634" t="s">
        <v>2161</v>
      </c>
      <c r="B634" t="s">
        <v>1613</v>
      </c>
      <c r="C634" t="s">
        <v>2414</v>
      </c>
      <c r="D634" s="5">
        <v>27.483374999999999</v>
      </c>
    </row>
    <row r="635" spans="1:4">
      <c r="A635" t="s">
        <v>2162</v>
      </c>
      <c r="B635" t="s">
        <v>1609</v>
      </c>
      <c r="C635" t="s">
        <v>2414</v>
      </c>
      <c r="D635" s="5">
        <v>27.816391666666664</v>
      </c>
    </row>
    <row r="636" spans="1:4">
      <c r="A636" t="s">
        <v>2163</v>
      </c>
      <c r="B636" t="s">
        <v>1610</v>
      </c>
      <c r="C636" t="s">
        <v>2414</v>
      </c>
      <c r="D636" s="5">
        <v>27.982899999999997</v>
      </c>
    </row>
    <row r="637" spans="1:4">
      <c r="A637" t="s">
        <v>2164</v>
      </c>
      <c r="B637" t="s">
        <v>814</v>
      </c>
      <c r="C637" t="s">
        <v>2414</v>
      </c>
      <c r="D637" s="5">
        <v>23.252100000000002</v>
      </c>
    </row>
    <row r="638" spans="1:4">
      <c r="A638" t="s">
        <v>2165</v>
      </c>
      <c r="B638" t="s">
        <v>815</v>
      </c>
      <c r="C638" t="s">
        <v>2414</v>
      </c>
      <c r="D638" s="5">
        <v>16.993450000000003</v>
      </c>
    </row>
    <row r="639" spans="1:4">
      <c r="A639" t="s">
        <v>2166</v>
      </c>
      <c r="B639" t="s">
        <v>816</v>
      </c>
      <c r="C639" t="s">
        <v>2414</v>
      </c>
      <c r="D639" s="5">
        <v>29.98</v>
      </c>
    </row>
    <row r="640" spans="1:4">
      <c r="A640" t="s">
        <v>2167</v>
      </c>
      <c r="B640" t="s">
        <v>817</v>
      </c>
      <c r="C640" t="s">
        <v>2414</v>
      </c>
      <c r="D640" s="5">
        <v>21.777966666666671</v>
      </c>
    </row>
    <row r="641" spans="1:4">
      <c r="A641" t="s">
        <v>2168</v>
      </c>
      <c r="B641" t="s">
        <v>818</v>
      </c>
      <c r="C641" t="s">
        <v>2414</v>
      </c>
      <c r="D641" s="5">
        <v>46.412500000000009</v>
      </c>
    </row>
    <row r="642" spans="1:4">
      <c r="A642" t="s">
        <v>2169</v>
      </c>
      <c r="B642" t="s">
        <v>819</v>
      </c>
      <c r="C642" t="s">
        <v>2414</v>
      </c>
      <c r="D642" s="5">
        <v>51.3</v>
      </c>
    </row>
    <row r="643" spans="1:4">
      <c r="A643" t="s">
        <v>2170</v>
      </c>
      <c r="B643" t="s">
        <v>820</v>
      </c>
      <c r="C643" t="s">
        <v>2414</v>
      </c>
      <c r="D643" s="5">
        <v>43.226266666666668</v>
      </c>
    </row>
    <row r="644" spans="1:4">
      <c r="A644" t="s">
        <v>2171</v>
      </c>
      <c r="B644" t="s">
        <v>821</v>
      </c>
      <c r="C644" t="s">
        <v>2414</v>
      </c>
      <c r="D644" s="5">
        <v>44.482933333333342</v>
      </c>
    </row>
    <row r="645" spans="1:4">
      <c r="A645" t="s">
        <v>2172</v>
      </c>
      <c r="B645" t="s">
        <v>822</v>
      </c>
      <c r="C645" t="s">
        <v>2414</v>
      </c>
      <c r="D645" s="5">
        <v>40.687800000000003</v>
      </c>
    </row>
    <row r="646" spans="1:4">
      <c r="A646" t="s">
        <v>2173</v>
      </c>
      <c r="B646" t="s">
        <v>823</v>
      </c>
      <c r="C646" t="s">
        <v>2414</v>
      </c>
      <c r="D646" s="5">
        <v>36.999000000000002</v>
      </c>
    </row>
    <row r="647" spans="1:4">
      <c r="A647" t="s">
        <v>2174</v>
      </c>
      <c r="B647" t="s">
        <v>824</v>
      </c>
      <c r="C647" t="s">
        <v>2414</v>
      </c>
      <c r="D647" s="5">
        <v>35.212600000000002</v>
      </c>
    </row>
    <row r="648" spans="1:4">
      <c r="A648" t="s">
        <v>2175</v>
      </c>
      <c r="B648" t="s">
        <v>825</v>
      </c>
      <c r="C648" t="s">
        <v>2414</v>
      </c>
      <c r="D648" s="5">
        <v>48.874500000000005</v>
      </c>
    </row>
    <row r="649" spans="1:4">
      <c r="A649" t="s">
        <v>2176</v>
      </c>
      <c r="B649" t="s">
        <v>826</v>
      </c>
      <c r="C649" t="s">
        <v>2414</v>
      </c>
      <c r="D649" s="5">
        <v>39.801850000000009</v>
      </c>
    </row>
    <row r="650" spans="1:4">
      <c r="A650" t="s">
        <v>2177</v>
      </c>
      <c r="B650" t="s">
        <v>827</v>
      </c>
      <c r="C650" t="s">
        <v>2414</v>
      </c>
      <c r="D650" s="5">
        <v>49.78606666666667</v>
      </c>
    </row>
    <row r="651" spans="1:4">
      <c r="A651" t="s">
        <v>2178</v>
      </c>
      <c r="B651" t="s">
        <v>828</v>
      </c>
      <c r="C651" t="s">
        <v>2414</v>
      </c>
      <c r="D651" s="5">
        <v>37.435450000000003</v>
      </c>
    </row>
    <row r="652" spans="1:4">
      <c r="A652" t="s">
        <v>2179</v>
      </c>
      <c r="B652" t="s">
        <v>829</v>
      </c>
      <c r="C652" t="s">
        <v>2414</v>
      </c>
      <c r="D652" s="5">
        <v>65.2</v>
      </c>
    </row>
    <row r="653" spans="1:4">
      <c r="A653" t="s">
        <v>2180</v>
      </c>
      <c r="B653" t="s">
        <v>830</v>
      </c>
      <c r="C653" t="s">
        <v>2414</v>
      </c>
      <c r="D653" s="5">
        <v>24.198399999999999</v>
      </c>
    </row>
    <row r="654" spans="1:4">
      <c r="A654" t="s">
        <v>2181</v>
      </c>
      <c r="B654" t="s">
        <v>831</v>
      </c>
      <c r="C654" t="s">
        <v>2414</v>
      </c>
      <c r="D654" s="5">
        <v>52.045649999999995</v>
      </c>
    </row>
    <row r="655" spans="1:4">
      <c r="A655" t="s">
        <v>2182</v>
      </c>
      <c r="B655" t="s">
        <v>832</v>
      </c>
      <c r="C655" t="s">
        <v>2414</v>
      </c>
      <c r="D655" s="5">
        <v>44.176258333333344</v>
      </c>
    </row>
    <row r="656" spans="1:4">
      <c r="A656" t="s">
        <v>2183</v>
      </c>
      <c r="B656" t="s">
        <v>833</v>
      </c>
      <c r="C656" t="s">
        <v>2414</v>
      </c>
      <c r="D656" s="5">
        <v>31.929558333333333</v>
      </c>
    </row>
    <row r="657" spans="1:4">
      <c r="A657" t="s">
        <v>2184</v>
      </c>
      <c r="B657" t="s">
        <v>834</v>
      </c>
      <c r="C657" t="s">
        <v>2414</v>
      </c>
      <c r="D657" s="5">
        <v>53.778399999999998</v>
      </c>
    </row>
    <row r="658" spans="1:4">
      <c r="A658" t="s">
        <v>2185</v>
      </c>
      <c r="B658" t="s">
        <v>835</v>
      </c>
      <c r="C658" t="s">
        <v>2414</v>
      </c>
      <c r="D658" s="5">
        <v>24.302800000000001</v>
      </c>
    </row>
    <row r="659" spans="1:4">
      <c r="A659" t="s">
        <v>2186</v>
      </c>
      <c r="B659" t="s">
        <v>836</v>
      </c>
      <c r="C659" t="s">
        <v>2414</v>
      </c>
      <c r="D659" s="5">
        <v>26.032166666666669</v>
      </c>
    </row>
    <row r="660" spans="1:4">
      <c r="A660" t="s">
        <v>2187</v>
      </c>
      <c r="B660" t="s">
        <v>837</v>
      </c>
      <c r="C660" t="s">
        <v>2414</v>
      </c>
      <c r="D660" s="5">
        <v>27.930700000000005</v>
      </c>
    </row>
    <row r="661" spans="1:4">
      <c r="A661" t="s">
        <v>2188</v>
      </c>
      <c r="B661" t="s">
        <v>838</v>
      </c>
      <c r="C661" t="s">
        <v>2414</v>
      </c>
      <c r="D661" s="5">
        <v>26.881383333333336</v>
      </c>
    </row>
    <row r="662" spans="1:4">
      <c r="A662" t="s">
        <v>2189</v>
      </c>
      <c r="B662" t="s">
        <v>839</v>
      </c>
      <c r="C662" t="s">
        <v>2414</v>
      </c>
      <c r="D662" s="5">
        <v>31.375900000000001</v>
      </c>
    </row>
    <row r="663" spans="1:4">
      <c r="A663" t="s">
        <v>2190</v>
      </c>
      <c r="B663" t="s">
        <v>840</v>
      </c>
      <c r="C663" t="s">
        <v>2414</v>
      </c>
      <c r="D663" s="5">
        <v>30.514600000000005</v>
      </c>
    </row>
    <row r="664" spans="1:4">
      <c r="A664" t="s">
        <v>2191</v>
      </c>
      <c r="B664" t="s">
        <v>841</v>
      </c>
      <c r="C664" t="s">
        <v>2414</v>
      </c>
      <c r="D664" s="5">
        <v>32.750983333333338</v>
      </c>
    </row>
    <row r="665" spans="1:4">
      <c r="A665" t="s">
        <v>2192</v>
      </c>
      <c r="B665" t="s">
        <v>842</v>
      </c>
      <c r="C665" t="s">
        <v>2414</v>
      </c>
      <c r="D665" s="5">
        <v>35.155566666666672</v>
      </c>
    </row>
    <row r="666" spans="1:4">
      <c r="A666" t="s">
        <v>2193</v>
      </c>
      <c r="B666" t="s">
        <v>843</v>
      </c>
      <c r="C666" t="s">
        <v>2414</v>
      </c>
      <c r="D666" s="5">
        <v>37.455750000000002</v>
      </c>
    </row>
    <row r="667" spans="1:4">
      <c r="A667" t="s">
        <v>2194</v>
      </c>
      <c r="B667" t="s">
        <v>844</v>
      </c>
      <c r="C667" t="s">
        <v>2414</v>
      </c>
      <c r="D667" s="5">
        <v>46.19635000000001</v>
      </c>
    </row>
    <row r="668" spans="1:4">
      <c r="A668" t="s">
        <v>2195</v>
      </c>
      <c r="B668" t="s">
        <v>845</v>
      </c>
      <c r="C668" t="s">
        <v>2414</v>
      </c>
      <c r="D668" s="5">
        <v>34.429600000000001</v>
      </c>
    </row>
    <row r="669" spans="1:4">
      <c r="A669" t="s">
        <v>2196</v>
      </c>
      <c r="B669" t="s">
        <v>846</v>
      </c>
      <c r="C669" t="s">
        <v>2414</v>
      </c>
      <c r="D669" s="5">
        <v>54.91375</v>
      </c>
    </row>
    <row r="670" spans="1:4">
      <c r="A670" t="s">
        <v>2197</v>
      </c>
      <c r="B670" t="s">
        <v>847</v>
      </c>
      <c r="C670" t="s">
        <v>2414</v>
      </c>
      <c r="D670" s="5">
        <v>51.73245</v>
      </c>
    </row>
    <row r="671" spans="1:4">
      <c r="A671" t="s">
        <v>2198</v>
      </c>
      <c r="B671" t="s">
        <v>848</v>
      </c>
      <c r="C671" t="s">
        <v>2414</v>
      </c>
      <c r="D671" s="5">
        <v>35.409999999999997</v>
      </c>
    </row>
    <row r="672" spans="1:4">
      <c r="A672" t="s">
        <v>2199</v>
      </c>
      <c r="B672" t="s">
        <v>849</v>
      </c>
      <c r="C672" t="s">
        <v>2414</v>
      </c>
      <c r="D672" s="5">
        <v>28.241000000000003</v>
      </c>
    </row>
    <row r="673" spans="1:4">
      <c r="A673" t="s">
        <v>2200</v>
      </c>
      <c r="B673" t="s">
        <v>850</v>
      </c>
      <c r="C673" t="s">
        <v>2414</v>
      </c>
      <c r="D673" s="5">
        <v>27.844666666666669</v>
      </c>
    </row>
    <row r="674" spans="1:4">
      <c r="A674" t="s">
        <v>2201</v>
      </c>
      <c r="B674" t="s">
        <v>851</v>
      </c>
      <c r="C674" t="s">
        <v>2414</v>
      </c>
      <c r="D674" s="5">
        <v>32.583750000000002</v>
      </c>
    </row>
    <row r="675" spans="1:4">
      <c r="A675" t="s">
        <v>2202</v>
      </c>
      <c r="B675" t="s">
        <v>852</v>
      </c>
      <c r="C675" t="s">
        <v>2414</v>
      </c>
      <c r="D675" s="5">
        <v>40.637533333333337</v>
      </c>
    </row>
    <row r="676" spans="1:4">
      <c r="A676" t="s">
        <v>2203</v>
      </c>
      <c r="B676" t="s">
        <v>853</v>
      </c>
      <c r="C676" t="s">
        <v>2414</v>
      </c>
      <c r="D676" s="5">
        <v>42.359166666666667</v>
      </c>
    </row>
    <row r="677" spans="1:4">
      <c r="A677" t="s">
        <v>2204</v>
      </c>
      <c r="B677" t="s">
        <v>854</v>
      </c>
      <c r="C677" t="s">
        <v>2414</v>
      </c>
      <c r="D677" s="5">
        <v>53.900200000000005</v>
      </c>
    </row>
    <row r="678" spans="1:4">
      <c r="A678" t="s">
        <v>2205</v>
      </c>
      <c r="B678" t="s">
        <v>855</v>
      </c>
      <c r="C678" t="s">
        <v>2414</v>
      </c>
      <c r="D678" s="5">
        <v>69.163866666666664</v>
      </c>
    </row>
    <row r="679" spans="1:4">
      <c r="A679" t="s">
        <v>2206</v>
      </c>
      <c r="B679" t="s">
        <v>856</v>
      </c>
      <c r="C679" t="s">
        <v>2414</v>
      </c>
      <c r="D679" s="5">
        <v>50.175150000000002</v>
      </c>
    </row>
    <row r="680" spans="1:4">
      <c r="A680" t="s">
        <v>2207</v>
      </c>
      <c r="B680" t="s">
        <v>857</v>
      </c>
      <c r="C680" t="s">
        <v>2414</v>
      </c>
      <c r="D680" s="5">
        <v>68.098600000000005</v>
      </c>
    </row>
    <row r="681" spans="1:4">
      <c r="A681" t="s">
        <v>2208</v>
      </c>
      <c r="B681" t="s">
        <v>858</v>
      </c>
      <c r="C681" t="s">
        <v>2414</v>
      </c>
      <c r="D681" s="5">
        <v>40.118916666666671</v>
      </c>
    </row>
    <row r="682" spans="1:4">
      <c r="A682" t="s">
        <v>2209</v>
      </c>
      <c r="B682" t="s">
        <v>859</v>
      </c>
      <c r="C682" t="s">
        <v>2414</v>
      </c>
      <c r="D682" s="5">
        <v>29.496700000000004</v>
      </c>
    </row>
    <row r="683" spans="1:4">
      <c r="A683" t="s">
        <v>2210</v>
      </c>
      <c r="B683" t="s">
        <v>860</v>
      </c>
      <c r="C683" t="s">
        <v>2414</v>
      </c>
      <c r="D683" s="5">
        <v>32.988058333333342</v>
      </c>
    </row>
    <row r="684" spans="1:4">
      <c r="A684" t="s">
        <v>2211</v>
      </c>
      <c r="B684" t="s">
        <v>861</v>
      </c>
      <c r="C684" t="s">
        <v>2414</v>
      </c>
      <c r="D684" s="5">
        <v>33.970675</v>
      </c>
    </row>
    <row r="685" spans="1:4">
      <c r="A685" t="s">
        <v>2212</v>
      </c>
      <c r="B685" t="s">
        <v>862</v>
      </c>
      <c r="C685" t="s">
        <v>2414</v>
      </c>
      <c r="D685" s="5">
        <v>37.202000000000005</v>
      </c>
    </row>
    <row r="686" spans="1:4">
      <c r="A686" t="s">
        <v>2213</v>
      </c>
      <c r="B686" t="s">
        <v>863</v>
      </c>
      <c r="C686" t="s">
        <v>2414</v>
      </c>
      <c r="D686" s="5">
        <v>42.094299999999997</v>
      </c>
    </row>
    <row r="687" spans="1:4">
      <c r="A687" t="s">
        <v>2214</v>
      </c>
      <c r="B687" t="s">
        <v>864</v>
      </c>
      <c r="C687" t="s">
        <v>2414</v>
      </c>
      <c r="D687" s="5">
        <v>40.537000000000006</v>
      </c>
    </row>
    <row r="688" spans="1:4">
      <c r="A688" t="s">
        <v>2215</v>
      </c>
      <c r="B688" t="s">
        <v>865</v>
      </c>
      <c r="C688" t="s">
        <v>2414</v>
      </c>
      <c r="D688" s="5">
        <v>37.151249999999997</v>
      </c>
    </row>
    <row r="689" spans="1:4">
      <c r="A689" t="s">
        <v>2216</v>
      </c>
      <c r="B689" t="s">
        <v>866</v>
      </c>
      <c r="C689" t="s">
        <v>2414</v>
      </c>
      <c r="D689" s="5">
        <v>30.610300000000006</v>
      </c>
    </row>
    <row r="690" spans="1:4">
      <c r="A690" t="s">
        <v>2217</v>
      </c>
      <c r="B690" t="s">
        <v>867</v>
      </c>
      <c r="C690" t="s">
        <v>2414</v>
      </c>
      <c r="D690" s="5">
        <v>51.978950000000005</v>
      </c>
    </row>
    <row r="691" spans="1:4">
      <c r="A691" t="s">
        <v>2218</v>
      </c>
      <c r="B691" t="s">
        <v>868</v>
      </c>
      <c r="C691" t="s">
        <v>2414</v>
      </c>
      <c r="D691" s="5">
        <v>35.616666666666674</v>
      </c>
    </row>
    <row r="692" spans="1:4">
      <c r="A692" t="s">
        <v>2219</v>
      </c>
      <c r="B692" t="s">
        <v>869</v>
      </c>
      <c r="C692" t="s">
        <v>2414</v>
      </c>
      <c r="D692" s="5">
        <v>40.145499999999998</v>
      </c>
    </row>
    <row r="693" spans="1:4">
      <c r="A693" t="s">
        <v>2220</v>
      </c>
      <c r="B693" t="s">
        <v>870</v>
      </c>
      <c r="C693" t="s">
        <v>2414</v>
      </c>
      <c r="D693" s="5">
        <v>38.255183333333335</v>
      </c>
    </row>
    <row r="694" spans="1:4">
      <c r="A694" t="s">
        <v>2221</v>
      </c>
      <c r="B694" t="s">
        <v>1611</v>
      </c>
      <c r="C694" t="s">
        <v>2414</v>
      </c>
      <c r="D694" s="5">
        <v>47.262825000000007</v>
      </c>
    </row>
    <row r="695" spans="1:4">
      <c r="A695" t="s">
        <v>2222</v>
      </c>
      <c r="B695" t="s">
        <v>871</v>
      </c>
      <c r="C695" t="s">
        <v>2414</v>
      </c>
      <c r="D695" s="5">
        <v>49.541500000000006</v>
      </c>
    </row>
    <row r="696" spans="1:4">
      <c r="A696" t="s">
        <v>2223</v>
      </c>
      <c r="B696" t="s">
        <v>872</v>
      </c>
      <c r="C696" t="s">
        <v>2414</v>
      </c>
      <c r="D696" s="5">
        <v>43.609066666666671</v>
      </c>
    </row>
    <row r="697" spans="1:4">
      <c r="A697" t="s">
        <v>2224</v>
      </c>
      <c r="B697" t="s">
        <v>873</v>
      </c>
      <c r="C697" t="s">
        <v>2414</v>
      </c>
      <c r="D697" s="5">
        <v>59.620450000000005</v>
      </c>
    </row>
    <row r="698" spans="1:4">
      <c r="A698" t="s">
        <v>2225</v>
      </c>
      <c r="B698" t="s">
        <v>874</v>
      </c>
      <c r="C698" t="s">
        <v>2414</v>
      </c>
      <c r="D698" s="5">
        <v>60.529600000000009</v>
      </c>
    </row>
    <row r="699" spans="1:4">
      <c r="A699" t="s">
        <v>2226</v>
      </c>
      <c r="B699" t="s">
        <v>875</v>
      </c>
      <c r="C699" t="s">
        <v>2414</v>
      </c>
      <c r="D699" s="5">
        <v>72.244875000000008</v>
      </c>
    </row>
    <row r="700" spans="1:4">
      <c r="A700" t="s">
        <v>2227</v>
      </c>
      <c r="B700" t="s">
        <v>876</v>
      </c>
      <c r="C700" t="s">
        <v>2414</v>
      </c>
      <c r="D700" s="5">
        <v>56.170900000000003</v>
      </c>
    </row>
    <row r="701" spans="1:4">
      <c r="A701" t="s">
        <v>2228</v>
      </c>
      <c r="B701" t="s">
        <v>877</v>
      </c>
      <c r="C701" t="s">
        <v>2414</v>
      </c>
      <c r="D701" s="5">
        <v>94.371875000000003</v>
      </c>
    </row>
    <row r="702" spans="1:4">
      <c r="A702" t="s">
        <v>2229</v>
      </c>
      <c r="B702" t="s">
        <v>878</v>
      </c>
      <c r="C702" t="s">
        <v>2414</v>
      </c>
      <c r="D702" s="5">
        <v>66.793599999999998</v>
      </c>
    </row>
    <row r="703" spans="1:4">
      <c r="A703" t="s">
        <v>2230</v>
      </c>
      <c r="B703" t="s">
        <v>879</v>
      </c>
      <c r="C703" t="s">
        <v>2414</v>
      </c>
      <c r="D703" s="5">
        <v>101.2</v>
      </c>
    </row>
    <row r="704" spans="1:4">
      <c r="A704" t="s">
        <v>2231</v>
      </c>
      <c r="B704" t="s">
        <v>880</v>
      </c>
      <c r="C704" t="s">
        <v>2414</v>
      </c>
      <c r="D704" s="5">
        <v>89.296875000000014</v>
      </c>
    </row>
    <row r="705" spans="1:4">
      <c r="A705" t="s">
        <v>2232</v>
      </c>
      <c r="B705" t="s">
        <v>881</v>
      </c>
      <c r="C705" t="s">
        <v>2414</v>
      </c>
      <c r="D705" s="5">
        <v>31.966533333333338</v>
      </c>
    </row>
    <row r="706" spans="1:4">
      <c r="A706" t="s">
        <v>2233</v>
      </c>
      <c r="B706" t="s">
        <v>882</v>
      </c>
      <c r="C706" t="s">
        <v>2414</v>
      </c>
      <c r="D706" s="5">
        <v>52.147874999999999</v>
      </c>
    </row>
    <row r="707" spans="1:4">
      <c r="A707" t="s">
        <v>2234</v>
      </c>
      <c r="B707" t="s">
        <v>883</v>
      </c>
      <c r="C707" t="s">
        <v>2414</v>
      </c>
      <c r="D707" s="5">
        <v>49.332700000000003</v>
      </c>
    </row>
    <row r="708" spans="1:4">
      <c r="A708" t="s">
        <v>2235</v>
      </c>
      <c r="B708" t="s">
        <v>884</v>
      </c>
      <c r="C708" t="s">
        <v>2414</v>
      </c>
      <c r="D708" s="5">
        <v>53.07853333333334</v>
      </c>
    </row>
    <row r="709" spans="1:4">
      <c r="A709" t="s">
        <v>2236</v>
      </c>
      <c r="B709" t="s">
        <v>885</v>
      </c>
      <c r="C709" t="s">
        <v>2414</v>
      </c>
      <c r="D709" s="5">
        <v>51.2699</v>
      </c>
    </row>
    <row r="710" spans="1:4">
      <c r="A710" t="s">
        <v>2237</v>
      </c>
      <c r="B710" t="s">
        <v>886</v>
      </c>
      <c r="C710" t="s">
        <v>2414</v>
      </c>
      <c r="D710" s="5">
        <v>89.9</v>
      </c>
    </row>
    <row r="711" spans="1:4">
      <c r="A711" t="s">
        <v>2238</v>
      </c>
      <c r="B711" t="s">
        <v>887</v>
      </c>
      <c r="C711" t="s">
        <v>2414</v>
      </c>
      <c r="D711" s="5">
        <v>109.36</v>
      </c>
    </row>
    <row r="712" spans="1:4">
      <c r="A712" t="s">
        <v>2239</v>
      </c>
      <c r="B712" t="s">
        <v>888</v>
      </c>
      <c r="C712" t="s">
        <v>2414</v>
      </c>
      <c r="D712" s="5">
        <v>83.773825000000016</v>
      </c>
    </row>
    <row r="713" spans="1:4">
      <c r="A713" t="s">
        <v>2240</v>
      </c>
      <c r="B713" t="s">
        <v>889</v>
      </c>
      <c r="C713" t="s">
        <v>2414</v>
      </c>
      <c r="D713" s="5">
        <v>175.8</v>
      </c>
    </row>
    <row r="714" spans="1:4">
      <c r="A714" t="s">
        <v>2241</v>
      </c>
      <c r="B714" t="s">
        <v>890</v>
      </c>
      <c r="C714" t="s">
        <v>2414</v>
      </c>
      <c r="D714" s="5">
        <v>195.95</v>
      </c>
    </row>
    <row r="715" spans="1:4">
      <c r="A715" t="s">
        <v>2242</v>
      </c>
      <c r="B715" t="s">
        <v>891</v>
      </c>
      <c r="C715" t="s">
        <v>2414</v>
      </c>
      <c r="D715" s="5">
        <v>100.98</v>
      </c>
    </row>
    <row r="716" spans="1:4">
      <c r="A716" t="s">
        <v>2243</v>
      </c>
      <c r="B716" t="s">
        <v>892</v>
      </c>
      <c r="C716" t="s">
        <v>2414</v>
      </c>
      <c r="D716" s="5">
        <v>130.54</v>
      </c>
    </row>
    <row r="717" spans="1:4">
      <c r="A717" t="s">
        <v>2244</v>
      </c>
      <c r="B717" t="s">
        <v>893</v>
      </c>
      <c r="C717" t="s">
        <v>2414</v>
      </c>
      <c r="D717" s="5">
        <v>189.89</v>
      </c>
    </row>
    <row r="718" spans="1:4">
      <c r="A718" t="s">
        <v>2245</v>
      </c>
      <c r="B718" t="s">
        <v>894</v>
      </c>
      <c r="C718" t="s">
        <v>2414</v>
      </c>
      <c r="D718" s="5">
        <v>202.2</v>
      </c>
    </row>
    <row r="719" spans="1:4">
      <c r="A719" t="s">
        <v>2246</v>
      </c>
      <c r="B719" t="s">
        <v>895</v>
      </c>
      <c r="C719" t="s">
        <v>2414</v>
      </c>
      <c r="D719" s="5">
        <v>125.41</v>
      </c>
    </row>
    <row r="720" spans="1:4">
      <c r="A720" t="s">
        <v>2247</v>
      </c>
      <c r="B720" t="s">
        <v>896</v>
      </c>
      <c r="C720" t="s">
        <v>2414</v>
      </c>
      <c r="D720" s="5">
        <v>124.8</v>
      </c>
    </row>
    <row r="721" spans="1:4">
      <c r="A721" t="s">
        <v>2248</v>
      </c>
      <c r="B721" t="s">
        <v>897</v>
      </c>
      <c r="C721" t="s">
        <v>2414</v>
      </c>
      <c r="D721" s="5">
        <v>80.593250000000012</v>
      </c>
    </row>
    <row r="722" spans="1:4">
      <c r="A722" t="s">
        <v>2249</v>
      </c>
      <c r="B722" t="s">
        <v>898</v>
      </c>
      <c r="C722" t="s">
        <v>2414</v>
      </c>
      <c r="D722" s="5">
        <v>44.236433333333338</v>
      </c>
    </row>
    <row r="723" spans="1:4">
      <c r="A723" t="s">
        <v>2250</v>
      </c>
      <c r="B723" t="s">
        <v>899</v>
      </c>
      <c r="C723" t="s">
        <v>2414</v>
      </c>
      <c r="D723" s="5">
        <v>61.641749999999995</v>
      </c>
    </row>
    <row r="724" spans="1:4">
      <c r="A724" t="s">
        <v>2251</v>
      </c>
      <c r="B724" t="s">
        <v>900</v>
      </c>
      <c r="C724" t="s">
        <v>2414</v>
      </c>
      <c r="D724" s="5">
        <v>30.731375</v>
      </c>
    </row>
    <row r="725" spans="1:4">
      <c r="A725" t="s">
        <v>2252</v>
      </c>
      <c r="B725" t="s">
        <v>901</v>
      </c>
      <c r="C725" t="s">
        <v>2414</v>
      </c>
      <c r="D725" s="5">
        <v>44.484625000000001</v>
      </c>
    </row>
    <row r="726" spans="1:4">
      <c r="A726" t="s">
        <v>2253</v>
      </c>
      <c r="B726" t="s">
        <v>902</v>
      </c>
      <c r="C726" t="s">
        <v>2414</v>
      </c>
      <c r="D726" s="5">
        <v>66.550000000000011</v>
      </c>
    </row>
    <row r="727" spans="1:4">
      <c r="A727" t="s">
        <v>2254</v>
      </c>
      <c r="B727" t="s">
        <v>903</v>
      </c>
      <c r="C727" t="s">
        <v>2414</v>
      </c>
      <c r="D727" s="5">
        <v>49.428400000000003</v>
      </c>
    </row>
    <row r="728" spans="1:4">
      <c r="A728" t="s">
        <v>2255</v>
      </c>
      <c r="B728" t="s">
        <v>904</v>
      </c>
      <c r="C728" t="s">
        <v>2414</v>
      </c>
      <c r="D728" s="5">
        <v>126.977933333333</v>
      </c>
    </row>
    <row r="729" spans="1:4">
      <c r="A729" t="s">
        <v>2256</v>
      </c>
      <c r="B729" t="s">
        <v>905</v>
      </c>
      <c r="C729" t="s">
        <v>2414</v>
      </c>
      <c r="D729" s="5">
        <v>68.171824999999998</v>
      </c>
    </row>
    <row r="730" spans="1:4">
      <c r="A730" t="s">
        <v>2257</v>
      </c>
      <c r="B730" t="s">
        <v>906</v>
      </c>
      <c r="C730" t="s">
        <v>2414</v>
      </c>
      <c r="D730" s="5">
        <v>47.750266666666668</v>
      </c>
    </row>
    <row r="731" spans="1:4">
      <c r="A731" t="s">
        <v>2258</v>
      </c>
      <c r="B731" t="s">
        <v>907</v>
      </c>
      <c r="C731" t="s">
        <v>2414</v>
      </c>
      <c r="D731" s="5">
        <v>66.010600000000011</v>
      </c>
    </row>
    <row r="732" spans="1:4">
      <c r="A732" t="s">
        <v>2259</v>
      </c>
      <c r="B732" t="s">
        <v>908</v>
      </c>
      <c r="C732" t="s">
        <v>2414</v>
      </c>
      <c r="D732" s="5">
        <v>45.8904</v>
      </c>
    </row>
    <row r="733" spans="1:4">
      <c r="A733" t="s">
        <v>2260</v>
      </c>
      <c r="B733" t="s">
        <v>909</v>
      </c>
      <c r="C733" t="s">
        <v>2414</v>
      </c>
      <c r="D733" s="5">
        <v>59.068000000000005</v>
      </c>
    </row>
    <row r="734" spans="1:4">
      <c r="A734" t="s">
        <v>2261</v>
      </c>
      <c r="B734" t="s">
        <v>910</v>
      </c>
      <c r="C734" t="s">
        <v>2414</v>
      </c>
      <c r="D734" s="5">
        <v>60.035875000000019</v>
      </c>
    </row>
    <row r="735" spans="1:4">
      <c r="A735" t="s">
        <v>2262</v>
      </c>
      <c r="B735" t="s">
        <v>911</v>
      </c>
      <c r="C735" t="s">
        <v>2414</v>
      </c>
      <c r="D735" s="5">
        <v>67.051700000000011</v>
      </c>
    </row>
    <row r="736" spans="1:4">
      <c r="A736" t="s">
        <v>2263</v>
      </c>
      <c r="B736" t="s">
        <v>912</v>
      </c>
      <c r="C736" t="s">
        <v>2414</v>
      </c>
      <c r="D736" s="5">
        <v>79.196899999999999</v>
      </c>
    </row>
    <row r="737" spans="1:4">
      <c r="A737" t="s">
        <v>2264</v>
      </c>
      <c r="B737" t="s">
        <v>913</v>
      </c>
      <c r="C737" t="s">
        <v>2414</v>
      </c>
      <c r="D737" s="5">
        <v>47.24615</v>
      </c>
    </row>
    <row r="738" spans="1:4">
      <c r="A738" t="s">
        <v>2265</v>
      </c>
      <c r="B738" t="s">
        <v>914</v>
      </c>
      <c r="C738" t="s">
        <v>2414</v>
      </c>
      <c r="D738" s="5">
        <v>59.398599999999995</v>
      </c>
    </row>
    <row r="739" spans="1:4">
      <c r="A739" t="s">
        <v>2266</v>
      </c>
      <c r="B739" t="s">
        <v>915</v>
      </c>
      <c r="C739" t="s">
        <v>2414</v>
      </c>
      <c r="D739" s="5">
        <v>59.354374999999997</v>
      </c>
    </row>
    <row r="740" spans="1:4">
      <c r="A740" t="s">
        <v>2267</v>
      </c>
      <c r="B740" t="s">
        <v>916</v>
      </c>
      <c r="C740" t="s">
        <v>2414</v>
      </c>
      <c r="D740" s="5">
        <v>18.855875000000001</v>
      </c>
    </row>
    <row r="741" spans="1:4">
      <c r="A741" t="s">
        <v>2268</v>
      </c>
      <c r="B741" t="s">
        <v>917</v>
      </c>
      <c r="C741" t="s">
        <v>2414</v>
      </c>
      <c r="D741" s="5">
        <v>37.539124999999999</v>
      </c>
    </row>
    <row r="742" spans="1:4">
      <c r="A742" t="s">
        <v>2269</v>
      </c>
      <c r="B742" t="s">
        <v>918</v>
      </c>
      <c r="C742" t="s">
        <v>2414</v>
      </c>
      <c r="D742" s="5">
        <v>50.598308333333343</v>
      </c>
    </row>
    <row r="743" spans="1:4">
      <c r="A743" t="s">
        <v>2270</v>
      </c>
      <c r="B743" t="s">
        <v>919</v>
      </c>
      <c r="C743" t="s">
        <v>2414</v>
      </c>
      <c r="D743" s="5">
        <v>193.125</v>
      </c>
    </row>
    <row r="744" spans="1:4">
      <c r="A744" t="s">
        <v>2271</v>
      </c>
      <c r="B744" t="s">
        <v>920</v>
      </c>
      <c r="C744" t="s">
        <v>2414</v>
      </c>
      <c r="D744" s="5">
        <v>63.052116666666684</v>
      </c>
    </row>
    <row r="745" spans="1:4">
      <c r="A745" t="s">
        <v>2272</v>
      </c>
      <c r="B745" t="s">
        <v>921</v>
      </c>
      <c r="C745" t="s">
        <v>2414</v>
      </c>
      <c r="D745" s="5">
        <v>104.208508333333</v>
      </c>
    </row>
    <row r="746" spans="1:4">
      <c r="A746" t="s">
        <v>2273</v>
      </c>
      <c r="B746" t="s">
        <v>922</v>
      </c>
      <c r="C746" t="s">
        <v>2414</v>
      </c>
      <c r="D746" s="5">
        <v>27.523733333333336</v>
      </c>
    </row>
    <row r="747" spans="1:4">
      <c r="A747" t="s">
        <v>2274</v>
      </c>
      <c r="B747" t="s">
        <v>923</v>
      </c>
      <c r="C747" t="s">
        <v>2414</v>
      </c>
      <c r="D747" s="5">
        <v>28.008516666666669</v>
      </c>
    </row>
    <row r="748" spans="1:4">
      <c r="A748" t="s">
        <v>2275</v>
      </c>
      <c r="B748" t="s">
        <v>924</v>
      </c>
      <c r="C748" t="s">
        <v>2414</v>
      </c>
      <c r="D748" s="5">
        <v>30.928816666666666</v>
      </c>
    </row>
    <row r="749" spans="1:4">
      <c r="A749" t="s">
        <v>2276</v>
      </c>
      <c r="B749" t="s">
        <v>925</v>
      </c>
      <c r="C749" t="s">
        <v>2414</v>
      </c>
      <c r="D749" s="5">
        <v>89.169999999999987</v>
      </c>
    </row>
    <row r="750" spans="1:4">
      <c r="A750" t="s">
        <v>2277</v>
      </c>
      <c r="B750" t="s">
        <v>926</v>
      </c>
      <c r="C750" t="s">
        <v>2414</v>
      </c>
      <c r="D750" s="5">
        <v>243.41326666666671</v>
      </c>
    </row>
    <row r="751" spans="1:4">
      <c r="A751" t="s">
        <v>2278</v>
      </c>
      <c r="B751" t="s">
        <v>927</v>
      </c>
      <c r="C751" t="s">
        <v>2414</v>
      </c>
      <c r="D751" s="5">
        <v>152.73220000000001</v>
      </c>
    </row>
    <row r="752" spans="1:4">
      <c r="A752" t="s">
        <v>2279</v>
      </c>
      <c r="B752" t="s">
        <v>928</v>
      </c>
      <c r="C752" t="s">
        <v>2414</v>
      </c>
      <c r="D752" s="5">
        <v>119.8</v>
      </c>
    </row>
    <row r="753" spans="1:4">
      <c r="A753" t="s">
        <v>2280</v>
      </c>
      <c r="B753" t="s">
        <v>929</v>
      </c>
      <c r="C753" t="s">
        <v>2414</v>
      </c>
      <c r="D753" s="5">
        <v>37.928449999999998</v>
      </c>
    </row>
    <row r="754" spans="1:4">
      <c r="A754" t="s">
        <v>2281</v>
      </c>
      <c r="B754" t="s">
        <v>930</v>
      </c>
      <c r="C754" t="s">
        <v>2414</v>
      </c>
      <c r="D754" s="5">
        <v>65.209999999999994</v>
      </c>
    </row>
    <row r="755" spans="1:4">
      <c r="A755" t="s">
        <v>2282</v>
      </c>
      <c r="B755" t="s">
        <v>931</v>
      </c>
      <c r="C755" t="s">
        <v>2414</v>
      </c>
      <c r="D755" s="5">
        <v>65.332000000000022</v>
      </c>
    </row>
    <row r="756" spans="1:4">
      <c r="A756" t="s">
        <v>2283</v>
      </c>
      <c r="B756" t="s">
        <v>932</v>
      </c>
      <c r="C756" t="s">
        <v>2414</v>
      </c>
      <c r="D756" s="5">
        <v>62.754866666666672</v>
      </c>
    </row>
    <row r="757" spans="1:4">
      <c r="A757" t="s">
        <v>2284</v>
      </c>
      <c r="B757" t="s">
        <v>933</v>
      </c>
      <c r="C757" t="s">
        <v>2414</v>
      </c>
      <c r="D757" s="5">
        <v>144.88149166666668</v>
      </c>
    </row>
    <row r="758" spans="1:4">
      <c r="A758" t="s">
        <v>2285</v>
      </c>
      <c r="B758" t="s">
        <v>934</v>
      </c>
      <c r="C758" t="s">
        <v>2414</v>
      </c>
      <c r="D758" s="5">
        <v>43.016500000000008</v>
      </c>
    </row>
    <row r="759" spans="1:4">
      <c r="A759" t="s">
        <v>2286</v>
      </c>
      <c r="B759" t="s">
        <v>935</v>
      </c>
      <c r="C759" t="s">
        <v>2414</v>
      </c>
      <c r="D759" s="5">
        <v>32.36866666666667</v>
      </c>
    </row>
    <row r="760" spans="1:4">
      <c r="A760" t="s">
        <v>2287</v>
      </c>
      <c r="B760" t="s">
        <v>936</v>
      </c>
      <c r="C760" t="s">
        <v>2414</v>
      </c>
      <c r="D760" s="5">
        <v>29.005875000000003</v>
      </c>
    </row>
    <row r="761" spans="1:4">
      <c r="A761" t="s">
        <v>2288</v>
      </c>
      <c r="B761" t="s">
        <v>937</v>
      </c>
      <c r="C761" t="s">
        <v>2414</v>
      </c>
      <c r="D761" s="5">
        <v>28.068450000000002</v>
      </c>
    </row>
    <row r="762" spans="1:4">
      <c r="A762" t="s">
        <v>2289</v>
      </c>
      <c r="B762" t="s">
        <v>938</v>
      </c>
      <c r="C762" t="s">
        <v>2414</v>
      </c>
      <c r="D762" s="5">
        <v>67.119125000000025</v>
      </c>
    </row>
    <row r="763" spans="1:4">
      <c r="A763" t="s">
        <v>2290</v>
      </c>
      <c r="B763" t="s">
        <v>939</v>
      </c>
      <c r="C763" t="s">
        <v>2414</v>
      </c>
      <c r="D763" s="5">
        <v>17.628208333333333</v>
      </c>
    </row>
    <row r="764" spans="1:4">
      <c r="A764" t="s">
        <v>2291</v>
      </c>
      <c r="B764" t="s">
        <v>940</v>
      </c>
      <c r="C764" t="s">
        <v>2414</v>
      </c>
      <c r="D764" s="5">
        <v>17.492391666666666</v>
      </c>
    </row>
    <row r="765" spans="1:4">
      <c r="A765" t="s">
        <v>2292</v>
      </c>
      <c r="B765" t="s">
        <v>941</v>
      </c>
      <c r="C765" t="s">
        <v>2414</v>
      </c>
      <c r="D765" s="5">
        <v>16.955891666666666</v>
      </c>
    </row>
    <row r="766" spans="1:4">
      <c r="A766" t="s">
        <v>2293</v>
      </c>
      <c r="B766" t="s">
        <v>942</v>
      </c>
      <c r="C766" t="s">
        <v>2414</v>
      </c>
      <c r="D766" s="5">
        <v>17.293258333333334</v>
      </c>
    </row>
    <row r="767" spans="1:4">
      <c r="A767" t="s">
        <v>2294</v>
      </c>
      <c r="B767" t="s">
        <v>943</v>
      </c>
      <c r="C767" t="s">
        <v>2414</v>
      </c>
      <c r="D767" s="5">
        <v>16.89499166666667</v>
      </c>
    </row>
    <row r="768" spans="1:4">
      <c r="A768" t="s">
        <v>2295</v>
      </c>
      <c r="B768" t="s">
        <v>944</v>
      </c>
      <c r="C768" t="s">
        <v>2414</v>
      </c>
      <c r="D768" s="5">
        <v>18.146100000000001</v>
      </c>
    </row>
    <row r="769" spans="1:4">
      <c r="A769" t="s">
        <v>2296</v>
      </c>
      <c r="B769" t="s">
        <v>945</v>
      </c>
      <c r="C769" t="s">
        <v>2414</v>
      </c>
      <c r="D769" s="5">
        <v>16.994558333333334</v>
      </c>
    </row>
    <row r="770" spans="1:4">
      <c r="A770" t="s">
        <v>2297</v>
      </c>
      <c r="B770" t="s">
        <v>946</v>
      </c>
      <c r="C770" t="s">
        <v>2414</v>
      </c>
      <c r="D770" s="5">
        <v>18.171716666666669</v>
      </c>
    </row>
    <row r="771" spans="1:4">
      <c r="A771" t="s">
        <v>2298</v>
      </c>
      <c r="B771" t="s">
        <v>947</v>
      </c>
      <c r="C771" t="s">
        <v>2414</v>
      </c>
      <c r="D771" s="5">
        <v>17.42134166666667</v>
      </c>
    </row>
    <row r="772" spans="1:4">
      <c r="A772" t="s">
        <v>2299</v>
      </c>
      <c r="B772" t="s">
        <v>948</v>
      </c>
      <c r="C772" t="s">
        <v>2414</v>
      </c>
      <c r="D772" s="5">
        <v>19.243749999999999</v>
      </c>
    </row>
    <row r="773" spans="1:4">
      <c r="A773" t="s">
        <v>2300</v>
      </c>
      <c r="B773" t="s">
        <v>949</v>
      </c>
      <c r="C773" t="s">
        <v>2414</v>
      </c>
      <c r="D773" s="5">
        <v>19.342350000000003</v>
      </c>
    </row>
    <row r="774" spans="1:4">
      <c r="A774" t="s">
        <v>2301</v>
      </c>
      <c r="B774" t="s">
        <v>950</v>
      </c>
      <c r="C774" t="s">
        <v>2414</v>
      </c>
      <c r="D774" s="5">
        <v>19.098266666666667</v>
      </c>
    </row>
    <row r="775" spans="1:4">
      <c r="A775" t="s">
        <v>2302</v>
      </c>
      <c r="B775" t="s">
        <v>951</v>
      </c>
      <c r="C775" t="s">
        <v>2414</v>
      </c>
      <c r="D775" s="5">
        <v>19.539550000000002</v>
      </c>
    </row>
    <row r="776" spans="1:4">
      <c r="A776" t="s">
        <v>2303</v>
      </c>
      <c r="B776" t="s">
        <v>952</v>
      </c>
      <c r="C776" t="s">
        <v>2414</v>
      </c>
      <c r="D776" s="5">
        <v>19.736750000000001</v>
      </c>
    </row>
    <row r="777" spans="1:4">
      <c r="A777" t="s">
        <v>2304</v>
      </c>
      <c r="B777" t="s">
        <v>953</v>
      </c>
      <c r="C777" t="s">
        <v>2414</v>
      </c>
      <c r="D777" s="5">
        <v>18.388491666666667</v>
      </c>
    </row>
    <row r="778" spans="1:4">
      <c r="A778" t="s">
        <v>2305</v>
      </c>
      <c r="B778" t="s">
        <v>954</v>
      </c>
      <c r="C778" t="s">
        <v>2414</v>
      </c>
      <c r="D778" s="5">
        <v>19.726600000000001</v>
      </c>
    </row>
    <row r="779" spans="1:4">
      <c r="A779" t="s">
        <v>2306</v>
      </c>
      <c r="B779" t="s">
        <v>955</v>
      </c>
      <c r="C779" t="s">
        <v>2414</v>
      </c>
      <c r="D779" s="5">
        <v>21.248374999999999</v>
      </c>
    </row>
    <row r="780" spans="1:4">
      <c r="A780" t="s">
        <v>2307</v>
      </c>
      <c r="B780" t="s">
        <v>956</v>
      </c>
      <c r="C780" t="s">
        <v>2414</v>
      </c>
      <c r="D780" s="5">
        <v>20.902550000000002</v>
      </c>
    </row>
    <row r="781" spans="1:4">
      <c r="A781" t="s">
        <v>2308</v>
      </c>
      <c r="B781" t="s">
        <v>957</v>
      </c>
      <c r="C781" t="s">
        <v>2414</v>
      </c>
      <c r="D781" s="5">
        <v>23.85861666666667</v>
      </c>
    </row>
    <row r="782" spans="1:4">
      <c r="A782" t="s">
        <v>2309</v>
      </c>
      <c r="B782" t="s">
        <v>958</v>
      </c>
      <c r="C782" t="s">
        <v>2414</v>
      </c>
      <c r="D782" s="5">
        <v>26.254258333333336</v>
      </c>
    </row>
    <row r="783" spans="1:4">
      <c r="A783" t="s">
        <v>2310</v>
      </c>
      <c r="B783" t="s">
        <v>959</v>
      </c>
      <c r="C783" t="s">
        <v>2414</v>
      </c>
      <c r="D783" s="5">
        <v>31.898625000000003</v>
      </c>
    </row>
    <row r="784" spans="1:4">
      <c r="A784" t="s">
        <v>2311</v>
      </c>
      <c r="B784" t="s">
        <v>960</v>
      </c>
      <c r="C784" t="s">
        <v>2414</v>
      </c>
      <c r="D784" s="5">
        <v>16.91</v>
      </c>
    </row>
    <row r="785" spans="1:4">
      <c r="A785" t="s">
        <v>2312</v>
      </c>
      <c r="B785" t="s">
        <v>961</v>
      </c>
      <c r="C785" t="s">
        <v>2414</v>
      </c>
      <c r="D785" s="5">
        <v>17.608150000000002</v>
      </c>
    </row>
    <row r="786" spans="1:4">
      <c r="A786" t="s">
        <v>2313</v>
      </c>
      <c r="B786" t="s">
        <v>962</v>
      </c>
      <c r="C786" t="s">
        <v>2414</v>
      </c>
      <c r="D786" s="5">
        <v>18.134499999999999</v>
      </c>
    </row>
    <row r="787" spans="1:4">
      <c r="A787" t="s">
        <v>2314</v>
      </c>
      <c r="B787" t="s">
        <v>963</v>
      </c>
      <c r="C787" t="s">
        <v>2414</v>
      </c>
      <c r="D787" s="5">
        <v>18.274183333333333</v>
      </c>
    </row>
    <row r="788" spans="1:4">
      <c r="A788" t="s">
        <v>2315</v>
      </c>
      <c r="B788" t="s">
        <v>964</v>
      </c>
      <c r="C788" t="s">
        <v>2414</v>
      </c>
      <c r="D788" s="5">
        <v>17.516800000000003</v>
      </c>
    </row>
    <row r="789" spans="1:4">
      <c r="A789" t="s">
        <v>2316</v>
      </c>
      <c r="B789" t="s">
        <v>965</v>
      </c>
      <c r="C789" t="s">
        <v>2414</v>
      </c>
      <c r="D789" s="5">
        <v>16.886533333333333</v>
      </c>
    </row>
    <row r="790" spans="1:4">
      <c r="A790" t="s">
        <v>2317</v>
      </c>
      <c r="B790" t="s">
        <v>966</v>
      </c>
      <c r="C790" t="s">
        <v>2414</v>
      </c>
      <c r="D790" s="5">
        <v>16.916500000000003</v>
      </c>
    </row>
    <row r="791" spans="1:4">
      <c r="A791" t="s">
        <v>2318</v>
      </c>
      <c r="B791" t="s">
        <v>967</v>
      </c>
      <c r="C791" t="s">
        <v>2414</v>
      </c>
      <c r="D791" s="5">
        <v>17.395</v>
      </c>
    </row>
    <row r="792" spans="1:4">
      <c r="A792" t="s">
        <v>2319</v>
      </c>
      <c r="B792" t="s">
        <v>968</v>
      </c>
      <c r="C792" t="s">
        <v>2414</v>
      </c>
      <c r="D792" s="5">
        <v>16.408999999999999</v>
      </c>
    </row>
    <row r="793" spans="1:4">
      <c r="A793" t="s">
        <v>2320</v>
      </c>
      <c r="B793" t="s">
        <v>969</v>
      </c>
      <c r="C793" t="s">
        <v>2414</v>
      </c>
      <c r="D793" s="5">
        <v>16.78841666666667</v>
      </c>
    </row>
    <row r="794" spans="1:4">
      <c r="A794" t="s">
        <v>2321</v>
      </c>
      <c r="B794" t="s">
        <v>970</v>
      </c>
      <c r="C794" t="s">
        <v>2414</v>
      </c>
      <c r="D794" s="5">
        <v>17.044341666666668</v>
      </c>
    </row>
    <row r="795" spans="1:4">
      <c r="A795" t="s">
        <v>2322</v>
      </c>
      <c r="B795" t="s">
        <v>971</v>
      </c>
      <c r="C795" t="s">
        <v>2414</v>
      </c>
      <c r="D795" s="5">
        <v>17.377600000000001</v>
      </c>
    </row>
    <row r="796" spans="1:4">
      <c r="A796" t="s">
        <v>2323</v>
      </c>
      <c r="B796" t="s">
        <v>972</v>
      </c>
      <c r="C796" t="s">
        <v>2414</v>
      </c>
      <c r="D796" s="5">
        <v>44.923008333333335</v>
      </c>
    </row>
    <row r="797" spans="1:4">
      <c r="A797" t="s">
        <v>2324</v>
      </c>
      <c r="B797" t="s">
        <v>973</v>
      </c>
      <c r="C797" t="s">
        <v>2414</v>
      </c>
      <c r="D797" s="5">
        <v>59.423250000000017</v>
      </c>
    </row>
    <row r="798" spans="1:4">
      <c r="A798" t="s">
        <v>2325</v>
      </c>
      <c r="B798" t="s">
        <v>974</v>
      </c>
      <c r="C798" t="s">
        <v>2414</v>
      </c>
      <c r="D798" s="5">
        <v>29.910916666666669</v>
      </c>
    </row>
    <row r="799" spans="1:4">
      <c r="A799" t="s">
        <v>2326</v>
      </c>
      <c r="B799" t="s">
        <v>975</v>
      </c>
      <c r="C799" t="s">
        <v>2414</v>
      </c>
      <c r="D799" s="5">
        <v>28.193875000000006</v>
      </c>
    </row>
    <row r="800" spans="1:4">
      <c r="A800" t="s">
        <v>2327</v>
      </c>
      <c r="B800" t="s">
        <v>976</v>
      </c>
      <c r="C800" t="s">
        <v>2414</v>
      </c>
      <c r="D800" s="5">
        <v>19.127991666666667</v>
      </c>
    </row>
    <row r="801" spans="1:4">
      <c r="A801" t="s">
        <v>2328</v>
      </c>
      <c r="B801" t="s">
        <v>977</v>
      </c>
      <c r="C801" t="s">
        <v>2414</v>
      </c>
      <c r="D801" s="5">
        <v>17.044583333333335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RESUMEN_EJECUTIVO</vt:lpstr>
      <vt:lpstr>ANÁLISIS_ESTRATÉGICO</vt:lpstr>
      <vt:lpstr>ANÁLISIS_ALTA_ROTACIÓN</vt:lpstr>
      <vt:lpstr>ANÁLISIS_MEDIA_ROTACIÓN</vt:lpstr>
      <vt:lpstr>PRECIOS_CDR</vt:lpstr>
      <vt:lpstr>PRECIOS_COMPETENCIA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Guillermo David Borja Mora</dc:creator>
  <cp:lastModifiedBy>User</cp:lastModifiedBy>
  <dcterms:created xsi:type="dcterms:W3CDTF">2025-11-18T16:46:37Z</dcterms:created>
  <dcterms:modified xsi:type="dcterms:W3CDTF">2026-03-16T14:21:45Z</dcterms:modified>
</cp:coreProperties>
</file>